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EstaPastaDeTrabalho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P:\Pasta diária\DPTO CONTÁBIL\EMPRESAS\0332_MICROMEDICAL\332\Contabilidade Anterior\"/>
    </mc:Choice>
  </mc:AlternateContent>
  <xr:revisionPtr revIDLastSave="0" documentId="13_ncr:1_{1B38F310-705C-43C0-A409-ADB8D313824A}" xr6:coauthVersionLast="47" xr6:coauthVersionMax="47" xr10:uidLastSave="{00000000-0000-0000-0000-000000000000}"/>
  <bookViews>
    <workbookView xWindow="28680" yWindow="-120" windowWidth="29040" windowHeight="15720" tabRatio="524" firstSheet="2" activeTab="3" xr2:uid="{00000000-000D-0000-FFFF-FFFF00000000}"/>
  </bookViews>
  <sheets>
    <sheet name="Detalhes2" sheetId="6" state="hidden" r:id="rId1"/>
    <sheet name="Detalhes3" sheetId="7" state="hidden" r:id="rId2"/>
    <sheet name="Detalhes4" sheetId="8" r:id="rId3"/>
    <sheet name="Resumo do Aging List - Contabil" sheetId="2" r:id="rId4"/>
    <sheet name="Detalhes1" sheetId="5" state="hidden" r:id="rId5"/>
    <sheet name="Planilha1" sheetId="3" r:id="rId6"/>
    <sheet name="Aging analítico - Contabil" sheetId="1" r:id="rId7"/>
    <sheet name="Planilha2" sheetId="4" r:id="rId8"/>
  </sheets>
  <externalReferences>
    <externalReference r:id="rId9"/>
    <externalReference r:id="rId10"/>
    <externalReference r:id="rId11"/>
  </externalReferences>
  <definedNames>
    <definedName name="_xlnm._FilterDatabase" localSheetId="6" hidden="1">'Aging analítico - Contabil'!$B$6:$U$1244</definedName>
    <definedName name="_xlnm._FilterDatabase" localSheetId="5" hidden="1">Planilha1!$A$4:$J$177</definedName>
    <definedName name="_xlnm._FilterDatabase" localSheetId="3" hidden="1">'Resumo do Aging List - Contabil'!$S$33:$V$207</definedName>
    <definedName name="_xlnm.Print_Area" localSheetId="6">'Aging analítico - Contabil'!$B$1:$U$1244</definedName>
    <definedName name="_xlnm.Print_Area" localSheetId="3">'Resumo do Aging List - Contabil'!$B$1:$E$27</definedName>
    <definedName name="recebido">#REF!</definedName>
  </definedNames>
  <calcPr calcId="191029"/>
  <pivotCaches>
    <pivotCache cacheId="2" r:id="rId1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135" i="1" l="1"/>
  <c r="J7" i="3" l="1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5" i="3"/>
  <c r="J6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I12" i="3"/>
  <c r="I2" i="3"/>
  <c r="I3" i="3"/>
  <c r="I4" i="3"/>
  <c r="I5" i="3"/>
  <c r="I6" i="3"/>
  <c r="I7" i="3"/>
  <c r="I8" i="3"/>
  <c r="I9" i="3"/>
  <c r="I10" i="3"/>
  <c r="I11" i="3"/>
  <c r="I13" i="3"/>
  <c r="I14" i="3"/>
  <c r="I15" i="3"/>
  <c r="I16" i="3"/>
  <c r="I17" i="3"/>
  <c r="I18" i="3"/>
  <c r="I19" i="3"/>
  <c r="I20" i="3"/>
  <c r="I21" i="3"/>
  <c r="I22" i="3"/>
  <c r="I23" i="3"/>
  <c r="I25" i="3"/>
  <c r="I26" i="3"/>
  <c r="I27" i="3"/>
  <c r="I28" i="3"/>
  <c r="I29" i="3"/>
  <c r="I30" i="3"/>
  <c r="I31" i="3"/>
  <c r="I32" i="3"/>
  <c r="I33" i="3"/>
  <c r="I34" i="3"/>
  <c r="I35" i="3"/>
  <c r="I37" i="3"/>
  <c r="I38" i="3"/>
  <c r="I39" i="3"/>
  <c r="I40" i="3"/>
  <c r="I41" i="3"/>
  <c r="I42" i="3"/>
  <c r="I43" i="3"/>
  <c r="I44" i="3"/>
  <c r="I45" i="3"/>
  <c r="I46" i="3"/>
  <c r="I47" i="3"/>
  <c r="I49" i="3"/>
  <c r="I50" i="3"/>
  <c r="I51" i="3"/>
  <c r="I52" i="3"/>
  <c r="I53" i="3"/>
  <c r="I54" i="3"/>
  <c r="I55" i="3"/>
  <c r="I56" i="3"/>
  <c r="I57" i="3"/>
  <c r="I58" i="3"/>
  <c r="I59" i="3"/>
  <c r="I61" i="3"/>
  <c r="I62" i="3"/>
  <c r="I63" i="3"/>
  <c r="I64" i="3"/>
  <c r="I65" i="3"/>
  <c r="I66" i="3"/>
  <c r="I67" i="3"/>
  <c r="I68" i="3"/>
  <c r="I69" i="3"/>
  <c r="I70" i="3"/>
  <c r="I71" i="3"/>
  <c r="I73" i="3"/>
  <c r="I74" i="3"/>
  <c r="I75" i="3"/>
  <c r="I76" i="3"/>
  <c r="I77" i="3"/>
  <c r="I78" i="3"/>
  <c r="I79" i="3"/>
  <c r="I80" i="3"/>
  <c r="I81" i="3"/>
  <c r="I82" i="3"/>
  <c r="I83" i="3"/>
  <c r="I85" i="3"/>
  <c r="I86" i="3"/>
  <c r="I87" i="3"/>
  <c r="I88" i="3"/>
  <c r="I89" i="3"/>
  <c r="I90" i="3"/>
  <c r="I91" i="3"/>
  <c r="I92" i="3"/>
  <c r="I93" i="3"/>
  <c r="I94" i="3"/>
  <c r="I95" i="3"/>
  <c r="I97" i="3"/>
  <c r="I98" i="3"/>
  <c r="I99" i="3"/>
  <c r="I100" i="3"/>
  <c r="I101" i="3"/>
  <c r="I102" i="3"/>
  <c r="I103" i="3"/>
  <c r="I104" i="3"/>
  <c r="I105" i="3"/>
  <c r="I106" i="3"/>
  <c r="I107" i="3"/>
  <c r="I109" i="3"/>
  <c r="I110" i="3"/>
  <c r="I111" i="3"/>
  <c r="I112" i="3"/>
  <c r="I113" i="3"/>
  <c r="I114" i="3"/>
  <c r="I115" i="3"/>
  <c r="I116" i="3"/>
  <c r="I117" i="3"/>
  <c r="I118" i="3"/>
  <c r="I119" i="3"/>
  <c r="I121" i="3"/>
  <c r="I122" i="3"/>
  <c r="I123" i="3"/>
  <c r="I124" i="3"/>
  <c r="I125" i="3"/>
  <c r="I126" i="3"/>
  <c r="I127" i="3"/>
  <c r="I128" i="3"/>
  <c r="I129" i="3"/>
  <c r="I130" i="3"/>
  <c r="I131" i="3"/>
  <c r="I133" i="3"/>
  <c r="I134" i="3"/>
  <c r="I135" i="3"/>
  <c r="U48" i="2"/>
  <c r="U51" i="2"/>
  <c r="U52" i="2"/>
  <c r="U100" i="2"/>
  <c r="U141" i="2"/>
  <c r="U184" i="2"/>
  <c r="U202" i="2"/>
  <c r="U199" i="2"/>
  <c r="U186" i="2"/>
  <c r="U171" i="2"/>
  <c r="U148" i="2"/>
  <c r="U134" i="2"/>
  <c r="U133" i="2"/>
  <c r="U124" i="2"/>
  <c r="U118" i="2"/>
  <c r="U111" i="2"/>
  <c r="U109" i="2"/>
  <c r="U102" i="2"/>
  <c r="U96" i="2"/>
  <c r="U89" i="2"/>
  <c r="U82" i="2"/>
  <c r="U74" i="2"/>
  <c r="U62" i="2"/>
  <c r="U61" i="2"/>
  <c r="U58" i="2"/>
  <c r="U57" i="2"/>
  <c r="U56" i="2"/>
  <c r="U55" i="2"/>
  <c r="U54" i="2"/>
  <c r="U53" i="2"/>
  <c r="U50" i="2"/>
  <c r="U49" i="2"/>
  <c r="U47" i="2"/>
  <c r="U46" i="2"/>
  <c r="U45" i="2"/>
  <c r="U44" i="2"/>
  <c r="U43" i="2"/>
  <c r="U42" i="2"/>
  <c r="U41" i="2"/>
  <c r="U40" i="2"/>
  <c r="U39" i="2"/>
  <c r="U38" i="2"/>
  <c r="U37" i="2"/>
  <c r="U36" i="2"/>
  <c r="U35" i="2"/>
  <c r="U34" i="2"/>
  <c r="U146" i="2" l="1"/>
  <c r="U116" i="2"/>
  <c r="U138" i="2"/>
  <c r="U150" i="2"/>
  <c r="U144" i="2"/>
  <c r="U154" i="2"/>
  <c r="U78" i="2"/>
  <c r="U139" i="2"/>
  <c r="U122" i="2"/>
  <c r="U187" i="2"/>
  <c r="U91" i="2"/>
  <c r="U191" i="2"/>
  <c r="U69" i="2"/>
  <c r="U95" i="2"/>
  <c r="U121" i="2"/>
  <c r="U129" i="2"/>
  <c r="U140" i="2"/>
  <c r="U159" i="2"/>
  <c r="U166" i="2"/>
  <c r="U192" i="2"/>
  <c r="U201" i="2"/>
  <c r="U79" i="2"/>
  <c r="U85" i="2"/>
  <c r="U105" i="2"/>
  <c r="U112" i="2"/>
  <c r="U167" i="2"/>
  <c r="U174" i="2"/>
  <c r="U183" i="2"/>
  <c r="U193" i="2"/>
  <c r="U182" i="2"/>
  <c r="U132" i="2"/>
  <c r="U153" i="2"/>
  <c r="U177" i="2"/>
  <c r="U194" i="2"/>
  <c r="U64" i="2"/>
  <c r="U71" i="2"/>
  <c r="U90" i="2"/>
  <c r="U108" i="2"/>
  <c r="U115" i="2"/>
  <c r="U145" i="2"/>
  <c r="U168" i="2"/>
  <c r="U178" i="2"/>
  <c r="U195" i="2"/>
  <c r="U65" i="2"/>
  <c r="U72" i="2"/>
  <c r="U81" i="2"/>
  <c r="U123" i="2"/>
  <c r="U135" i="2"/>
  <c r="U162" i="2"/>
  <c r="U155" i="2"/>
  <c r="U179" i="2"/>
  <c r="U131" i="2"/>
  <c r="U73" i="2"/>
  <c r="U163" i="2"/>
  <c r="U198" i="2"/>
  <c r="U200" i="2"/>
  <c r="U66" i="2"/>
  <c r="U117" i="2"/>
  <c r="U136" i="2"/>
  <c r="U170" i="2"/>
  <c r="U67" i="2"/>
  <c r="U92" i="2"/>
  <c r="U125" i="2"/>
  <c r="U156" i="2"/>
  <c r="U188" i="2"/>
  <c r="U97" i="2"/>
  <c r="U142" i="2"/>
  <c r="U169" i="2"/>
  <c r="U87" i="2"/>
  <c r="U88" i="2"/>
  <c r="U99" i="2"/>
  <c r="U114" i="2"/>
  <c r="U152" i="2"/>
  <c r="U161" i="2"/>
  <c r="U176" i="2"/>
  <c r="U63" i="2"/>
  <c r="U80" i="2"/>
  <c r="U107" i="2"/>
  <c r="U103" i="2"/>
  <c r="U147" i="2"/>
  <c r="U68" i="2"/>
  <c r="U94" i="2"/>
  <c r="U104" i="2"/>
  <c r="U110" i="2"/>
  <c r="U158" i="2"/>
  <c r="U173" i="2"/>
  <c r="U101" i="2"/>
  <c r="I132" i="3"/>
  <c r="I120" i="3"/>
  <c r="I108" i="3"/>
  <c r="I96" i="3"/>
  <c r="I84" i="3"/>
  <c r="I72" i="3"/>
  <c r="I60" i="3"/>
  <c r="I48" i="3"/>
  <c r="I36" i="3"/>
  <c r="I24" i="3"/>
  <c r="U70" i="2"/>
  <c r="U86" i="2"/>
  <c r="U98" i="2"/>
  <c r="U106" i="2"/>
  <c r="U113" i="2"/>
  <c r="U130" i="2"/>
  <c r="U143" i="2"/>
  <c r="U160" i="2"/>
  <c r="U175" i="2"/>
  <c r="U185" i="2"/>
  <c r="U151" i="2"/>
  <c r="U59" i="2"/>
  <c r="U75" i="2"/>
  <c r="U83" i="2"/>
  <c r="U119" i="2"/>
  <c r="U126" i="2"/>
  <c r="U137" i="2"/>
  <c r="U157" i="2"/>
  <c r="U164" i="2"/>
  <c r="U180" i="2"/>
  <c r="U189" i="2"/>
  <c r="U60" i="2"/>
  <c r="U76" i="2"/>
  <c r="U84" i="2"/>
  <c r="U93" i="2"/>
  <c r="U120" i="2"/>
  <c r="U127" i="2"/>
  <c r="U149" i="2"/>
  <c r="U165" i="2"/>
  <c r="U172" i="2"/>
  <c r="U181" i="2"/>
  <c r="U190" i="2"/>
  <c r="U77" i="2"/>
  <c r="U128" i="2"/>
  <c r="U197" i="2"/>
  <c r="U204" i="2"/>
  <c r="U205" i="2"/>
  <c r="U196" i="2"/>
  <c r="U206" i="2"/>
  <c r="U207" i="2"/>
  <c r="U203" i="2"/>
  <c r="S33" i="2" l="1"/>
  <c r="S48" i="2"/>
  <c r="S51" i="2"/>
  <c r="S52" i="2"/>
  <c r="S141" i="2"/>
  <c r="V206" i="2"/>
  <c r="V205" i="2"/>
  <c r="V204" i="2"/>
  <c r="V203" i="2"/>
  <c r="V202" i="2"/>
  <c r="V194" i="2"/>
  <c r="V193" i="2"/>
  <c r="V192" i="2"/>
  <c r="V191" i="2"/>
  <c r="V190" i="2"/>
  <c r="V189" i="2"/>
  <c r="V188" i="2"/>
  <c r="V182" i="2"/>
  <c r="V181" i="2"/>
  <c r="V180" i="2"/>
  <c r="V179" i="2"/>
  <c r="V178" i="2"/>
  <c r="V177" i="2"/>
  <c r="V170" i="2"/>
  <c r="V169" i="2"/>
  <c r="V168" i="2"/>
  <c r="V167" i="2"/>
  <c r="V165" i="2"/>
  <c r="V158" i="2"/>
  <c r="V157" i="2"/>
  <c r="V156" i="2"/>
  <c r="V155" i="2"/>
  <c r="V152" i="2"/>
  <c r="V146" i="2"/>
  <c r="V145" i="2"/>
  <c r="V144" i="2"/>
  <c r="V143" i="2"/>
  <c r="V142" i="2"/>
  <c r="V141" i="2"/>
  <c r="V140" i="2"/>
  <c r="V134" i="2"/>
  <c r="V133" i="2"/>
  <c r="V132" i="2"/>
  <c r="V131" i="2"/>
  <c r="V130" i="2"/>
  <c r="V122" i="2"/>
  <c r="V121" i="2"/>
  <c r="V120" i="2"/>
  <c r="V119" i="2"/>
  <c r="V116" i="2"/>
  <c r="V110" i="2"/>
  <c r="V109" i="2"/>
  <c r="V108" i="2"/>
  <c r="V107" i="2"/>
  <c r="V106" i="2"/>
  <c r="V105" i="2"/>
  <c r="V98" i="2"/>
  <c r="V97" i="2"/>
  <c r="V96" i="2"/>
  <c r="V95" i="2"/>
  <c r="V94" i="2"/>
  <c r="V93" i="2"/>
  <c r="V86" i="2"/>
  <c r="V85" i="2"/>
  <c r="V84" i="2"/>
  <c r="V83" i="2"/>
  <c r="V82" i="2"/>
  <c r="V74" i="2"/>
  <c r="V73" i="2"/>
  <c r="V72" i="2"/>
  <c r="V71" i="2"/>
  <c r="V70" i="2"/>
  <c r="V69" i="2"/>
  <c r="V62" i="2"/>
  <c r="V61" i="2"/>
  <c r="V60" i="2"/>
  <c r="V59" i="2"/>
  <c r="V58" i="2"/>
  <c r="V57" i="2"/>
  <c r="V50" i="2"/>
  <c r="V49" i="2"/>
  <c r="V48" i="2"/>
  <c r="V47" i="2"/>
  <c r="V46" i="2"/>
  <c r="V38" i="2"/>
  <c r="V37" i="2"/>
  <c r="V36" i="2"/>
  <c r="V35" i="2"/>
  <c r="V34" i="2"/>
  <c r="S134" i="2" l="1"/>
  <c r="T134" i="2" s="1"/>
  <c r="S133" i="2"/>
  <c r="T133" i="2" s="1"/>
  <c r="S89" i="2"/>
  <c r="T89" i="2" s="1"/>
  <c r="S84" i="2"/>
  <c r="T84" i="2" s="1"/>
  <c r="S76" i="2"/>
  <c r="T76" i="2" s="1"/>
  <c r="S148" i="2"/>
  <c r="T148" i="2" s="1"/>
  <c r="S118" i="2"/>
  <c r="T118" i="2" s="1"/>
  <c r="S143" i="2"/>
  <c r="T143" i="2" s="1"/>
  <c r="S98" i="2"/>
  <c r="T98" i="2" s="1"/>
  <c r="S62" i="2"/>
  <c r="T62" i="2" s="1"/>
  <c r="S111" i="2"/>
  <c r="T111" i="2" s="1"/>
  <c r="S61" i="2"/>
  <c r="T61" i="2" s="1"/>
  <c r="S124" i="2"/>
  <c r="T124" i="2" s="1"/>
  <c r="S102" i="2"/>
  <c r="T102" i="2" s="1"/>
  <c r="V39" i="2"/>
  <c r="T51" i="2"/>
  <c r="V51" i="2"/>
  <c r="V63" i="2"/>
  <c r="V75" i="2"/>
  <c r="V87" i="2"/>
  <c r="V99" i="2"/>
  <c r="V111" i="2"/>
  <c r="V123" i="2"/>
  <c r="V135" i="2"/>
  <c r="V147" i="2"/>
  <c r="V159" i="2"/>
  <c r="V171" i="2"/>
  <c r="V183" i="2"/>
  <c r="V195" i="2"/>
  <c r="T207" i="2"/>
  <c r="V207" i="2"/>
  <c r="V40" i="2"/>
  <c r="T52" i="2"/>
  <c r="V52" i="2"/>
  <c r="V64" i="2"/>
  <c r="V76" i="2"/>
  <c r="V88" i="2"/>
  <c r="V100" i="2"/>
  <c r="V112" i="2"/>
  <c r="V124" i="2"/>
  <c r="V136" i="2"/>
  <c r="V148" i="2"/>
  <c r="V160" i="2"/>
  <c r="V172" i="2"/>
  <c r="V184" i="2"/>
  <c r="V196" i="2"/>
  <c r="V41" i="2"/>
  <c r="V53" i="2"/>
  <c r="V65" i="2"/>
  <c r="V77" i="2"/>
  <c r="V89" i="2"/>
  <c r="V101" i="2"/>
  <c r="V113" i="2"/>
  <c r="V125" i="2"/>
  <c r="V137" i="2"/>
  <c r="V149" i="2"/>
  <c r="V161" i="2"/>
  <c r="V173" i="2"/>
  <c r="V185" i="2"/>
  <c r="V197" i="2"/>
  <c r="V42" i="2"/>
  <c r="V54" i="2"/>
  <c r="V66" i="2"/>
  <c r="V78" i="2"/>
  <c r="V90" i="2"/>
  <c r="V102" i="2"/>
  <c r="V114" i="2"/>
  <c r="V126" i="2"/>
  <c r="V138" i="2"/>
  <c r="V150" i="2"/>
  <c r="V162" i="2"/>
  <c r="V174" i="2"/>
  <c r="V186" i="2"/>
  <c r="V198" i="2"/>
  <c r="V43" i="2"/>
  <c r="V55" i="2"/>
  <c r="V67" i="2"/>
  <c r="V79" i="2"/>
  <c r="V91" i="2"/>
  <c r="V103" i="2"/>
  <c r="V115" i="2"/>
  <c r="V127" i="2"/>
  <c r="V139" i="2"/>
  <c r="V151" i="2"/>
  <c r="V163" i="2"/>
  <c r="V175" i="2"/>
  <c r="V187" i="2"/>
  <c r="V199" i="2"/>
  <c r="V44" i="2"/>
  <c r="V56" i="2"/>
  <c r="V68" i="2"/>
  <c r="V80" i="2"/>
  <c r="V92" i="2"/>
  <c r="V104" i="2"/>
  <c r="V128" i="2"/>
  <c r="V164" i="2"/>
  <c r="V176" i="2"/>
  <c r="V200" i="2"/>
  <c r="V45" i="2"/>
  <c r="V81" i="2"/>
  <c r="V117" i="2"/>
  <c r="V129" i="2"/>
  <c r="V153" i="2"/>
  <c r="V201" i="2"/>
  <c r="V118" i="2"/>
  <c r="V154" i="2"/>
  <c r="V166" i="2"/>
  <c r="T141" i="2"/>
  <c r="T48" i="2"/>
  <c r="F1245" i="1" l="1"/>
  <c r="H3" i="1" l="1"/>
  <c r="G11" i="1" l="1"/>
  <c r="P11" i="1" s="1"/>
  <c r="G19" i="1"/>
  <c r="P19" i="1" s="1"/>
  <c r="G27" i="1"/>
  <c r="P27" i="1" s="1"/>
  <c r="G36" i="1"/>
  <c r="P36" i="1" s="1"/>
  <c r="G43" i="1"/>
  <c r="P43" i="1" s="1"/>
  <c r="G51" i="1"/>
  <c r="P51" i="1" s="1"/>
  <c r="G59" i="1"/>
  <c r="P59" i="1" s="1"/>
  <c r="G67" i="1"/>
  <c r="P67" i="1" s="1"/>
  <c r="G75" i="1"/>
  <c r="P75" i="1" s="1"/>
  <c r="G84" i="1"/>
  <c r="P84" i="1" s="1"/>
  <c r="G78" i="1"/>
  <c r="P78" i="1" s="1"/>
  <c r="G99" i="1"/>
  <c r="P99" i="1" s="1"/>
  <c r="G107" i="1"/>
  <c r="P107" i="1" s="1"/>
  <c r="G114" i="1"/>
  <c r="P114" i="1" s="1"/>
  <c r="G122" i="1"/>
  <c r="P122" i="1" s="1"/>
  <c r="G130" i="1"/>
  <c r="P130" i="1" s="1"/>
  <c r="G138" i="1"/>
  <c r="P138" i="1" s="1"/>
  <c r="G146" i="1"/>
  <c r="P146" i="1" s="1"/>
  <c r="G154" i="1"/>
  <c r="P154" i="1" s="1"/>
  <c r="G162" i="1"/>
  <c r="P162" i="1" s="1"/>
  <c r="G170" i="1"/>
  <c r="P170" i="1" s="1"/>
  <c r="G178" i="1"/>
  <c r="P178" i="1" s="1"/>
  <c r="G186" i="1"/>
  <c r="P186" i="1" s="1"/>
  <c r="G194" i="1"/>
  <c r="P194" i="1" s="1"/>
  <c r="G203" i="1"/>
  <c r="P203" i="1" s="1"/>
  <c r="G205" i="1"/>
  <c r="P205" i="1" s="1"/>
  <c r="G213" i="1"/>
  <c r="P213" i="1" s="1"/>
  <c r="G221" i="1"/>
  <c r="P221" i="1" s="1"/>
  <c r="G234" i="1"/>
  <c r="P234" i="1" s="1"/>
  <c r="G242" i="1"/>
  <c r="P242" i="1" s="1"/>
  <c r="G246" i="1"/>
  <c r="P246" i="1" s="1"/>
  <c r="G258" i="1"/>
  <c r="P258" i="1" s="1"/>
  <c r="G264" i="1"/>
  <c r="P264" i="1" s="1"/>
  <c r="G274" i="1"/>
  <c r="P274" i="1" s="1"/>
  <c r="G282" i="1"/>
  <c r="P282" i="1" s="1"/>
  <c r="G290" i="1"/>
  <c r="P290" i="1" s="1"/>
  <c r="G298" i="1"/>
  <c r="P298" i="1" s="1"/>
  <c r="G306" i="1"/>
  <c r="P306" i="1" s="1"/>
  <c r="G314" i="1"/>
  <c r="P314" i="1" s="1"/>
  <c r="G322" i="1"/>
  <c r="P322" i="1" s="1"/>
  <c r="G330" i="1"/>
  <c r="P330" i="1" s="1"/>
  <c r="G338" i="1"/>
  <c r="P338" i="1" s="1"/>
  <c r="G346" i="1"/>
  <c r="P346" i="1" s="1"/>
  <c r="G354" i="1"/>
  <c r="P354" i="1" s="1"/>
  <c r="G362" i="1"/>
  <c r="P362" i="1" s="1"/>
  <c r="G369" i="1"/>
  <c r="P369" i="1" s="1"/>
  <c r="G378" i="1"/>
  <c r="P378" i="1" s="1"/>
  <c r="G384" i="1"/>
  <c r="P384" i="1" s="1"/>
  <c r="G392" i="1"/>
  <c r="P392" i="1" s="1"/>
  <c r="G400" i="1"/>
  <c r="P400" i="1" s="1"/>
  <c r="G406" i="1"/>
  <c r="P406" i="1" s="1"/>
  <c r="G414" i="1"/>
  <c r="P414" i="1" s="1"/>
  <c r="G422" i="1"/>
  <c r="P422" i="1" s="1"/>
  <c r="G430" i="1"/>
  <c r="P430" i="1" s="1"/>
  <c r="G440" i="1"/>
  <c r="P440" i="1" s="1"/>
  <c r="G447" i="1"/>
  <c r="P447" i="1" s="1"/>
  <c r="G455" i="1"/>
  <c r="P455" i="1" s="1"/>
  <c r="G463" i="1"/>
  <c r="P463" i="1" s="1"/>
  <c r="G470" i="1"/>
  <c r="P470" i="1" s="1"/>
  <c r="G476" i="1"/>
  <c r="P476" i="1" s="1"/>
  <c r="G487" i="1"/>
  <c r="P487" i="1" s="1"/>
  <c r="G497" i="1"/>
  <c r="P497" i="1" s="1"/>
  <c r="G503" i="1"/>
  <c r="P503" i="1" s="1"/>
  <c r="G511" i="1"/>
  <c r="P511" i="1" s="1"/>
  <c r="G518" i="1"/>
  <c r="P518" i="1" s="1"/>
  <c r="G527" i="1"/>
  <c r="P527" i="1" s="1"/>
  <c r="G532" i="1"/>
  <c r="P532" i="1" s="1"/>
  <c r="G542" i="1"/>
  <c r="P542" i="1" s="1"/>
  <c r="G550" i="1"/>
  <c r="P550" i="1" s="1"/>
  <c r="G559" i="1"/>
  <c r="P559" i="1" s="1"/>
  <c r="G567" i="1"/>
  <c r="P567" i="1" s="1"/>
  <c r="G575" i="1"/>
  <c r="P575" i="1" s="1"/>
  <c r="G583" i="1"/>
  <c r="P583" i="1" s="1"/>
  <c r="G591" i="1"/>
  <c r="P591" i="1" s="1"/>
  <c r="G599" i="1"/>
  <c r="P599" i="1" s="1"/>
  <c r="G607" i="1"/>
  <c r="P607" i="1" s="1"/>
  <c r="G615" i="1"/>
  <c r="P615" i="1" s="1"/>
  <c r="G623" i="1"/>
  <c r="P623" i="1" s="1"/>
  <c r="G631" i="1"/>
  <c r="P631" i="1" s="1"/>
  <c r="G639" i="1"/>
  <c r="P639" i="1" s="1"/>
  <c r="G647" i="1"/>
  <c r="P647" i="1" s="1"/>
  <c r="G655" i="1"/>
  <c r="P655" i="1" s="1"/>
  <c r="G12" i="1"/>
  <c r="P12" i="1" s="1"/>
  <c r="G20" i="1"/>
  <c r="P20" i="1" s="1"/>
  <c r="G28" i="1"/>
  <c r="P28" i="1" s="1"/>
  <c r="G37" i="1"/>
  <c r="P37" i="1" s="1"/>
  <c r="G44" i="1"/>
  <c r="P44" i="1" s="1"/>
  <c r="G52" i="1"/>
  <c r="P52" i="1" s="1"/>
  <c r="G60" i="1"/>
  <c r="P60" i="1" s="1"/>
  <c r="G68" i="1"/>
  <c r="P68" i="1" s="1"/>
  <c r="G88" i="1"/>
  <c r="P88" i="1" s="1"/>
  <c r="G95" i="1"/>
  <c r="P95" i="1" s="1"/>
  <c r="G82" i="1"/>
  <c r="P82" i="1" s="1"/>
  <c r="G100" i="1"/>
  <c r="P100" i="1" s="1"/>
  <c r="G108" i="1"/>
  <c r="P108" i="1" s="1"/>
  <c r="G116" i="1"/>
  <c r="P116" i="1" s="1"/>
  <c r="G123" i="1"/>
  <c r="P123" i="1" s="1"/>
  <c r="G131" i="1"/>
  <c r="P131" i="1" s="1"/>
  <c r="G139" i="1"/>
  <c r="P139" i="1" s="1"/>
  <c r="G147" i="1"/>
  <c r="P147" i="1" s="1"/>
  <c r="G155" i="1"/>
  <c r="P155" i="1" s="1"/>
  <c r="G163" i="1"/>
  <c r="P163" i="1" s="1"/>
  <c r="G171" i="1"/>
  <c r="P171" i="1" s="1"/>
  <c r="G179" i="1"/>
  <c r="P179" i="1" s="1"/>
  <c r="G187" i="1"/>
  <c r="P187" i="1" s="1"/>
  <c r="G195" i="1"/>
  <c r="P195" i="1" s="1"/>
  <c r="G198" i="1"/>
  <c r="P198" i="1" s="1"/>
  <c r="G206" i="1"/>
  <c r="P206" i="1" s="1"/>
  <c r="G214" i="1"/>
  <c r="P214" i="1" s="1"/>
  <c r="G222" i="1"/>
  <c r="P222" i="1" s="1"/>
  <c r="G235" i="1"/>
  <c r="P235" i="1" s="1"/>
  <c r="G245" i="1"/>
  <c r="P245" i="1" s="1"/>
  <c r="G249" i="1"/>
  <c r="P249" i="1" s="1"/>
  <c r="G259" i="1"/>
  <c r="P259" i="1" s="1"/>
  <c r="G265" i="1"/>
  <c r="P265" i="1" s="1"/>
  <c r="G275" i="1"/>
  <c r="P275" i="1" s="1"/>
  <c r="G283" i="1"/>
  <c r="P283" i="1" s="1"/>
  <c r="G291" i="1"/>
  <c r="P291" i="1" s="1"/>
  <c r="G299" i="1"/>
  <c r="P299" i="1" s="1"/>
  <c r="G307" i="1"/>
  <c r="P307" i="1" s="1"/>
  <c r="G315" i="1"/>
  <c r="P315" i="1" s="1"/>
  <c r="G323" i="1"/>
  <c r="P323" i="1" s="1"/>
  <c r="G331" i="1"/>
  <c r="P331" i="1" s="1"/>
  <c r="G339" i="1"/>
  <c r="P339" i="1" s="1"/>
  <c r="G347" i="1"/>
  <c r="P347" i="1" s="1"/>
  <c r="G356" i="1"/>
  <c r="P356" i="1" s="1"/>
  <c r="G363" i="1"/>
  <c r="P363" i="1" s="1"/>
  <c r="G376" i="1"/>
  <c r="P376" i="1" s="1"/>
  <c r="G385" i="1"/>
  <c r="P385" i="1" s="1"/>
  <c r="G393" i="1"/>
  <c r="P393" i="1" s="1"/>
  <c r="G401" i="1"/>
  <c r="P401" i="1" s="1"/>
  <c r="G407" i="1"/>
  <c r="P407" i="1" s="1"/>
  <c r="G415" i="1"/>
  <c r="P415" i="1" s="1"/>
  <c r="G423" i="1"/>
  <c r="P423" i="1" s="1"/>
  <c r="G431" i="1"/>
  <c r="P431" i="1" s="1"/>
  <c r="G441" i="1"/>
  <c r="P441" i="1" s="1"/>
  <c r="G448" i="1"/>
  <c r="P448" i="1" s="1"/>
  <c r="G456" i="1"/>
  <c r="P456" i="1" s="1"/>
  <c r="G464" i="1"/>
  <c r="P464" i="1" s="1"/>
  <c r="G482" i="1"/>
  <c r="P482" i="1" s="1"/>
  <c r="G479" i="1"/>
  <c r="P479" i="1" s="1"/>
  <c r="G488" i="1"/>
  <c r="P488" i="1" s="1"/>
  <c r="G498" i="1"/>
  <c r="P498" i="1" s="1"/>
  <c r="G504" i="1"/>
  <c r="P504" i="1" s="1"/>
  <c r="G512" i="1"/>
  <c r="P512" i="1" s="1"/>
  <c r="G519" i="1"/>
  <c r="P519" i="1" s="1"/>
  <c r="G536" i="1"/>
  <c r="P536" i="1" s="1"/>
  <c r="G528" i="1"/>
  <c r="P528" i="1" s="1"/>
  <c r="G543" i="1"/>
  <c r="P543" i="1" s="1"/>
  <c r="G551" i="1"/>
  <c r="P551" i="1" s="1"/>
  <c r="G560" i="1"/>
  <c r="P560" i="1" s="1"/>
  <c r="G568" i="1"/>
  <c r="P568" i="1" s="1"/>
  <c r="G576" i="1"/>
  <c r="P576" i="1" s="1"/>
  <c r="G584" i="1"/>
  <c r="P584" i="1" s="1"/>
  <c r="G592" i="1"/>
  <c r="P592" i="1" s="1"/>
  <c r="G600" i="1"/>
  <c r="P600" i="1" s="1"/>
  <c r="G608" i="1"/>
  <c r="P608" i="1" s="1"/>
  <c r="G616" i="1"/>
  <c r="P616" i="1" s="1"/>
  <c r="G624" i="1"/>
  <c r="P624" i="1" s="1"/>
  <c r="G632" i="1"/>
  <c r="P632" i="1" s="1"/>
  <c r="G640" i="1"/>
  <c r="P640" i="1" s="1"/>
  <c r="G648" i="1"/>
  <c r="P648" i="1" s="1"/>
  <c r="G656" i="1"/>
  <c r="P656" i="1" s="1"/>
  <c r="G13" i="1"/>
  <c r="P13" i="1" s="1"/>
  <c r="G21" i="1"/>
  <c r="P21" i="1" s="1"/>
  <c r="G29" i="1"/>
  <c r="P29" i="1" s="1"/>
  <c r="G38" i="1"/>
  <c r="P38" i="1" s="1"/>
  <c r="G45" i="1"/>
  <c r="P45" i="1" s="1"/>
  <c r="G53" i="1"/>
  <c r="P53" i="1" s="1"/>
  <c r="G61" i="1"/>
  <c r="P61" i="1" s="1"/>
  <c r="G69" i="1"/>
  <c r="P69" i="1" s="1"/>
  <c r="G89" i="1"/>
  <c r="P89" i="1" s="1"/>
  <c r="G96" i="1"/>
  <c r="P96" i="1" s="1"/>
  <c r="G86" i="1"/>
  <c r="P86" i="1" s="1"/>
  <c r="G101" i="1"/>
  <c r="P101" i="1" s="1"/>
  <c r="G109" i="1"/>
  <c r="P109" i="1" s="1"/>
  <c r="G115" i="1"/>
  <c r="P115" i="1" s="1"/>
  <c r="G124" i="1"/>
  <c r="P124" i="1" s="1"/>
  <c r="G132" i="1"/>
  <c r="P132" i="1" s="1"/>
  <c r="G140" i="1"/>
  <c r="P140" i="1" s="1"/>
  <c r="G148" i="1"/>
  <c r="P148" i="1" s="1"/>
  <c r="G156" i="1"/>
  <c r="P156" i="1" s="1"/>
  <c r="G164" i="1"/>
  <c r="P164" i="1" s="1"/>
  <c r="G172" i="1"/>
  <c r="P172" i="1" s="1"/>
  <c r="G180" i="1"/>
  <c r="P180" i="1" s="1"/>
  <c r="G188" i="1"/>
  <c r="P188" i="1" s="1"/>
  <c r="G196" i="1"/>
  <c r="P196" i="1" s="1"/>
  <c r="G199" i="1"/>
  <c r="P199" i="1" s="1"/>
  <c r="G207" i="1"/>
  <c r="P207" i="1" s="1"/>
  <c r="G215" i="1"/>
  <c r="P215" i="1" s="1"/>
  <c r="G223" i="1"/>
  <c r="P223" i="1" s="1"/>
  <c r="G236" i="1"/>
  <c r="P236" i="1" s="1"/>
  <c r="G248" i="1"/>
  <c r="P248" i="1" s="1"/>
  <c r="G253" i="1"/>
  <c r="P253" i="1" s="1"/>
  <c r="G260" i="1"/>
  <c r="P260" i="1" s="1"/>
  <c r="G268" i="1"/>
  <c r="P268" i="1" s="1"/>
  <c r="G276" i="1"/>
  <c r="P276" i="1" s="1"/>
  <c r="G284" i="1"/>
  <c r="P284" i="1" s="1"/>
  <c r="G292" i="1"/>
  <c r="P292" i="1" s="1"/>
  <c r="G300" i="1"/>
  <c r="P300" i="1" s="1"/>
  <c r="G308" i="1"/>
  <c r="P308" i="1" s="1"/>
  <c r="G316" i="1"/>
  <c r="P316" i="1" s="1"/>
  <c r="G324" i="1"/>
  <c r="P324" i="1" s="1"/>
  <c r="G332" i="1"/>
  <c r="P332" i="1" s="1"/>
  <c r="G340" i="1"/>
  <c r="P340" i="1" s="1"/>
  <c r="G348" i="1"/>
  <c r="P348" i="1" s="1"/>
  <c r="G357" i="1"/>
  <c r="P357" i="1" s="1"/>
  <c r="G364" i="1"/>
  <c r="P364" i="1" s="1"/>
  <c r="G371" i="1"/>
  <c r="P371" i="1" s="1"/>
  <c r="G380" i="1"/>
  <c r="P380" i="1" s="1"/>
  <c r="G386" i="1"/>
  <c r="P386" i="1" s="1"/>
  <c r="G394" i="1"/>
  <c r="P394" i="1" s="1"/>
  <c r="G402" i="1"/>
  <c r="P402" i="1" s="1"/>
  <c r="G408" i="1"/>
  <c r="P408" i="1" s="1"/>
  <c r="G416" i="1"/>
  <c r="P416" i="1" s="1"/>
  <c r="G424" i="1"/>
  <c r="P424" i="1" s="1"/>
  <c r="G432" i="1"/>
  <c r="P432" i="1" s="1"/>
  <c r="G449" i="1"/>
  <c r="P449" i="1" s="1"/>
  <c r="G457" i="1"/>
  <c r="P457" i="1" s="1"/>
  <c r="G466" i="1"/>
  <c r="P466" i="1" s="1"/>
  <c r="G483" i="1"/>
  <c r="P483" i="1" s="1"/>
  <c r="G474" i="1"/>
  <c r="P474" i="1" s="1"/>
  <c r="G489" i="1"/>
  <c r="P489" i="1" s="1"/>
  <c r="G495" i="1"/>
  <c r="P495" i="1" s="1"/>
  <c r="G505" i="1"/>
  <c r="P505" i="1" s="1"/>
  <c r="G513" i="1"/>
  <c r="P513" i="1" s="1"/>
  <c r="G521" i="1"/>
  <c r="P521" i="1" s="1"/>
  <c r="G538" i="1"/>
  <c r="P538" i="1" s="1"/>
  <c r="G533" i="1"/>
  <c r="P533" i="1" s="1"/>
  <c r="G544" i="1"/>
  <c r="P544" i="1" s="1"/>
  <c r="G552" i="1"/>
  <c r="P552" i="1" s="1"/>
  <c r="G561" i="1"/>
  <c r="P561" i="1" s="1"/>
  <c r="G569" i="1"/>
  <c r="P569" i="1" s="1"/>
  <c r="G577" i="1"/>
  <c r="P577" i="1" s="1"/>
  <c r="G585" i="1"/>
  <c r="P585" i="1" s="1"/>
  <c r="G593" i="1"/>
  <c r="P593" i="1" s="1"/>
  <c r="G601" i="1"/>
  <c r="P601" i="1" s="1"/>
  <c r="G609" i="1"/>
  <c r="P609" i="1" s="1"/>
  <c r="G617" i="1"/>
  <c r="P617" i="1" s="1"/>
  <c r="G625" i="1"/>
  <c r="P625" i="1" s="1"/>
  <c r="G633" i="1"/>
  <c r="P633" i="1" s="1"/>
  <c r="G641" i="1"/>
  <c r="P641" i="1" s="1"/>
  <c r="G649" i="1"/>
  <c r="P649" i="1" s="1"/>
  <c r="G657" i="1"/>
  <c r="P657" i="1" s="1"/>
  <c r="G14" i="1"/>
  <c r="P14" i="1" s="1"/>
  <c r="G22" i="1"/>
  <c r="P22" i="1" s="1"/>
  <c r="G31" i="1"/>
  <c r="P31" i="1" s="1"/>
  <c r="G39" i="1"/>
  <c r="P39" i="1" s="1"/>
  <c r="G46" i="1"/>
  <c r="P46" i="1" s="1"/>
  <c r="G54" i="1"/>
  <c r="P54" i="1" s="1"/>
  <c r="G63" i="1"/>
  <c r="P63" i="1" s="1"/>
  <c r="G70" i="1"/>
  <c r="P70" i="1" s="1"/>
  <c r="G90" i="1"/>
  <c r="P90" i="1" s="1"/>
  <c r="G97" i="1"/>
  <c r="P97" i="1" s="1"/>
  <c r="G79" i="1"/>
  <c r="P79" i="1" s="1"/>
  <c r="G102" i="1"/>
  <c r="P102" i="1" s="1"/>
  <c r="G110" i="1"/>
  <c r="P110" i="1" s="1"/>
  <c r="G117" i="1"/>
  <c r="P117" i="1" s="1"/>
  <c r="G125" i="1"/>
  <c r="P125" i="1" s="1"/>
  <c r="G133" i="1"/>
  <c r="P133" i="1" s="1"/>
  <c r="G141" i="1"/>
  <c r="P141" i="1" s="1"/>
  <c r="G149" i="1"/>
  <c r="P149" i="1" s="1"/>
  <c r="G157" i="1"/>
  <c r="P157" i="1" s="1"/>
  <c r="G165" i="1"/>
  <c r="P165" i="1" s="1"/>
  <c r="G173" i="1"/>
  <c r="P173" i="1" s="1"/>
  <c r="G181" i="1"/>
  <c r="P181" i="1" s="1"/>
  <c r="G189" i="1"/>
  <c r="P189" i="1" s="1"/>
  <c r="G197" i="1"/>
  <c r="P197" i="1" s="1"/>
  <c r="G200" i="1"/>
  <c r="P200" i="1" s="1"/>
  <c r="G208" i="1"/>
  <c r="P208" i="1" s="1"/>
  <c r="G216" i="1"/>
  <c r="P216" i="1" s="1"/>
  <c r="G229" i="1"/>
  <c r="P229" i="1" s="1"/>
  <c r="G237" i="1"/>
  <c r="P237" i="1" s="1"/>
  <c r="G241" i="1"/>
  <c r="P241" i="1" s="1"/>
  <c r="G251" i="1"/>
  <c r="P251" i="1" s="1"/>
  <c r="G261" i="1"/>
  <c r="P261" i="1" s="1"/>
  <c r="G267" i="1"/>
  <c r="P267" i="1" s="1"/>
  <c r="G277" i="1"/>
  <c r="P277" i="1" s="1"/>
  <c r="G285" i="1"/>
  <c r="P285" i="1" s="1"/>
  <c r="G293" i="1"/>
  <c r="P293" i="1" s="1"/>
  <c r="G301" i="1"/>
  <c r="P301" i="1" s="1"/>
  <c r="G309" i="1"/>
  <c r="P309" i="1" s="1"/>
  <c r="G317" i="1"/>
  <c r="P317" i="1" s="1"/>
  <c r="G325" i="1"/>
  <c r="P325" i="1" s="1"/>
  <c r="G333" i="1"/>
  <c r="P333" i="1" s="1"/>
  <c r="G341" i="1"/>
  <c r="P341" i="1" s="1"/>
  <c r="G349" i="1"/>
  <c r="P349" i="1" s="1"/>
  <c r="G358" i="1"/>
  <c r="P358" i="1" s="1"/>
  <c r="G365" i="1"/>
  <c r="P365" i="1" s="1"/>
  <c r="G372" i="1"/>
  <c r="P372" i="1" s="1"/>
  <c r="G381" i="1"/>
  <c r="P381" i="1" s="1"/>
  <c r="G387" i="1"/>
  <c r="P387" i="1" s="1"/>
  <c r="G395" i="1"/>
  <c r="P395" i="1" s="1"/>
  <c r="G435" i="1"/>
  <c r="P435" i="1" s="1"/>
  <c r="G409" i="1"/>
  <c r="P409" i="1" s="1"/>
  <c r="G417" i="1"/>
  <c r="P417" i="1" s="1"/>
  <c r="G425" i="1"/>
  <c r="P425" i="1" s="1"/>
  <c r="G433" i="1"/>
  <c r="P433" i="1" s="1"/>
  <c r="G442" i="1"/>
  <c r="P442" i="1" s="1"/>
  <c r="G450" i="1"/>
  <c r="P450" i="1" s="1"/>
  <c r="G458" i="1"/>
  <c r="P458" i="1" s="1"/>
  <c r="G465" i="1"/>
  <c r="P465" i="1" s="1"/>
  <c r="G484" i="1"/>
  <c r="P484" i="1" s="1"/>
  <c r="G477" i="1"/>
  <c r="P477" i="1" s="1"/>
  <c r="G490" i="1"/>
  <c r="P490" i="1" s="1"/>
  <c r="G496" i="1"/>
  <c r="P496" i="1" s="1"/>
  <c r="G506" i="1"/>
  <c r="P506" i="1" s="1"/>
  <c r="G520" i="1"/>
  <c r="P520" i="1" s="1"/>
  <c r="G522" i="1"/>
  <c r="P522" i="1" s="1"/>
  <c r="G539" i="1"/>
  <c r="P539" i="1" s="1"/>
  <c r="G534" i="1"/>
  <c r="P534" i="1" s="1"/>
  <c r="G545" i="1"/>
  <c r="P545" i="1" s="1"/>
  <c r="G553" i="1"/>
  <c r="P553" i="1" s="1"/>
  <c r="G562" i="1"/>
  <c r="P562" i="1" s="1"/>
  <c r="G570" i="1"/>
  <c r="P570" i="1" s="1"/>
  <c r="G578" i="1"/>
  <c r="P578" i="1" s="1"/>
  <c r="G586" i="1"/>
  <c r="P586" i="1" s="1"/>
  <c r="G594" i="1"/>
  <c r="P594" i="1" s="1"/>
  <c r="G602" i="1"/>
  <c r="P602" i="1" s="1"/>
  <c r="G610" i="1"/>
  <c r="P610" i="1" s="1"/>
  <c r="G618" i="1"/>
  <c r="P618" i="1" s="1"/>
  <c r="G626" i="1"/>
  <c r="P626" i="1" s="1"/>
  <c r="G634" i="1"/>
  <c r="P634" i="1" s="1"/>
  <c r="G642" i="1"/>
  <c r="P642" i="1" s="1"/>
  <c r="G650" i="1"/>
  <c r="P650" i="1" s="1"/>
  <c r="G658" i="1"/>
  <c r="P658" i="1" s="1"/>
  <c r="G15" i="1"/>
  <c r="P15" i="1" s="1"/>
  <c r="G25" i="1"/>
  <c r="P25" i="1" s="1"/>
  <c r="G32" i="1"/>
  <c r="P32" i="1" s="1"/>
  <c r="G40" i="1"/>
  <c r="P40" i="1" s="1"/>
  <c r="G47" i="1"/>
  <c r="P47" i="1" s="1"/>
  <c r="G55" i="1"/>
  <c r="P55" i="1" s="1"/>
  <c r="G62" i="1"/>
  <c r="P62" i="1" s="1"/>
  <c r="G71" i="1"/>
  <c r="P71" i="1" s="1"/>
  <c r="G91" i="1"/>
  <c r="P91" i="1" s="1"/>
  <c r="G76" i="1"/>
  <c r="P76" i="1" s="1"/>
  <c r="G83" i="1"/>
  <c r="P83" i="1" s="1"/>
  <c r="G103" i="1"/>
  <c r="P103" i="1" s="1"/>
  <c r="G111" i="1"/>
  <c r="P111" i="1" s="1"/>
  <c r="G118" i="1"/>
  <c r="P118" i="1" s="1"/>
  <c r="G126" i="1"/>
  <c r="P126" i="1" s="1"/>
  <c r="G134" i="1"/>
  <c r="P134" i="1" s="1"/>
  <c r="G142" i="1"/>
  <c r="P142" i="1" s="1"/>
  <c r="G150" i="1"/>
  <c r="P150" i="1" s="1"/>
  <c r="G158" i="1"/>
  <c r="P158" i="1" s="1"/>
  <c r="G166" i="1"/>
  <c r="P166" i="1" s="1"/>
  <c r="G174" i="1"/>
  <c r="P174" i="1" s="1"/>
  <c r="G182" i="1"/>
  <c r="P182" i="1" s="1"/>
  <c r="G190" i="1"/>
  <c r="P190" i="1" s="1"/>
  <c r="G224" i="1"/>
  <c r="P224" i="1" s="1"/>
  <c r="G201" i="1"/>
  <c r="P201" i="1" s="1"/>
  <c r="G209" i="1"/>
  <c r="P209" i="1" s="1"/>
  <c r="G217" i="1"/>
  <c r="P217" i="1" s="1"/>
  <c r="G230" i="1"/>
  <c r="P230" i="1" s="1"/>
  <c r="G238" i="1"/>
  <c r="P238" i="1" s="1"/>
  <c r="G244" i="1"/>
  <c r="P244" i="1" s="1"/>
  <c r="G254" i="1"/>
  <c r="P254" i="1" s="1"/>
  <c r="G270" i="1"/>
  <c r="P270" i="1" s="1"/>
  <c r="G269" i="1"/>
  <c r="P269" i="1" s="1"/>
  <c r="G278" i="1"/>
  <c r="P278" i="1" s="1"/>
  <c r="G286" i="1"/>
  <c r="P286" i="1" s="1"/>
  <c r="G294" i="1"/>
  <c r="P294" i="1" s="1"/>
  <c r="G302" i="1"/>
  <c r="P302" i="1" s="1"/>
  <c r="G310" i="1"/>
  <c r="P310" i="1" s="1"/>
  <c r="G318" i="1"/>
  <c r="P318" i="1" s="1"/>
  <c r="G326" i="1"/>
  <c r="P326" i="1" s="1"/>
  <c r="G334" i="1"/>
  <c r="P334" i="1" s="1"/>
  <c r="G342" i="1"/>
  <c r="P342" i="1" s="1"/>
  <c r="G350" i="1"/>
  <c r="P350" i="1" s="1"/>
  <c r="G352" i="1"/>
  <c r="P352" i="1" s="1"/>
  <c r="G366" i="1"/>
  <c r="P366" i="1" s="1"/>
  <c r="G373" i="1"/>
  <c r="P373" i="1" s="1"/>
  <c r="G382" i="1"/>
  <c r="P382" i="1" s="1"/>
  <c r="G388" i="1"/>
  <c r="P388" i="1" s="1"/>
  <c r="G396" i="1"/>
  <c r="P396" i="1" s="1"/>
  <c r="G403" i="1"/>
  <c r="P403" i="1" s="1"/>
  <c r="G410" i="1"/>
  <c r="P410" i="1" s="1"/>
  <c r="G418" i="1"/>
  <c r="P418" i="1" s="1"/>
  <c r="G426" i="1"/>
  <c r="P426" i="1" s="1"/>
  <c r="G434" i="1"/>
  <c r="P434" i="1" s="1"/>
  <c r="G443" i="1"/>
  <c r="P443" i="1" s="1"/>
  <c r="G451" i="1"/>
  <c r="P451" i="1" s="1"/>
  <c r="G459" i="1"/>
  <c r="P459" i="1" s="1"/>
  <c r="G467" i="1"/>
  <c r="P467" i="1" s="1"/>
  <c r="G472" i="1"/>
  <c r="P472" i="1" s="1"/>
  <c r="G480" i="1"/>
  <c r="P480" i="1" s="1"/>
  <c r="G491" i="1"/>
  <c r="P491" i="1" s="1"/>
  <c r="G499" i="1"/>
  <c r="P499" i="1" s="1"/>
  <c r="G507" i="1"/>
  <c r="P507" i="1" s="1"/>
  <c r="G514" i="1"/>
  <c r="P514" i="1" s="1"/>
  <c r="G523" i="1"/>
  <c r="P523" i="1" s="1"/>
  <c r="G541" i="1"/>
  <c r="P541" i="1" s="1"/>
  <c r="G535" i="1"/>
  <c r="P535" i="1" s="1"/>
  <c r="G546" i="1"/>
  <c r="P546" i="1" s="1"/>
  <c r="G554" i="1"/>
  <c r="P554" i="1" s="1"/>
  <c r="G563" i="1"/>
  <c r="P563" i="1" s="1"/>
  <c r="G571" i="1"/>
  <c r="P571" i="1" s="1"/>
  <c r="G579" i="1"/>
  <c r="P579" i="1" s="1"/>
  <c r="G587" i="1"/>
  <c r="P587" i="1" s="1"/>
  <c r="G595" i="1"/>
  <c r="P595" i="1" s="1"/>
  <c r="G603" i="1"/>
  <c r="P603" i="1" s="1"/>
  <c r="G611" i="1"/>
  <c r="P611" i="1" s="1"/>
  <c r="G619" i="1"/>
  <c r="P619" i="1" s="1"/>
  <c r="G627" i="1"/>
  <c r="P627" i="1" s="1"/>
  <c r="G635" i="1"/>
  <c r="P635" i="1" s="1"/>
  <c r="G643" i="1"/>
  <c r="P643" i="1" s="1"/>
  <c r="G651" i="1"/>
  <c r="P651" i="1" s="1"/>
  <c r="G659" i="1"/>
  <c r="P659" i="1" s="1"/>
  <c r="G8" i="1"/>
  <c r="P8" i="1" s="1"/>
  <c r="G16" i="1"/>
  <c r="P16" i="1" s="1"/>
  <c r="G23" i="1"/>
  <c r="P23" i="1" s="1"/>
  <c r="G33" i="1"/>
  <c r="P33" i="1" s="1"/>
  <c r="G30" i="1"/>
  <c r="P30" i="1" s="1"/>
  <c r="G48" i="1"/>
  <c r="P48" i="1" s="1"/>
  <c r="G56" i="1"/>
  <c r="P56" i="1" s="1"/>
  <c r="G64" i="1"/>
  <c r="P64" i="1" s="1"/>
  <c r="G72" i="1"/>
  <c r="P72" i="1" s="1"/>
  <c r="G92" i="1"/>
  <c r="P92" i="1" s="1"/>
  <c r="G80" i="1"/>
  <c r="P80" i="1" s="1"/>
  <c r="G87" i="1"/>
  <c r="P87" i="1" s="1"/>
  <c r="G104" i="1"/>
  <c r="P104" i="1" s="1"/>
  <c r="G119" i="1"/>
  <c r="P119" i="1" s="1"/>
  <c r="G127" i="1"/>
  <c r="P127" i="1" s="1"/>
  <c r="G135" i="1"/>
  <c r="P135" i="1" s="1"/>
  <c r="G143" i="1"/>
  <c r="P143" i="1" s="1"/>
  <c r="G151" i="1"/>
  <c r="P151" i="1" s="1"/>
  <c r="G159" i="1"/>
  <c r="P159" i="1" s="1"/>
  <c r="G167" i="1"/>
  <c r="P167" i="1" s="1"/>
  <c r="G175" i="1"/>
  <c r="P175" i="1" s="1"/>
  <c r="P177" i="1" s="1"/>
  <c r="G183" i="1"/>
  <c r="P183" i="1" s="1"/>
  <c r="G191" i="1"/>
  <c r="P191" i="1" s="1"/>
  <c r="G225" i="1"/>
  <c r="P225" i="1" s="1"/>
  <c r="G202" i="1"/>
  <c r="P202" i="1" s="1"/>
  <c r="G210" i="1"/>
  <c r="P210" i="1" s="1"/>
  <c r="G218" i="1"/>
  <c r="P218" i="1" s="1"/>
  <c r="G231" i="1"/>
  <c r="P231" i="1" s="1"/>
  <c r="G239" i="1"/>
  <c r="P239" i="1" s="1"/>
  <c r="G247" i="1"/>
  <c r="P247" i="1" s="1"/>
  <c r="G255" i="1"/>
  <c r="P255" i="1" s="1"/>
  <c r="G262" i="1"/>
  <c r="P262" i="1" s="1"/>
  <c r="G271" i="1"/>
  <c r="P271" i="1" s="1"/>
  <c r="G279" i="1"/>
  <c r="P279" i="1" s="1"/>
  <c r="G287" i="1"/>
  <c r="P287" i="1" s="1"/>
  <c r="G295" i="1"/>
  <c r="P295" i="1" s="1"/>
  <c r="G303" i="1"/>
  <c r="P303" i="1" s="1"/>
  <c r="G311" i="1"/>
  <c r="P311" i="1" s="1"/>
  <c r="G319" i="1"/>
  <c r="P319" i="1" s="1"/>
  <c r="G327" i="1"/>
  <c r="P327" i="1" s="1"/>
  <c r="G335" i="1"/>
  <c r="P335" i="1" s="1"/>
  <c r="G343" i="1"/>
  <c r="P343" i="1" s="1"/>
  <c r="G351" i="1"/>
  <c r="P351" i="1" s="1"/>
  <c r="G355" i="1"/>
  <c r="P355" i="1" s="1"/>
  <c r="G368" i="1"/>
  <c r="P368" i="1" s="1"/>
  <c r="G374" i="1"/>
  <c r="P374" i="1" s="1"/>
  <c r="G379" i="1"/>
  <c r="P379" i="1" s="1"/>
  <c r="G389" i="1"/>
  <c r="P389" i="1" s="1"/>
  <c r="G397" i="1"/>
  <c r="P397" i="1" s="1"/>
  <c r="G404" i="1"/>
  <c r="P404" i="1" s="1"/>
  <c r="G411" i="1"/>
  <c r="P411" i="1" s="1"/>
  <c r="G419" i="1"/>
  <c r="P419" i="1" s="1"/>
  <c r="G427" i="1"/>
  <c r="P427" i="1" s="1"/>
  <c r="G437" i="1"/>
  <c r="P437" i="1" s="1"/>
  <c r="G444" i="1"/>
  <c r="P444" i="1" s="1"/>
  <c r="G452" i="1"/>
  <c r="P452" i="1" s="1"/>
  <c r="G460" i="1"/>
  <c r="P460" i="1" s="1"/>
  <c r="G468" i="1"/>
  <c r="P468" i="1" s="1"/>
  <c r="G475" i="1"/>
  <c r="P475" i="1" s="1"/>
  <c r="G481" i="1"/>
  <c r="P481" i="1" s="1"/>
  <c r="G492" i="1"/>
  <c r="P492" i="1" s="1"/>
  <c r="G500" i="1"/>
  <c r="P500" i="1" s="1"/>
  <c r="G508" i="1"/>
  <c r="P508" i="1" s="1"/>
  <c r="G515" i="1"/>
  <c r="P515" i="1" s="1"/>
  <c r="G524" i="1"/>
  <c r="P524" i="1" s="1"/>
  <c r="G529" i="1"/>
  <c r="P529" i="1" s="1"/>
  <c r="G537" i="1"/>
  <c r="P537" i="1" s="1"/>
  <c r="G547" i="1"/>
  <c r="P547" i="1" s="1"/>
  <c r="G555" i="1"/>
  <c r="P555" i="1" s="1"/>
  <c r="G564" i="1"/>
  <c r="P564" i="1" s="1"/>
  <c r="G572" i="1"/>
  <c r="P572" i="1" s="1"/>
  <c r="G580" i="1"/>
  <c r="P580" i="1" s="1"/>
  <c r="G588" i="1"/>
  <c r="P588" i="1" s="1"/>
  <c r="G596" i="1"/>
  <c r="P596" i="1" s="1"/>
  <c r="G604" i="1"/>
  <c r="P604" i="1" s="1"/>
  <c r="G612" i="1"/>
  <c r="P612" i="1" s="1"/>
  <c r="G620" i="1"/>
  <c r="P620" i="1" s="1"/>
  <c r="G628" i="1"/>
  <c r="P628" i="1" s="1"/>
  <c r="G636" i="1"/>
  <c r="P636" i="1" s="1"/>
  <c r="G644" i="1"/>
  <c r="P644" i="1" s="1"/>
  <c r="G652" i="1"/>
  <c r="P652" i="1" s="1"/>
  <c r="G660" i="1"/>
  <c r="P660" i="1" s="1"/>
  <c r="G9" i="1"/>
  <c r="P9" i="1" s="1"/>
  <c r="G17" i="1"/>
  <c r="P17" i="1" s="1"/>
  <c r="G24" i="1"/>
  <c r="P24" i="1" s="1"/>
  <c r="G34" i="1"/>
  <c r="P34" i="1" s="1"/>
  <c r="G41" i="1"/>
  <c r="P41" i="1" s="1"/>
  <c r="G49" i="1"/>
  <c r="P49" i="1" s="1"/>
  <c r="G57" i="1"/>
  <c r="P57" i="1" s="1"/>
  <c r="G65" i="1"/>
  <c r="P65" i="1" s="1"/>
  <c r="G73" i="1"/>
  <c r="P73" i="1" s="1"/>
  <c r="G93" i="1"/>
  <c r="P93" i="1" s="1"/>
  <c r="G81" i="1"/>
  <c r="P81" i="1" s="1"/>
  <c r="G77" i="1"/>
  <c r="P77" i="1" s="1"/>
  <c r="G105" i="1"/>
  <c r="P105" i="1" s="1"/>
  <c r="G112" i="1"/>
  <c r="P112" i="1" s="1"/>
  <c r="G120" i="1"/>
  <c r="P120" i="1" s="1"/>
  <c r="G128" i="1"/>
  <c r="P128" i="1" s="1"/>
  <c r="G136" i="1"/>
  <c r="P136" i="1" s="1"/>
  <c r="G144" i="1"/>
  <c r="P144" i="1" s="1"/>
  <c r="G152" i="1"/>
  <c r="P152" i="1" s="1"/>
  <c r="G160" i="1"/>
  <c r="P160" i="1" s="1"/>
  <c r="G168" i="1"/>
  <c r="P168" i="1" s="1"/>
  <c r="G176" i="1"/>
  <c r="P176" i="1" s="1"/>
  <c r="G184" i="1"/>
  <c r="P184" i="1" s="1"/>
  <c r="G192" i="1"/>
  <c r="P192" i="1" s="1"/>
  <c r="G226" i="1"/>
  <c r="P226" i="1" s="1"/>
  <c r="G228" i="1"/>
  <c r="P228" i="1" s="1"/>
  <c r="G211" i="1"/>
  <c r="P211" i="1" s="1"/>
  <c r="G219" i="1"/>
  <c r="P219" i="1" s="1"/>
  <c r="G232" i="1"/>
  <c r="P232" i="1" s="1"/>
  <c r="G250" i="1"/>
  <c r="P250" i="1" s="1"/>
  <c r="G252" i="1"/>
  <c r="P252" i="1" s="1"/>
  <c r="G256" i="1"/>
  <c r="P256" i="1" s="1"/>
  <c r="G266" i="1"/>
  <c r="P266" i="1" s="1"/>
  <c r="G272" i="1"/>
  <c r="P272" i="1" s="1"/>
  <c r="G280" i="1"/>
  <c r="P280" i="1" s="1"/>
  <c r="G288" i="1"/>
  <c r="P288" i="1" s="1"/>
  <c r="G296" i="1"/>
  <c r="P296" i="1" s="1"/>
  <c r="G304" i="1"/>
  <c r="P304" i="1" s="1"/>
  <c r="G312" i="1"/>
  <c r="P312" i="1" s="1"/>
  <c r="G320" i="1"/>
  <c r="P320" i="1" s="1"/>
  <c r="G328" i="1"/>
  <c r="P328" i="1" s="1"/>
  <c r="G336" i="1"/>
  <c r="P336" i="1" s="1"/>
  <c r="G344" i="1"/>
  <c r="P344" i="1" s="1"/>
  <c r="G361" i="1"/>
  <c r="P361" i="1" s="1"/>
  <c r="G359" i="1"/>
  <c r="P359" i="1" s="1"/>
  <c r="G370" i="1"/>
  <c r="P370" i="1" s="1"/>
  <c r="G375" i="1"/>
  <c r="P375" i="1" s="1"/>
  <c r="G383" i="1"/>
  <c r="P383" i="1" s="1"/>
  <c r="G390" i="1"/>
  <c r="P390" i="1" s="1"/>
  <c r="G398" i="1"/>
  <c r="P398" i="1" s="1"/>
  <c r="G436" i="1"/>
  <c r="P436" i="1" s="1"/>
  <c r="G412" i="1"/>
  <c r="P412" i="1" s="1"/>
  <c r="G420" i="1"/>
  <c r="P420" i="1" s="1"/>
  <c r="G428" i="1"/>
  <c r="P428" i="1" s="1"/>
  <c r="G438" i="1"/>
  <c r="P438" i="1" s="1"/>
  <c r="G445" i="1"/>
  <c r="P445" i="1" s="1"/>
  <c r="G453" i="1"/>
  <c r="P453" i="1" s="1"/>
  <c r="G461" i="1"/>
  <c r="P461" i="1" s="1"/>
  <c r="G471" i="1"/>
  <c r="P471" i="1" s="1"/>
  <c r="G478" i="1"/>
  <c r="P478" i="1" s="1"/>
  <c r="G485" i="1"/>
  <c r="P485" i="1" s="1"/>
  <c r="G493" i="1"/>
  <c r="P493" i="1" s="1"/>
  <c r="G501" i="1"/>
  <c r="P501" i="1" s="1"/>
  <c r="G509" i="1"/>
  <c r="P509" i="1" s="1"/>
  <c r="G516" i="1"/>
  <c r="P516" i="1" s="1"/>
  <c r="G525" i="1"/>
  <c r="P525" i="1" s="1"/>
  <c r="G530" i="1"/>
  <c r="P530" i="1" s="1"/>
  <c r="G540" i="1"/>
  <c r="P540" i="1" s="1"/>
  <c r="G548" i="1"/>
  <c r="P548" i="1" s="1"/>
  <c r="G556" i="1"/>
  <c r="P556" i="1" s="1"/>
  <c r="G565" i="1"/>
  <c r="P565" i="1" s="1"/>
  <c r="G573" i="1"/>
  <c r="P573" i="1" s="1"/>
  <c r="G581" i="1"/>
  <c r="P581" i="1" s="1"/>
  <c r="G589" i="1"/>
  <c r="P589" i="1" s="1"/>
  <c r="G597" i="1"/>
  <c r="P597" i="1" s="1"/>
  <c r="G605" i="1"/>
  <c r="P605" i="1" s="1"/>
  <c r="G613" i="1"/>
  <c r="P613" i="1" s="1"/>
  <c r="G621" i="1"/>
  <c r="P621" i="1" s="1"/>
  <c r="G629" i="1"/>
  <c r="P629" i="1" s="1"/>
  <c r="G637" i="1"/>
  <c r="P637" i="1" s="1"/>
  <c r="G645" i="1"/>
  <c r="P645" i="1" s="1"/>
  <c r="G653" i="1"/>
  <c r="P653" i="1" s="1"/>
  <c r="G661" i="1"/>
  <c r="P661" i="1" s="1"/>
  <c r="G58" i="1"/>
  <c r="P58" i="1" s="1"/>
  <c r="G121" i="1"/>
  <c r="P121" i="1" s="1"/>
  <c r="G185" i="1"/>
  <c r="P185" i="1" s="1"/>
  <c r="G243" i="1"/>
  <c r="P243" i="1" s="1"/>
  <c r="G313" i="1"/>
  <c r="P313" i="1" s="1"/>
  <c r="G377" i="1"/>
  <c r="P377" i="1" s="1"/>
  <c r="G439" i="1"/>
  <c r="P439" i="1" s="1"/>
  <c r="G502" i="1"/>
  <c r="P502" i="1" s="1"/>
  <c r="G566" i="1"/>
  <c r="P566" i="1" s="1"/>
  <c r="G630" i="1"/>
  <c r="P630" i="1" s="1"/>
  <c r="G666" i="1"/>
  <c r="P666" i="1" s="1"/>
  <c r="G674" i="1"/>
  <c r="P674" i="1" s="1"/>
  <c r="G682" i="1"/>
  <c r="P682" i="1" s="1"/>
  <c r="G690" i="1"/>
  <c r="P690" i="1" s="1"/>
  <c r="G698" i="1"/>
  <c r="P698" i="1" s="1"/>
  <c r="G706" i="1"/>
  <c r="P706" i="1" s="1"/>
  <c r="G714" i="1"/>
  <c r="P714" i="1" s="1"/>
  <c r="G722" i="1"/>
  <c r="P722" i="1" s="1"/>
  <c r="G729" i="1"/>
  <c r="P729" i="1" s="1"/>
  <c r="G737" i="1"/>
  <c r="P737" i="1" s="1"/>
  <c r="G745" i="1"/>
  <c r="P745" i="1" s="1"/>
  <c r="G753" i="1"/>
  <c r="P753" i="1" s="1"/>
  <c r="G761" i="1"/>
  <c r="P761" i="1" s="1"/>
  <c r="G769" i="1"/>
  <c r="P769" i="1" s="1"/>
  <c r="G777" i="1"/>
  <c r="P777" i="1" s="1"/>
  <c r="G785" i="1"/>
  <c r="P785" i="1" s="1"/>
  <c r="G793" i="1"/>
  <c r="P793" i="1" s="1"/>
  <c r="G801" i="1"/>
  <c r="P801" i="1" s="1"/>
  <c r="G809" i="1"/>
  <c r="P809" i="1" s="1"/>
  <c r="G817" i="1"/>
  <c r="P817" i="1" s="1"/>
  <c r="G825" i="1"/>
  <c r="P825" i="1" s="1"/>
  <c r="G833" i="1"/>
  <c r="P833" i="1" s="1"/>
  <c r="G841" i="1"/>
  <c r="P841" i="1" s="1"/>
  <c r="G849" i="1"/>
  <c r="P849" i="1" s="1"/>
  <c r="G857" i="1"/>
  <c r="P857" i="1" s="1"/>
  <c r="G865" i="1"/>
  <c r="P865" i="1" s="1"/>
  <c r="G874" i="1"/>
  <c r="P874" i="1" s="1"/>
  <c r="G882" i="1"/>
  <c r="P882" i="1" s="1"/>
  <c r="G890" i="1"/>
  <c r="P890" i="1" s="1"/>
  <c r="G898" i="1"/>
  <c r="P898" i="1" s="1"/>
  <c r="G914" i="1"/>
  <c r="P914" i="1" s="1"/>
  <c r="G913" i="1"/>
  <c r="P913" i="1" s="1"/>
  <c r="G922" i="1"/>
  <c r="P922" i="1" s="1"/>
  <c r="G930" i="1"/>
  <c r="P930" i="1" s="1"/>
  <c r="G938" i="1"/>
  <c r="P938" i="1" s="1"/>
  <c r="G947" i="1"/>
  <c r="P947" i="1" s="1"/>
  <c r="G954" i="1"/>
  <c r="P954" i="1" s="1"/>
  <c r="G962" i="1"/>
  <c r="P962" i="1" s="1"/>
  <c r="G970" i="1"/>
  <c r="P970" i="1" s="1"/>
  <c r="G978" i="1"/>
  <c r="P978" i="1" s="1"/>
  <c r="G986" i="1"/>
  <c r="P986" i="1" s="1"/>
  <c r="G994" i="1"/>
  <c r="P994" i="1" s="1"/>
  <c r="G1002" i="1"/>
  <c r="P1002" i="1" s="1"/>
  <c r="G1013" i="1"/>
  <c r="P1013" i="1" s="1"/>
  <c r="G1020" i="1"/>
  <c r="P1020" i="1" s="1"/>
  <c r="G1033" i="1"/>
  <c r="P1033" i="1" s="1"/>
  <c r="G1041" i="1"/>
  <c r="P1041" i="1" s="1"/>
  <c r="G1052" i="1"/>
  <c r="P1052" i="1" s="1"/>
  <c r="G1054" i="1"/>
  <c r="P1054" i="1" s="1"/>
  <c r="G1066" i="1"/>
  <c r="P1066" i="1" s="1"/>
  <c r="G1076" i="1"/>
  <c r="P1076" i="1" s="1"/>
  <c r="G1086" i="1"/>
  <c r="P1086" i="1" s="1"/>
  <c r="G1091" i="1"/>
  <c r="P1091" i="1" s="1"/>
  <c r="G1115" i="1"/>
  <c r="P1115" i="1" s="1"/>
  <c r="G1105" i="1"/>
  <c r="P1105" i="1" s="1"/>
  <c r="G1093" i="1"/>
  <c r="P1093" i="1" s="1"/>
  <c r="G1101" i="1"/>
  <c r="P1101" i="1" s="1"/>
  <c r="G1111" i="1"/>
  <c r="P1111" i="1" s="1"/>
  <c r="G1137" i="1"/>
  <c r="P1137" i="1" s="1"/>
  <c r="G1146" i="1"/>
  <c r="P1146" i="1" s="1"/>
  <c r="G1153" i="1"/>
  <c r="P1153" i="1" s="1"/>
  <c r="G1161" i="1"/>
  <c r="P1161" i="1" s="1"/>
  <c r="G1169" i="1"/>
  <c r="P1169" i="1" s="1"/>
  <c r="G1177" i="1"/>
  <c r="P1177" i="1" s="1"/>
  <c r="G1205" i="1"/>
  <c r="P1205" i="1" s="1"/>
  <c r="G1190" i="1"/>
  <c r="P1190" i="1" s="1"/>
  <c r="G1207" i="1"/>
  <c r="P1207" i="1" s="1"/>
  <c r="G1215" i="1"/>
  <c r="P1215" i="1" s="1"/>
  <c r="G1223" i="1"/>
  <c r="P1223" i="1" s="1"/>
  <c r="G1231" i="1"/>
  <c r="P1231" i="1" s="1"/>
  <c r="G1239" i="1"/>
  <c r="P1239" i="1" s="1"/>
  <c r="G297" i="1"/>
  <c r="P297" i="1" s="1"/>
  <c r="G486" i="1"/>
  <c r="P486" i="1" s="1"/>
  <c r="G672" i="1"/>
  <c r="P672" i="1" s="1"/>
  <c r="G712" i="1"/>
  <c r="P712" i="1" s="1"/>
  <c r="G767" i="1"/>
  <c r="P767" i="1" s="1"/>
  <c r="G807" i="1"/>
  <c r="P807" i="1" s="1"/>
  <c r="G855" i="1"/>
  <c r="P855" i="1" s="1"/>
  <c r="G904" i="1"/>
  <c r="P904" i="1" s="1"/>
  <c r="G944" i="1"/>
  <c r="P944" i="1" s="1"/>
  <c r="G984" i="1"/>
  <c r="P984" i="1" s="1"/>
  <c r="G1031" i="1"/>
  <c r="P1031" i="1" s="1"/>
  <c r="G1078" i="1"/>
  <c r="P1078" i="1" s="1"/>
  <c r="G1109" i="1"/>
  <c r="P1109" i="1" s="1"/>
  <c r="G1175" i="1"/>
  <c r="P1175" i="1" s="1"/>
  <c r="G1213" i="1"/>
  <c r="P1213" i="1" s="1"/>
  <c r="G50" i="1"/>
  <c r="P50" i="1" s="1"/>
  <c r="G728" i="1"/>
  <c r="P728" i="1" s="1"/>
  <c r="G792" i="1"/>
  <c r="P792" i="1" s="1"/>
  <c r="G848" i="1"/>
  <c r="P848" i="1" s="1"/>
  <c r="G881" i="1"/>
  <c r="P881" i="1" s="1"/>
  <c r="G921" i="1"/>
  <c r="P921" i="1" s="1"/>
  <c r="G961" i="1"/>
  <c r="P961" i="1" s="1"/>
  <c r="G1008" i="1"/>
  <c r="P1008" i="1" s="1"/>
  <c r="G1053" i="1"/>
  <c r="P1053" i="1" s="1"/>
  <c r="G1099" i="1"/>
  <c r="P1099" i="1" s="1"/>
  <c r="G1136" i="1"/>
  <c r="P1136" i="1" s="1"/>
  <c r="G1176" i="1"/>
  <c r="P1176" i="1" s="1"/>
  <c r="G1230" i="1"/>
  <c r="P1230" i="1" s="1"/>
  <c r="G66" i="1"/>
  <c r="P66" i="1" s="1"/>
  <c r="G129" i="1"/>
  <c r="P129" i="1" s="1"/>
  <c r="G193" i="1"/>
  <c r="P193" i="1" s="1"/>
  <c r="G257" i="1"/>
  <c r="P257" i="1" s="1"/>
  <c r="G321" i="1"/>
  <c r="P321" i="1" s="1"/>
  <c r="G446" i="1"/>
  <c r="P446" i="1" s="1"/>
  <c r="G510" i="1"/>
  <c r="P510" i="1" s="1"/>
  <c r="G574" i="1"/>
  <c r="P574" i="1" s="1"/>
  <c r="G638" i="1"/>
  <c r="P638" i="1" s="1"/>
  <c r="G667" i="1"/>
  <c r="P667" i="1" s="1"/>
  <c r="G675" i="1"/>
  <c r="P675" i="1" s="1"/>
  <c r="G684" i="1"/>
  <c r="P684" i="1" s="1"/>
  <c r="G691" i="1"/>
  <c r="P691" i="1" s="1"/>
  <c r="G699" i="1"/>
  <c r="P699" i="1" s="1"/>
  <c r="G707" i="1"/>
  <c r="P707" i="1" s="1"/>
  <c r="G715" i="1"/>
  <c r="P715" i="1" s="1"/>
  <c r="G870" i="1"/>
  <c r="P870" i="1" s="1"/>
  <c r="G730" i="1"/>
  <c r="P730" i="1" s="1"/>
  <c r="G738" i="1"/>
  <c r="P738" i="1" s="1"/>
  <c r="G746" i="1"/>
  <c r="P746" i="1" s="1"/>
  <c r="G754" i="1"/>
  <c r="P754" i="1" s="1"/>
  <c r="G762" i="1"/>
  <c r="P762" i="1" s="1"/>
  <c r="G770" i="1"/>
  <c r="P770" i="1" s="1"/>
  <c r="G778" i="1"/>
  <c r="P778" i="1" s="1"/>
  <c r="G786" i="1"/>
  <c r="P786" i="1" s="1"/>
  <c r="G794" i="1"/>
  <c r="P794" i="1" s="1"/>
  <c r="G802" i="1"/>
  <c r="P802" i="1" s="1"/>
  <c r="G810" i="1"/>
  <c r="P810" i="1" s="1"/>
  <c r="G818" i="1"/>
  <c r="P818" i="1" s="1"/>
  <c r="G826" i="1"/>
  <c r="P826" i="1" s="1"/>
  <c r="G834" i="1"/>
  <c r="P834" i="1" s="1"/>
  <c r="G842" i="1"/>
  <c r="P842" i="1" s="1"/>
  <c r="G850" i="1"/>
  <c r="P850" i="1" s="1"/>
  <c r="G858" i="1"/>
  <c r="P858" i="1" s="1"/>
  <c r="G866" i="1"/>
  <c r="P866" i="1" s="1"/>
  <c r="G875" i="1"/>
  <c r="P875" i="1" s="1"/>
  <c r="G883" i="1"/>
  <c r="P883" i="1" s="1"/>
  <c r="G891" i="1"/>
  <c r="P891" i="1" s="1"/>
  <c r="G899" i="1"/>
  <c r="P899" i="1" s="1"/>
  <c r="G906" i="1"/>
  <c r="P906" i="1" s="1"/>
  <c r="G915" i="1"/>
  <c r="P915" i="1" s="1"/>
  <c r="G923" i="1"/>
  <c r="P923" i="1" s="1"/>
  <c r="G931" i="1"/>
  <c r="P931" i="1" s="1"/>
  <c r="G939" i="1"/>
  <c r="P939" i="1" s="1"/>
  <c r="G945" i="1"/>
  <c r="P945" i="1" s="1"/>
  <c r="G955" i="1"/>
  <c r="P955" i="1" s="1"/>
  <c r="G963" i="1"/>
  <c r="P963" i="1" s="1"/>
  <c r="G973" i="1"/>
  <c r="P973" i="1" s="1"/>
  <c r="G979" i="1"/>
  <c r="P979" i="1" s="1"/>
  <c r="G987" i="1"/>
  <c r="P987" i="1" s="1"/>
  <c r="G995" i="1"/>
  <c r="P995" i="1" s="1"/>
  <c r="G1003" i="1"/>
  <c r="P1003" i="1" s="1"/>
  <c r="G1018" i="1"/>
  <c r="P1018" i="1" s="1"/>
  <c r="G1023" i="1"/>
  <c r="P1023" i="1" s="1"/>
  <c r="G1026" i="1"/>
  <c r="P1026" i="1" s="1"/>
  <c r="G1034" i="1"/>
  <c r="P1034" i="1" s="1"/>
  <c r="G1042" i="1"/>
  <c r="P1042" i="1" s="1"/>
  <c r="G1059" i="1"/>
  <c r="P1059" i="1" s="1"/>
  <c r="G1055" i="1"/>
  <c r="P1055" i="1" s="1"/>
  <c r="G1067" i="1"/>
  <c r="P1067" i="1" s="1"/>
  <c r="G1077" i="1"/>
  <c r="P1077" i="1" s="1"/>
  <c r="G1088" i="1"/>
  <c r="P1088" i="1" s="1"/>
  <c r="G1108" i="1"/>
  <c r="P1108" i="1" s="1"/>
  <c r="G1087" i="1"/>
  <c r="P1087" i="1" s="1"/>
  <c r="G1118" i="1"/>
  <c r="P1118" i="1" s="1"/>
  <c r="G1094" i="1"/>
  <c r="P1094" i="1" s="1"/>
  <c r="G1102" i="1"/>
  <c r="P1102" i="1" s="1"/>
  <c r="G1112" i="1"/>
  <c r="P1112" i="1" s="1"/>
  <c r="G1138" i="1"/>
  <c r="P1138" i="1" s="1"/>
  <c r="G1147" i="1"/>
  <c r="P1147" i="1" s="1"/>
  <c r="G1154" i="1"/>
  <c r="P1154" i="1" s="1"/>
  <c r="G1162" i="1"/>
  <c r="P1162" i="1" s="1"/>
  <c r="G1170" i="1"/>
  <c r="P1170" i="1" s="1"/>
  <c r="G1195" i="1"/>
  <c r="P1195" i="1" s="1"/>
  <c r="G1206" i="1"/>
  <c r="P1206" i="1" s="1"/>
  <c r="G1196" i="1"/>
  <c r="P1196" i="1" s="1"/>
  <c r="G1208" i="1"/>
  <c r="P1208" i="1" s="1"/>
  <c r="G1216" i="1"/>
  <c r="P1216" i="1" s="1"/>
  <c r="G1224" i="1"/>
  <c r="P1224" i="1" s="1"/>
  <c r="G1232" i="1"/>
  <c r="P1232" i="1" s="1"/>
  <c r="G1240" i="1"/>
  <c r="P1240" i="1" s="1"/>
  <c r="G360" i="1"/>
  <c r="P360" i="1" s="1"/>
  <c r="G421" i="1"/>
  <c r="P421" i="1" s="1"/>
  <c r="G614" i="1"/>
  <c r="P614" i="1" s="1"/>
  <c r="G704" i="1"/>
  <c r="P704" i="1" s="1"/>
  <c r="G743" i="1"/>
  <c r="P743" i="1" s="1"/>
  <c r="G799" i="1"/>
  <c r="P799" i="1" s="1"/>
  <c r="G847" i="1"/>
  <c r="P847" i="1" s="1"/>
  <c r="G896" i="1"/>
  <c r="P896" i="1" s="1"/>
  <c r="G952" i="1"/>
  <c r="P952" i="1" s="1"/>
  <c r="G1017" i="1"/>
  <c r="P1017" i="1" s="1"/>
  <c r="G1050" i="1"/>
  <c r="P1050" i="1" s="1"/>
  <c r="G1082" i="1"/>
  <c r="P1082" i="1" s="1"/>
  <c r="G1151" i="1"/>
  <c r="P1151" i="1" s="1"/>
  <c r="G1203" i="1"/>
  <c r="P1203" i="1" s="1"/>
  <c r="G1237" i="1"/>
  <c r="P1237" i="1" s="1"/>
  <c r="G113" i="1"/>
  <c r="P113" i="1" s="1"/>
  <c r="G429" i="1"/>
  <c r="P429" i="1" s="1"/>
  <c r="G673" i="1"/>
  <c r="P673" i="1" s="1"/>
  <c r="G713" i="1"/>
  <c r="P713" i="1" s="1"/>
  <c r="G752" i="1"/>
  <c r="P752" i="1" s="1"/>
  <c r="G768" i="1"/>
  <c r="P768" i="1" s="1"/>
  <c r="G800" i="1"/>
  <c r="P800" i="1" s="1"/>
  <c r="G832" i="1"/>
  <c r="P832" i="1" s="1"/>
  <c r="G864" i="1"/>
  <c r="P864" i="1" s="1"/>
  <c r="G905" i="1"/>
  <c r="P905" i="1" s="1"/>
  <c r="G946" i="1"/>
  <c r="P946" i="1" s="1"/>
  <c r="G993" i="1"/>
  <c r="P993" i="1" s="1"/>
  <c r="G1032" i="1"/>
  <c r="P1032" i="1" s="1"/>
  <c r="G1072" i="1"/>
  <c r="P1072" i="1" s="1"/>
  <c r="G1092" i="1"/>
  <c r="P1092" i="1" s="1"/>
  <c r="G1152" i="1"/>
  <c r="P1152" i="1" s="1"/>
  <c r="G1189" i="1"/>
  <c r="P1189" i="1" s="1"/>
  <c r="G10" i="1"/>
  <c r="P10" i="1" s="1"/>
  <c r="G74" i="1"/>
  <c r="P74" i="1" s="1"/>
  <c r="G137" i="1"/>
  <c r="P137" i="1" s="1"/>
  <c r="G227" i="1"/>
  <c r="P227" i="1" s="1"/>
  <c r="G263" i="1"/>
  <c r="P263" i="1" s="1"/>
  <c r="G329" i="1"/>
  <c r="P329" i="1" s="1"/>
  <c r="G391" i="1"/>
  <c r="P391" i="1" s="1"/>
  <c r="G454" i="1"/>
  <c r="P454" i="1" s="1"/>
  <c r="G517" i="1"/>
  <c r="P517" i="1" s="1"/>
  <c r="G582" i="1"/>
  <c r="P582" i="1" s="1"/>
  <c r="G646" i="1"/>
  <c r="P646" i="1" s="1"/>
  <c r="G668" i="1"/>
  <c r="P668" i="1" s="1"/>
  <c r="G676" i="1"/>
  <c r="P676" i="1" s="1"/>
  <c r="G683" i="1"/>
  <c r="P683" i="1" s="1"/>
  <c r="G692" i="1"/>
  <c r="P692" i="1" s="1"/>
  <c r="G700" i="1"/>
  <c r="P700" i="1" s="1"/>
  <c r="G708" i="1"/>
  <c r="P708" i="1" s="1"/>
  <c r="G716" i="1"/>
  <c r="P716" i="1" s="1"/>
  <c r="G723" i="1"/>
  <c r="P723" i="1" s="1"/>
  <c r="G731" i="1"/>
  <c r="P731" i="1" s="1"/>
  <c r="G739" i="1"/>
  <c r="P739" i="1" s="1"/>
  <c r="G747" i="1"/>
  <c r="P747" i="1" s="1"/>
  <c r="G755" i="1"/>
  <c r="P755" i="1" s="1"/>
  <c r="G763" i="1"/>
  <c r="P763" i="1" s="1"/>
  <c r="G771" i="1"/>
  <c r="P771" i="1" s="1"/>
  <c r="G779" i="1"/>
  <c r="P779" i="1" s="1"/>
  <c r="G787" i="1"/>
  <c r="P787" i="1" s="1"/>
  <c r="G795" i="1"/>
  <c r="P795" i="1" s="1"/>
  <c r="G803" i="1"/>
  <c r="P803" i="1" s="1"/>
  <c r="G811" i="1"/>
  <c r="P811" i="1" s="1"/>
  <c r="G819" i="1"/>
  <c r="P819" i="1" s="1"/>
  <c r="G827" i="1"/>
  <c r="P827" i="1" s="1"/>
  <c r="G835" i="1"/>
  <c r="P835" i="1" s="1"/>
  <c r="G843" i="1"/>
  <c r="P843" i="1" s="1"/>
  <c r="G851" i="1"/>
  <c r="P851" i="1" s="1"/>
  <c r="G859" i="1"/>
  <c r="P859" i="1" s="1"/>
  <c r="G867" i="1"/>
  <c r="P867" i="1" s="1"/>
  <c r="G876" i="1"/>
  <c r="P876" i="1" s="1"/>
  <c r="G884" i="1"/>
  <c r="P884" i="1" s="1"/>
  <c r="G892" i="1"/>
  <c r="P892" i="1" s="1"/>
  <c r="G900" i="1"/>
  <c r="P900" i="1" s="1"/>
  <c r="G907" i="1"/>
  <c r="P907" i="1" s="1"/>
  <c r="G916" i="1"/>
  <c r="P916" i="1" s="1"/>
  <c r="G924" i="1"/>
  <c r="P924" i="1" s="1"/>
  <c r="G932" i="1"/>
  <c r="P932" i="1" s="1"/>
  <c r="G940" i="1"/>
  <c r="P940" i="1" s="1"/>
  <c r="G948" i="1"/>
  <c r="P948" i="1" s="1"/>
  <c r="G956" i="1"/>
  <c r="P956" i="1" s="1"/>
  <c r="G965" i="1"/>
  <c r="P965" i="1" s="1"/>
  <c r="G967" i="1"/>
  <c r="P967" i="1" s="1"/>
  <c r="G980" i="1"/>
  <c r="P980" i="1" s="1"/>
  <c r="G988" i="1"/>
  <c r="P988" i="1" s="1"/>
  <c r="G996" i="1"/>
  <c r="P996" i="1" s="1"/>
  <c r="G1004" i="1"/>
  <c r="P1004" i="1" s="1"/>
  <c r="G1006" i="1"/>
  <c r="P1006" i="1" s="1"/>
  <c r="G1009" i="1"/>
  <c r="P1009" i="1" s="1"/>
  <c r="G1027" i="1"/>
  <c r="P1027" i="1" s="1"/>
  <c r="G1035" i="1"/>
  <c r="P1035" i="1" s="1"/>
  <c r="G1043" i="1"/>
  <c r="P1043" i="1" s="1"/>
  <c r="G1048" i="1"/>
  <c r="P1048" i="1" s="1"/>
  <c r="G1056" i="1"/>
  <c r="P1056" i="1" s="1"/>
  <c r="G1068" i="1"/>
  <c r="P1068" i="1" s="1"/>
  <c r="G1085" i="1"/>
  <c r="P1085" i="1" s="1"/>
  <c r="G1103" i="1"/>
  <c r="P1103" i="1" s="1"/>
  <c r="G1121" i="1"/>
  <c r="P1121" i="1" s="1"/>
  <c r="G1089" i="1"/>
  <c r="P1089" i="1" s="1"/>
  <c r="G1119" i="1"/>
  <c r="P1119" i="1" s="1"/>
  <c r="G1095" i="1"/>
  <c r="P1095" i="1" s="1"/>
  <c r="G1116" i="1"/>
  <c r="P1116" i="1" s="1"/>
  <c r="G1113" i="1"/>
  <c r="P1113" i="1" s="1"/>
  <c r="G1139" i="1"/>
  <c r="P1139" i="1" s="1"/>
  <c r="G1148" i="1"/>
  <c r="P1148" i="1" s="1"/>
  <c r="G1155" i="1"/>
  <c r="P1155" i="1" s="1"/>
  <c r="G1163" i="1"/>
  <c r="P1163" i="1" s="1"/>
  <c r="G1171" i="1"/>
  <c r="P1171" i="1" s="1"/>
  <c r="G1178" i="1"/>
  <c r="P1178" i="1" s="1"/>
  <c r="G1191" i="1"/>
  <c r="P1191" i="1" s="1"/>
  <c r="G1184" i="1"/>
  <c r="P1184" i="1" s="1"/>
  <c r="G1197" i="1"/>
  <c r="P1197" i="1" s="1"/>
  <c r="G1209" i="1"/>
  <c r="P1209" i="1" s="1"/>
  <c r="G1217" i="1"/>
  <c r="P1217" i="1" s="1"/>
  <c r="G1225" i="1"/>
  <c r="P1225" i="1" s="1"/>
  <c r="G1233" i="1"/>
  <c r="P1233" i="1" s="1"/>
  <c r="G1241" i="1"/>
  <c r="P1241" i="1" s="1"/>
  <c r="G106" i="1"/>
  <c r="P106" i="1" s="1"/>
  <c r="G664" i="1"/>
  <c r="P664" i="1" s="1"/>
  <c r="G727" i="1"/>
  <c r="P727" i="1" s="1"/>
  <c r="G775" i="1"/>
  <c r="P775" i="1" s="1"/>
  <c r="G831" i="1"/>
  <c r="P831" i="1" s="1"/>
  <c r="G888" i="1"/>
  <c r="P888" i="1" s="1"/>
  <c r="G928" i="1"/>
  <c r="P928" i="1" s="1"/>
  <c r="G976" i="1"/>
  <c r="P976" i="1" s="1"/>
  <c r="G1024" i="1"/>
  <c r="P1024" i="1" s="1"/>
  <c r="G1071" i="1"/>
  <c r="P1071" i="1" s="1"/>
  <c r="G1122" i="1"/>
  <c r="P1122" i="1" s="1"/>
  <c r="G1167" i="1"/>
  <c r="P1167" i="1" s="1"/>
  <c r="G1229" i="1"/>
  <c r="P1229" i="1" s="1"/>
  <c r="G177" i="1"/>
  <c r="G494" i="1"/>
  <c r="P494" i="1" s="1"/>
  <c r="G665" i="1"/>
  <c r="P665" i="1" s="1"/>
  <c r="G697" i="1"/>
  <c r="P697" i="1" s="1"/>
  <c r="G744" i="1"/>
  <c r="P744" i="1" s="1"/>
  <c r="G776" i="1"/>
  <c r="P776" i="1" s="1"/>
  <c r="G816" i="1"/>
  <c r="P816" i="1" s="1"/>
  <c r="G856" i="1"/>
  <c r="P856" i="1" s="1"/>
  <c r="G897" i="1"/>
  <c r="P897" i="1" s="1"/>
  <c r="G937" i="1"/>
  <c r="P937" i="1" s="1"/>
  <c r="G964" i="1"/>
  <c r="P964" i="1" s="1"/>
  <c r="G1000" i="1"/>
  <c r="P1000" i="1" s="1"/>
  <c r="G1040" i="1"/>
  <c r="P1040" i="1" s="1"/>
  <c r="G1079" i="1"/>
  <c r="P1079" i="1" s="1"/>
  <c r="G1128" i="1"/>
  <c r="P1128" i="1" s="1"/>
  <c r="G1160" i="1"/>
  <c r="P1160" i="1" s="1"/>
  <c r="G1204" i="1"/>
  <c r="P1204" i="1" s="1"/>
  <c r="G1214" i="1"/>
  <c r="P1214" i="1" s="1"/>
  <c r="G18" i="1"/>
  <c r="P18" i="1" s="1"/>
  <c r="G94" i="1"/>
  <c r="P94" i="1" s="1"/>
  <c r="G145" i="1"/>
  <c r="P145" i="1" s="1"/>
  <c r="G204" i="1"/>
  <c r="P204" i="1" s="1"/>
  <c r="G273" i="1"/>
  <c r="P273" i="1" s="1"/>
  <c r="G337" i="1"/>
  <c r="P337" i="1" s="1"/>
  <c r="G399" i="1"/>
  <c r="P399" i="1" s="1"/>
  <c r="G462" i="1"/>
  <c r="P462" i="1" s="1"/>
  <c r="G526" i="1"/>
  <c r="P526" i="1" s="1"/>
  <c r="G590" i="1"/>
  <c r="P590" i="1" s="1"/>
  <c r="G654" i="1"/>
  <c r="P654" i="1" s="1"/>
  <c r="G669" i="1"/>
  <c r="P669" i="1" s="1"/>
  <c r="G677" i="1"/>
  <c r="P677" i="1" s="1"/>
  <c r="G685" i="1"/>
  <c r="P685" i="1" s="1"/>
  <c r="G693" i="1"/>
  <c r="P693" i="1" s="1"/>
  <c r="G701" i="1"/>
  <c r="P701" i="1" s="1"/>
  <c r="G709" i="1"/>
  <c r="P709" i="1" s="1"/>
  <c r="G717" i="1"/>
  <c r="P717" i="1" s="1"/>
  <c r="G724" i="1"/>
  <c r="P724" i="1" s="1"/>
  <c r="G732" i="1"/>
  <c r="P732" i="1" s="1"/>
  <c r="G740" i="1"/>
  <c r="P740" i="1" s="1"/>
  <c r="G748" i="1"/>
  <c r="P748" i="1" s="1"/>
  <c r="G756" i="1"/>
  <c r="P756" i="1" s="1"/>
  <c r="G764" i="1"/>
  <c r="P764" i="1" s="1"/>
  <c r="G772" i="1"/>
  <c r="P772" i="1" s="1"/>
  <c r="G780" i="1"/>
  <c r="P780" i="1" s="1"/>
  <c r="G788" i="1"/>
  <c r="P788" i="1" s="1"/>
  <c r="G796" i="1"/>
  <c r="P796" i="1" s="1"/>
  <c r="G804" i="1"/>
  <c r="P804" i="1" s="1"/>
  <c r="G812" i="1"/>
  <c r="P812" i="1" s="1"/>
  <c r="G820" i="1"/>
  <c r="P820" i="1" s="1"/>
  <c r="G828" i="1"/>
  <c r="P828" i="1" s="1"/>
  <c r="G836" i="1"/>
  <c r="P836" i="1" s="1"/>
  <c r="G844" i="1"/>
  <c r="P844" i="1" s="1"/>
  <c r="G852" i="1"/>
  <c r="P852" i="1" s="1"/>
  <c r="G860" i="1"/>
  <c r="P860" i="1" s="1"/>
  <c r="G868" i="1"/>
  <c r="P868" i="1" s="1"/>
  <c r="G877" i="1"/>
  <c r="P877" i="1" s="1"/>
  <c r="G885" i="1"/>
  <c r="P885" i="1" s="1"/>
  <c r="G893" i="1"/>
  <c r="P893" i="1" s="1"/>
  <c r="G901" i="1"/>
  <c r="P901" i="1" s="1"/>
  <c r="G908" i="1"/>
  <c r="P908" i="1" s="1"/>
  <c r="G917" i="1"/>
  <c r="P917" i="1" s="1"/>
  <c r="G925" i="1"/>
  <c r="P925" i="1" s="1"/>
  <c r="G933" i="1"/>
  <c r="P933" i="1" s="1"/>
  <c r="G941" i="1"/>
  <c r="P941" i="1" s="1"/>
  <c r="G949" i="1"/>
  <c r="P949" i="1" s="1"/>
  <c r="G957" i="1"/>
  <c r="P957" i="1" s="1"/>
  <c r="G966" i="1"/>
  <c r="P966" i="1" s="1"/>
  <c r="G971" i="1"/>
  <c r="P971" i="1" s="1"/>
  <c r="G981" i="1"/>
  <c r="P981" i="1" s="1"/>
  <c r="G989" i="1"/>
  <c r="P989" i="1" s="1"/>
  <c r="G997" i="1"/>
  <c r="P997" i="1" s="1"/>
  <c r="G1005" i="1"/>
  <c r="P1005" i="1" s="1"/>
  <c r="G1011" i="1"/>
  <c r="P1011" i="1" s="1"/>
  <c r="G1014" i="1"/>
  <c r="P1014" i="1" s="1"/>
  <c r="G1028" i="1"/>
  <c r="P1028" i="1" s="1"/>
  <c r="G1036" i="1"/>
  <c r="P1036" i="1" s="1"/>
  <c r="G1044" i="1"/>
  <c r="P1044" i="1" s="1"/>
  <c r="G1058" i="1"/>
  <c r="P1058" i="1" s="1"/>
  <c r="G1057" i="1"/>
  <c r="P1057" i="1" s="1"/>
  <c r="G1069" i="1"/>
  <c r="P1069" i="1" s="1"/>
  <c r="G1100" i="1"/>
  <c r="P1100" i="1" s="1"/>
  <c r="G1117" i="1"/>
  <c r="P1117" i="1" s="1"/>
  <c r="G1127" i="1"/>
  <c r="P1127" i="1" s="1"/>
  <c r="G1107" i="1"/>
  <c r="P1107" i="1" s="1"/>
  <c r="G1125" i="1"/>
  <c r="P1125" i="1" s="1"/>
  <c r="G1096" i="1"/>
  <c r="P1096" i="1" s="1"/>
  <c r="G1123" i="1"/>
  <c r="P1123" i="1" s="1"/>
  <c r="G1132" i="1"/>
  <c r="P1132" i="1" s="1"/>
  <c r="G1140" i="1"/>
  <c r="P1140" i="1" s="1"/>
  <c r="G1143" i="1"/>
  <c r="P1143" i="1" s="1"/>
  <c r="G1156" i="1"/>
  <c r="P1156" i="1" s="1"/>
  <c r="G1164" i="1"/>
  <c r="P1164" i="1" s="1"/>
  <c r="G1172" i="1"/>
  <c r="P1172" i="1" s="1"/>
  <c r="G1179" i="1"/>
  <c r="P1179" i="1" s="1"/>
  <c r="G1192" i="1"/>
  <c r="P1192" i="1" s="1"/>
  <c r="G1185" i="1"/>
  <c r="P1185" i="1" s="1"/>
  <c r="G1198" i="1"/>
  <c r="P1198" i="1" s="1"/>
  <c r="G1210" i="1"/>
  <c r="P1210" i="1" s="1"/>
  <c r="G1218" i="1"/>
  <c r="P1218" i="1" s="1"/>
  <c r="G1226" i="1"/>
  <c r="P1226" i="1" s="1"/>
  <c r="G1234" i="1"/>
  <c r="P1234" i="1" s="1"/>
  <c r="G1242" i="1"/>
  <c r="P1242" i="1" s="1"/>
  <c r="G42" i="1"/>
  <c r="P42" i="1" s="1"/>
  <c r="G680" i="1"/>
  <c r="P680" i="1" s="1"/>
  <c r="G735" i="1"/>
  <c r="P735" i="1" s="1"/>
  <c r="G783" i="1"/>
  <c r="P783" i="1" s="1"/>
  <c r="G839" i="1"/>
  <c r="P839" i="1" s="1"/>
  <c r="G872" i="1"/>
  <c r="P872" i="1" s="1"/>
  <c r="G920" i="1"/>
  <c r="P920" i="1" s="1"/>
  <c r="G972" i="1"/>
  <c r="P972" i="1" s="1"/>
  <c r="G1010" i="1"/>
  <c r="P1010" i="1" s="1"/>
  <c r="G1062" i="1"/>
  <c r="P1062" i="1" s="1"/>
  <c r="G1090" i="1"/>
  <c r="P1090" i="1" s="1"/>
  <c r="G1159" i="1"/>
  <c r="P1159" i="1" s="1"/>
  <c r="G1201" i="1"/>
  <c r="P1201" i="1" s="1"/>
  <c r="G305" i="1"/>
  <c r="P305" i="1" s="1"/>
  <c r="G367" i="1"/>
  <c r="P367" i="1" s="1"/>
  <c r="G557" i="1"/>
  <c r="P557" i="1" s="1"/>
  <c r="G681" i="1"/>
  <c r="P681" i="1" s="1"/>
  <c r="G705" i="1"/>
  <c r="P705" i="1" s="1"/>
  <c r="G736" i="1"/>
  <c r="P736" i="1" s="1"/>
  <c r="G784" i="1"/>
  <c r="P784" i="1" s="1"/>
  <c r="G824" i="1"/>
  <c r="P824" i="1" s="1"/>
  <c r="G873" i="1"/>
  <c r="P873" i="1" s="1"/>
  <c r="G912" i="1"/>
  <c r="P912" i="1" s="1"/>
  <c r="G953" i="1"/>
  <c r="P953" i="1" s="1"/>
  <c r="G985" i="1"/>
  <c r="P985" i="1" s="1"/>
  <c r="G1015" i="1"/>
  <c r="P1015" i="1" s="1"/>
  <c r="G1051" i="1"/>
  <c r="P1051" i="1" s="1"/>
  <c r="G1080" i="1"/>
  <c r="P1080" i="1" s="1"/>
  <c r="G1110" i="1"/>
  <c r="P1110" i="1" s="1"/>
  <c r="G1168" i="1"/>
  <c r="P1168" i="1" s="1"/>
  <c r="G1202" i="1"/>
  <c r="P1202" i="1" s="1"/>
  <c r="G1238" i="1"/>
  <c r="P1238" i="1" s="1"/>
  <c r="G26" i="1"/>
  <c r="P26" i="1" s="1"/>
  <c r="G85" i="1"/>
  <c r="P85" i="1" s="1"/>
  <c r="G153" i="1"/>
  <c r="P153" i="1" s="1"/>
  <c r="G212" i="1"/>
  <c r="P212" i="1" s="1"/>
  <c r="G281" i="1"/>
  <c r="P281" i="1" s="1"/>
  <c r="G345" i="1"/>
  <c r="P345" i="1" s="1"/>
  <c r="G405" i="1"/>
  <c r="P405" i="1" s="1"/>
  <c r="G469" i="1"/>
  <c r="P469" i="1" s="1"/>
  <c r="G531" i="1"/>
  <c r="P531" i="1" s="1"/>
  <c r="G598" i="1"/>
  <c r="P598" i="1" s="1"/>
  <c r="G662" i="1"/>
  <c r="P662" i="1" s="1"/>
  <c r="G670" i="1"/>
  <c r="P670" i="1" s="1"/>
  <c r="G678" i="1"/>
  <c r="P678" i="1" s="1"/>
  <c r="G686" i="1"/>
  <c r="P686" i="1" s="1"/>
  <c r="G694" i="1"/>
  <c r="P694" i="1" s="1"/>
  <c r="G702" i="1"/>
  <c r="P702" i="1" s="1"/>
  <c r="G710" i="1"/>
  <c r="P710" i="1" s="1"/>
  <c r="G718" i="1"/>
  <c r="P718" i="1" s="1"/>
  <c r="G725" i="1"/>
  <c r="P725" i="1" s="1"/>
  <c r="G733" i="1"/>
  <c r="P733" i="1" s="1"/>
  <c r="G741" i="1"/>
  <c r="P741" i="1" s="1"/>
  <c r="G749" i="1"/>
  <c r="P749" i="1" s="1"/>
  <c r="G757" i="1"/>
  <c r="P757" i="1" s="1"/>
  <c r="G765" i="1"/>
  <c r="P765" i="1" s="1"/>
  <c r="G773" i="1"/>
  <c r="P773" i="1" s="1"/>
  <c r="G781" i="1"/>
  <c r="P781" i="1" s="1"/>
  <c r="G789" i="1"/>
  <c r="P789" i="1" s="1"/>
  <c r="G797" i="1"/>
  <c r="P797" i="1" s="1"/>
  <c r="G805" i="1"/>
  <c r="P805" i="1" s="1"/>
  <c r="G813" i="1"/>
  <c r="P813" i="1" s="1"/>
  <c r="G821" i="1"/>
  <c r="P821" i="1" s="1"/>
  <c r="G829" i="1"/>
  <c r="P829" i="1" s="1"/>
  <c r="G837" i="1"/>
  <c r="P837" i="1" s="1"/>
  <c r="G845" i="1"/>
  <c r="P845" i="1" s="1"/>
  <c r="G853" i="1"/>
  <c r="P853" i="1" s="1"/>
  <c r="G861" i="1"/>
  <c r="P861" i="1" s="1"/>
  <c r="G869" i="1"/>
  <c r="P869" i="1" s="1"/>
  <c r="G878" i="1"/>
  <c r="P878" i="1" s="1"/>
  <c r="G886" i="1"/>
  <c r="P886" i="1" s="1"/>
  <c r="G894" i="1"/>
  <c r="P894" i="1" s="1"/>
  <c r="G902" i="1"/>
  <c r="P902" i="1" s="1"/>
  <c r="G909" i="1"/>
  <c r="P909" i="1" s="1"/>
  <c r="G918" i="1"/>
  <c r="P918" i="1" s="1"/>
  <c r="G926" i="1"/>
  <c r="P926" i="1" s="1"/>
  <c r="G934" i="1"/>
  <c r="P934" i="1" s="1"/>
  <c r="G943" i="1"/>
  <c r="P943" i="1" s="1"/>
  <c r="G950" i="1"/>
  <c r="P950" i="1" s="1"/>
  <c r="G958" i="1"/>
  <c r="P958" i="1" s="1"/>
  <c r="G969" i="1"/>
  <c r="P969" i="1" s="1"/>
  <c r="G974" i="1"/>
  <c r="P974" i="1" s="1"/>
  <c r="G982" i="1"/>
  <c r="P982" i="1" s="1"/>
  <c r="G990" i="1"/>
  <c r="P990" i="1" s="1"/>
  <c r="G998" i="1"/>
  <c r="P998" i="1" s="1"/>
  <c r="G1007" i="1"/>
  <c r="P1007" i="1" s="1"/>
  <c r="G1016" i="1"/>
  <c r="P1016" i="1" s="1"/>
  <c r="G1019" i="1"/>
  <c r="P1019" i="1" s="1"/>
  <c r="G1029" i="1"/>
  <c r="P1029" i="1" s="1"/>
  <c r="G1037" i="1"/>
  <c r="P1037" i="1" s="1"/>
  <c r="G1045" i="1"/>
  <c r="P1045" i="1" s="1"/>
  <c r="G1064" i="1"/>
  <c r="P1064" i="1" s="1"/>
  <c r="G1060" i="1"/>
  <c r="P1060" i="1" s="1"/>
  <c r="G1065" i="1"/>
  <c r="P1065" i="1" s="1"/>
  <c r="G1073" i="1"/>
  <c r="P1073" i="1" s="1"/>
  <c r="G1124" i="1"/>
  <c r="P1124" i="1" s="1"/>
  <c r="G1131" i="1"/>
  <c r="P1131" i="1" s="1"/>
  <c r="G1120" i="1"/>
  <c r="P1120" i="1" s="1"/>
  <c r="G1126" i="1"/>
  <c r="P1126" i="1" s="1"/>
  <c r="G1098" i="1"/>
  <c r="P1098" i="1" s="1"/>
  <c r="G1129" i="1"/>
  <c r="P1129" i="1" s="1"/>
  <c r="G1133" i="1"/>
  <c r="P1133" i="1" s="1"/>
  <c r="G1141" i="1"/>
  <c r="P1141" i="1" s="1"/>
  <c r="G1149" i="1"/>
  <c r="P1149" i="1" s="1"/>
  <c r="G1157" i="1"/>
  <c r="P1157" i="1" s="1"/>
  <c r="G1165" i="1"/>
  <c r="P1165" i="1" s="1"/>
  <c r="G1173" i="1"/>
  <c r="P1173" i="1" s="1"/>
  <c r="G1180" i="1"/>
  <c r="P1180" i="1" s="1"/>
  <c r="G1193" i="1"/>
  <c r="P1193" i="1" s="1"/>
  <c r="G1186" i="1"/>
  <c r="P1186" i="1" s="1"/>
  <c r="G1199" i="1"/>
  <c r="P1199" i="1" s="1"/>
  <c r="G1211" i="1"/>
  <c r="P1211" i="1" s="1"/>
  <c r="G1219" i="1"/>
  <c r="P1219" i="1" s="1"/>
  <c r="G1227" i="1"/>
  <c r="P1227" i="1" s="1"/>
  <c r="G1235" i="1"/>
  <c r="P1235" i="1" s="1"/>
  <c r="G1243" i="1"/>
  <c r="P1243" i="1" s="1"/>
  <c r="G233" i="1"/>
  <c r="P233" i="1" s="1"/>
  <c r="G696" i="1"/>
  <c r="P696" i="1" s="1"/>
  <c r="G759" i="1"/>
  <c r="P759" i="1" s="1"/>
  <c r="G815" i="1"/>
  <c r="P815" i="1" s="1"/>
  <c r="G880" i="1"/>
  <c r="P880" i="1" s="1"/>
  <c r="G936" i="1"/>
  <c r="P936" i="1" s="1"/>
  <c r="G992" i="1"/>
  <c r="P992" i="1" s="1"/>
  <c r="G1047" i="1"/>
  <c r="P1047" i="1" s="1"/>
  <c r="G1084" i="1"/>
  <c r="P1084" i="1" s="1"/>
  <c r="G1144" i="1"/>
  <c r="P1144" i="1" s="1"/>
  <c r="G1188" i="1"/>
  <c r="P1188" i="1" s="1"/>
  <c r="G240" i="1"/>
  <c r="P240" i="1" s="1"/>
  <c r="G622" i="1"/>
  <c r="P622" i="1" s="1"/>
  <c r="G689" i="1"/>
  <c r="P689" i="1" s="1"/>
  <c r="G721" i="1"/>
  <c r="P721" i="1" s="1"/>
  <c r="G760" i="1"/>
  <c r="P760" i="1" s="1"/>
  <c r="G808" i="1"/>
  <c r="P808" i="1" s="1"/>
  <c r="G840" i="1"/>
  <c r="P840" i="1" s="1"/>
  <c r="G889" i="1"/>
  <c r="P889" i="1" s="1"/>
  <c r="G929" i="1"/>
  <c r="P929" i="1" s="1"/>
  <c r="G977" i="1"/>
  <c r="P977" i="1" s="1"/>
  <c r="G1025" i="1"/>
  <c r="P1025" i="1" s="1"/>
  <c r="G1063" i="1"/>
  <c r="P1063" i="1" s="1"/>
  <c r="G1104" i="1"/>
  <c r="P1104" i="1" s="1"/>
  <c r="G1145" i="1"/>
  <c r="P1145" i="1" s="1"/>
  <c r="G1183" i="1"/>
  <c r="P1183" i="1" s="1"/>
  <c r="G1222" i="1"/>
  <c r="P1222" i="1" s="1"/>
  <c r="G35" i="1"/>
  <c r="P35" i="1" s="1"/>
  <c r="G98" i="1"/>
  <c r="P98" i="1" s="1"/>
  <c r="G161" i="1"/>
  <c r="P161" i="1" s="1"/>
  <c r="G220" i="1"/>
  <c r="P220" i="1" s="1"/>
  <c r="G289" i="1"/>
  <c r="P289" i="1" s="1"/>
  <c r="G353" i="1"/>
  <c r="P353" i="1" s="1"/>
  <c r="G413" i="1"/>
  <c r="P413" i="1" s="1"/>
  <c r="G473" i="1"/>
  <c r="P473" i="1" s="1"/>
  <c r="G558" i="1"/>
  <c r="P558" i="1" s="1"/>
  <c r="G606" i="1"/>
  <c r="P606" i="1" s="1"/>
  <c r="G663" i="1"/>
  <c r="P663" i="1" s="1"/>
  <c r="G671" i="1"/>
  <c r="P671" i="1" s="1"/>
  <c r="G679" i="1"/>
  <c r="P679" i="1" s="1"/>
  <c r="G687" i="1"/>
  <c r="P687" i="1" s="1"/>
  <c r="G695" i="1"/>
  <c r="P695" i="1" s="1"/>
  <c r="G703" i="1"/>
  <c r="P703" i="1" s="1"/>
  <c r="G711" i="1"/>
  <c r="P711" i="1" s="1"/>
  <c r="G720" i="1"/>
  <c r="P720" i="1" s="1"/>
  <c r="G726" i="1"/>
  <c r="P726" i="1" s="1"/>
  <c r="G734" i="1"/>
  <c r="P734" i="1" s="1"/>
  <c r="G742" i="1"/>
  <c r="P742" i="1" s="1"/>
  <c r="G750" i="1"/>
  <c r="P750" i="1" s="1"/>
  <c r="G758" i="1"/>
  <c r="P758" i="1" s="1"/>
  <c r="G766" i="1"/>
  <c r="P766" i="1" s="1"/>
  <c r="G774" i="1"/>
  <c r="P774" i="1" s="1"/>
  <c r="G782" i="1"/>
  <c r="P782" i="1" s="1"/>
  <c r="G790" i="1"/>
  <c r="P790" i="1" s="1"/>
  <c r="G798" i="1"/>
  <c r="P798" i="1" s="1"/>
  <c r="G806" i="1"/>
  <c r="P806" i="1" s="1"/>
  <c r="G814" i="1"/>
  <c r="P814" i="1" s="1"/>
  <c r="G822" i="1"/>
  <c r="P822" i="1" s="1"/>
  <c r="G830" i="1"/>
  <c r="P830" i="1" s="1"/>
  <c r="G838" i="1"/>
  <c r="P838" i="1" s="1"/>
  <c r="G846" i="1"/>
  <c r="P846" i="1" s="1"/>
  <c r="G854" i="1"/>
  <c r="P854" i="1" s="1"/>
  <c r="G862" i="1"/>
  <c r="P862" i="1" s="1"/>
  <c r="G871" i="1"/>
  <c r="P871" i="1" s="1"/>
  <c r="G879" i="1"/>
  <c r="P879" i="1" s="1"/>
  <c r="G887" i="1"/>
  <c r="P887" i="1" s="1"/>
  <c r="G895" i="1"/>
  <c r="P895" i="1" s="1"/>
  <c r="G903" i="1"/>
  <c r="P903" i="1" s="1"/>
  <c r="G910" i="1"/>
  <c r="P910" i="1" s="1"/>
  <c r="G919" i="1"/>
  <c r="P919" i="1" s="1"/>
  <c r="G927" i="1"/>
  <c r="P927" i="1" s="1"/>
  <c r="G935" i="1"/>
  <c r="P935" i="1" s="1"/>
  <c r="G942" i="1"/>
  <c r="P942" i="1" s="1"/>
  <c r="G951" i="1"/>
  <c r="P951" i="1" s="1"/>
  <c r="G959" i="1"/>
  <c r="P959" i="1" s="1"/>
  <c r="G968" i="1"/>
  <c r="P968" i="1" s="1"/>
  <c r="G975" i="1"/>
  <c r="P975" i="1" s="1"/>
  <c r="G983" i="1"/>
  <c r="P983" i="1" s="1"/>
  <c r="G991" i="1"/>
  <c r="P991" i="1" s="1"/>
  <c r="G999" i="1"/>
  <c r="P999" i="1" s="1"/>
  <c r="G1012" i="1"/>
  <c r="P1012" i="1" s="1"/>
  <c r="G1021" i="1"/>
  <c r="P1021" i="1" s="1"/>
  <c r="G1022" i="1"/>
  <c r="P1022" i="1" s="1"/>
  <c r="G1030" i="1"/>
  <c r="P1030" i="1" s="1"/>
  <c r="G1038" i="1"/>
  <c r="P1038" i="1" s="1"/>
  <c r="G1046" i="1"/>
  <c r="P1046" i="1" s="1"/>
  <c r="G1049" i="1"/>
  <c r="P1049" i="1" s="1"/>
  <c r="G1061" i="1"/>
  <c r="P1061" i="1" s="1"/>
  <c r="G1070" i="1"/>
  <c r="P1070" i="1" s="1"/>
  <c r="G1074" i="1"/>
  <c r="P1074" i="1" s="1"/>
  <c r="G1075" i="1"/>
  <c r="P1075" i="1" s="1"/>
  <c r="G1083" i="1"/>
  <c r="P1083" i="1" s="1"/>
  <c r="G1097" i="1"/>
  <c r="P1097" i="1" s="1"/>
  <c r="G1130" i="1"/>
  <c r="P1130" i="1" s="1"/>
  <c r="G1114" i="1"/>
  <c r="P1114" i="1" s="1"/>
  <c r="G1106" i="1"/>
  <c r="P1106" i="1" s="1"/>
  <c r="G1134" i="1"/>
  <c r="P1134" i="1" s="1"/>
  <c r="G1142" i="1"/>
  <c r="P1142" i="1" s="1"/>
  <c r="G1150" i="1"/>
  <c r="P1150" i="1" s="1"/>
  <c r="G1158" i="1"/>
  <c r="P1158" i="1" s="1"/>
  <c r="G1166" i="1"/>
  <c r="P1166" i="1" s="1"/>
  <c r="G1174" i="1"/>
  <c r="P1174" i="1" s="1"/>
  <c r="G1181" i="1"/>
  <c r="P1181" i="1" s="1"/>
  <c r="G1194" i="1"/>
  <c r="P1194" i="1" s="1"/>
  <c r="G1187" i="1"/>
  <c r="P1187" i="1" s="1"/>
  <c r="G1200" i="1"/>
  <c r="P1200" i="1" s="1"/>
  <c r="G1212" i="1"/>
  <c r="P1212" i="1" s="1"/>
  <c r="G1220" i="1"/>
  <c r="P1220" i="1" s="1"/>
  <c r="G1228" i="1"/>
  <c r="P1228" i="1" s="1"/>
  <c r="G1236" i="1"/>
  <c r="P1236" i="1" s="1"/>
  <c r="G1244" i="1"/>
  <c r="P1244" i="1" s="1"/>
  <c r="G169" i="1"/>
  <c r="P169" i="1" s="1"/>
  <c r="G549" i="1"/>
  <c r="P549" i="1" s="1"/>
  <c r="G688" i="1"/>
  <c r="P688" i="1" s="1"/>
  <c r="G719" i="1"/>
  <c r="P719" i="1" s="1"/>
  <c r="G751" i="1"/>
  <c r="P751" i="1" s="1"/>
  <c r="G791" i="1"/>
  <c r="P791" i="1" s="1"/>
  <c r="G823" i="1"/>
  <c r="P823" i="1" s="1"/>
  <c r="G863" i="1"/>
  <c r="P863" i="1" s="1"/>
  <c r="G911" i="1"/>
  <c r="P911" i="1" s="1"/>
  <c r="G960" i="1"/>
  <c r="P960" i="1" s="1"/>
  <c r="G1001" i="1"/>
  <c r="P1001" i="1" s="1"/>
  <c r="G1039" i="1"/>
  <c r="P1039" i="1" s="1"/>
  <c r="G1081" i="1"/>
  <c r="P1081" i="1" s="1"/>
  <c r="G1135" i="1"/>
  <c r="P1135" i="1" s="1"/>
  <c r="G1182" i="1"/>
  <c r="P1182" i="1" s="1"/>
  <c r="G1221" i="1"/>
  <c r="P1221" i="1" s="1"/>
  <c r="H1182" i="1" l="1"/>
  <c r="H688" i="1"/>
  <c r="H1174" i="1"/>
  <c r="H1074" i="1"/>
  <c r="H983" i="1"/>
  <c r="H887" i="1"/>
  <c r="H790" i="1"/>
  <c r="H695" i="1"/>
  <c r="H161" i="1"/>
  <c r="H840" i="1"/>
  <c r="H936" i="1"/>
  <c r="H1186" i="1"/>
  <c r="H1120" i="1"/>
  <c r="H1007" i="1"/>
  <c r="H909" i="1"/>
  <c r="H813" i="1"/>
  <c r="H718" i="1"/>
  <c r="H345" i="1"/>
  <c r="H1015" i="1"/>
  <c r="H305" i="1"/>
  <c r="H680" i="1"/>
  <c r="H1164" i="1"/>
  <c r="H1069" i="1"/>
  <c r="H971" i="1"/>
  <c r="H877" i="1"/>
  <c r="H780" i="1"/>
  <c r="H685" i="1"/>
  <c r="H94" i="1"/>
  <c r="H856" i="1"/>
  <c r="H1024" i="1"/>
  <c r="H1217" i="1"/>
  <c r="H1116" i="1"/>
  <c r="H1027" i="1"/>
  <c r="H932" i="1"/>
  <c r="H835" i="1"/>
  <c r="H739" i="1"/>
  <c r="H517" i="1"/>
  <c r="H1072" i="1"/>
  <c r="H429" i="1"/>
  <c r="H743" i="1"/>
  <c r="H1195" i="1"/>
  <c r="H1088" i="1"/>
  <c r="H987" i="1"/>
  <c r="H891" i="1"/>
  <c r="H794" i="1"/>
  <c r="H699" i="1"/>
  <c r="H129" i="1"/>
  <c r="H792" i="1"/>
  <c r="H807" i="1"/>
  <c r="H1205" i="1"/>
  <c r="H1091" i="1"/>
  <c r="H986" i="1"/>
  <c r="H890" i="1"/>
  <c r="H793" i="1"/>
  <c r="H698" i="1"/>
  <c r="H185" i="1"/>
  <c r="H589" i="1"/>
  <c r="H493" i="1"/>
  <c r="H398" i="1"/>
  <c r="H304" i="1"/>
  <c r="H228" i="1"/>
  <c r="H112" i="1"/>
  <c r="H17" i="1"/>
  <c r="H580" i="1"/>
  <c r="H481" i="1"/>
  <c r="H389" i="1"/>
  <c r="H295" i="1"/>
  <c r="H225" i="1"/>
  <c r="H87" i="1"/>
  <c r="H659" i="1"/>
  <c r="H563" i="1"/>
  <c r="H467" i="1"/>
  <c r="H373" i="1"/>
  <c r="H278" i="1"/>
  <c r="H182" i="1"/>
  <c r="H76" i="1"/>
  <c r="H642" i="1"/>
  <c r="H545" i="1"/>
  <c r="H450" i="1"/>
  <c r="H358" i="1"/>
  <c r="H261" i="1"/>
  <c r="H165" i="1"/>
  <c r="H70" i="1"/>
  <c r="H625" i="1"/>
  <c r="H538" i="1"/>
  <c r="H424" i="1"/>
  <c r="H332" i="1"/>
  <c r="H236" i="1"/>
  <c r="H140" i="1"/>
  <c r="H45" i="1"/>
  <c r="H600" i="1"/>
  <c r="H504" i="1"/>
  <c r="H407" i="1"/>
  <c r="H307" i="1"/>
  <c r="H206" i="1"/>
  <c r="H116" i="1"/>
  <c r="H20" i="1"/>
  <c r="H575" i="1"/>
  <c r="H476" i="1"/>
  <c r="H384" i="1"/>
  <c r="H290" i="1"/>
  <c r="H194" i="1"/>
  <c r="H99" i="1"/>
  <c r="H1135" i="1"/>
  <c r="H549" i="1"/>
  <c r="H1166" i="1"/>
  <c r="H1070" i="1"/>
  <c r="H975" i="1"/>
  <c r="H879" i="1"/>
  <c r="H782" i="1"/>
  <c r="H687" i="1"/>
  <c r="H98" i="1"/>
  <c r="H808" i="1"/>
  <c r="H880" i="1"/>
  <c r="H1193" i="1"/>
  <c r="H1131" i="1"/>
  <c r="H998" i="1"/>
  <c r="H902" i="1"/>
  <c r="H805" i="1"/>
  <c r="H710" i="1"/>
  <c r="H281" i="1"/>
  <c r="H985" i="1"/>
  <c r="H1201" i="1"/>
  <c r="H42" i="1"/>
  <c r="H1156" i="1"/>
  <c r="H1057" i="1"/>
  <c r="H966" i="1"/>
  <c r="H868" i="1"/>
  <c r="H772" i="1"/>
  <c r="H677" i="1"/>
  <c r="H18" i="1"/>
  <c r="H816" i="1"/>
  <c r="H976" i="1"/>
  <c r="H1209" i="1"/>
  <c r="H1095" i="1"/>
  <c r="H1009" i="1"/>
  <c r="H924" i="1"/>
  <c r="H827" i="1"/>
  <c r="H731" i="1"/>
  <c r="H454" i="1"/>
  <c r="H1032" i="1"/>
  <c r="H113" i="1"/>
  <c r="H704" i="1"/>
  <c r="H1170" i="1"/>
  <c r="H1077" i="1"/>
  <c r="H979" i="1"/>
  <c r="H883" i="1"/>
  <c r="H786" i="1"/>
  <c r="H691" i="1"/>
  <c r="H66" i="1"/>
  <c r="H728" i="1"/>
  <c r="H767" i="1"/>
  <c r="H1177" i="1"/>
  <c r="H1086" i="1"/>
  <c r="H978" i="1"/>
  <c r="H882" i="1"/>
  <c r="H785" i="1"/>
  <c r="H690" i="1"/>
  <c r="H121" i="1"/>
  <c r="H581" i="1"/>
  <c r="H485" i="1"/>
  <c r="H390" i="1"/>
  <c r="H296" i="1"/>
  <c r="H226" i="1"/>
  <c r="H105" i="1"/>
  <c r="H9" i="1"/>
  <c r="H572" i="1"/>
  <c r="H475" i="1"/>
  <c r="H379" i="1"/>
  <c r="H287" i="1"/>
  <c r="H191" i="1"/>
  <c r="H80" i="1"/>
  <c r="H651" i="1"/>
  <c r="H554" i="1"/>
  <c r="H459" i="1"/>
  <c r="H366" i="1"/>
  <c r="H269" i="1"/>
  <c r="H174" i="1"/>
  <c r="H91" i="1"/>
  <c r="H634" i="1"/>
  <c r="H534" i="1"/>
  <c r="H442" i="1"/>
  <c r="H349" i="1"/>
  <c r="H251" i="1"/>
  <c r="H157" i="1"/>
  <c r="H63" i="1"/>
  <c r="H617" i="1"/>
  <c r="H521" i="1"/>
  <c r="H416" i="1"/>
  <c r="H324" i="1"/>
  <c r="H223" i="1"/>
  <c r="H132" i="1"/>
  <c r="H38" i="1"/>
  <c r="H592" i="1"/>
  <c r="H498" i="1"/>
  <c r="H401" i="1"/>
  <c r="H299" i="1"/>
  <c r="H198" i="1"/>
  <c r="H108" i="1"/>
  <c r="H12" i="1"/>
  <c r="H567" i="1"/>
  <c r="H470" i="1"/>
  <c r="H378" i="1"/>
  <c r="H282" i="1"/>
  <c r="H186" i="1"/>
  <c r="H78" i="1"/>
  <c r="H1081" i="1"/>
  <c r="H169" i="1"/>
  <c r="H1158" i="1"/>
  <c r="H1061" i="1"/>
  <c r="H968" i="1"/>
  <c r="H871" i="1"/>
  <c r="H774" i="1"/>
  <c r="H679" i="1"/>
  <c r="H35" i="1"/>
  <c r="H760" i="1"/>
  <c r="H815" i="1"/>
  <c r="H1180" i="1"/>
  <c r="H1124" i="1"/>
  <c r="H990" i="1"/>
  <c r="H894" i="1"/>
  <c r="H797" i="1"/>
  <c r="H702" i="1"/>
  <c r="H212" i="1"/>
  <c r="H953" i="1"/>
  <c r="H1159" i="1"/>
  <c r="H1242" i="1"/>
  <c r="H1143" i="1"/>
  <c r="H1058" i="1"/>
  <c r="H957" i="1"/>
  <c r="H860" i="1"/>
  <c r="H764" i="1"/>
  <c r="H669" i="1"/>
  <c r="H1214" i="1"/>
  <c r="H776" i="1"/>
  <c r="H928" i="1"/>
  <c r="H1197" i="1"/>
  <c r="H1119" i="1"/>
  <c r="H1006" i="1"/>
  <c r="H916" i="1"/>
  <c r="H819" i="1"/>
  <c r="H723" i="1"/>
  <c r="H391" i="1"/>
  <c r="H993" i="1"/>
  <c r="H1237" i="1"/>
  <c r="H614" i="1"/>
  <c r="H1162" i="1"/>
  <c r="H1067" i="1"/>
  <c r="H973" i="1"/>
  <c r="H875" i="1"/>
  <c r="H778" i="1"/>
  <c r="H684" i="1"/>
  <c r="H1230" i="1"/>
  <c r="H50" i="1"/>
  <c r="H712" i="1"/>
  <c r="H1169" i="1"/>
  <c r="H1076" i="1"/>
  <c r="H970" i="1"/>
  <c r="H874" i="1"/>
  <c r="H777" i="1"/>
  <c r="H682" i="1"/>
  <c r="H58" i="1"/>
  <c r="H573" i="1"/>
  <c r="H478" i="1"/>
  <c r="H383" i="1"/>
  <c r="H288" i="1"/>
  <c r="H192" i="1"/>
  <c r="H77" i="1"/>
  <c r="H660" i="1"/>
  <c r="H564" i="1"/>
  <c r="H468" i="1"/>
  <c r="H374" i="1"/>
  <c r="H279" i="1"/>
  <c r="H183" i="1"/>
  <c r="H92" i="1"/>
  <c r="H643" i="1"/>
  <c r="H546" i="1"/>
  <c r="H451" i="1"/>
  <c r="H352" i="1"/>
  <c r="H270" i="1"/>
  <c r="H166" i="1"/>
  <c r="H71" i="1"/>
  <c r="H626" i="1"/>
  <c r="H539" i="1"/>
  <c r="H433" i="1"/>
  <c r="H341" i="1"/>
  <c r="H241" i="1"/>
  <c r="H149" i="1"/>
  <c r="H54" i="1"/>
  <c r="H609" i="1"/>
  <c r="H513" i="1"/>
  <c r="H408" i="1"/>
  <c r="H316" i="1"/>
  <c r="H215" i="1"/>
  <c r="H124" i="1"/>
  <c r="H29" i="1"/>
  <c r="H584" i="1"/>
  <c r="H488" i="1"/>
  <c r="H393" i="1"/>
  <c r="H291" i="1"/>
  <c r="H195" i="1"/>
  <c r="H100" i="1"/>
  <c r="H655" i="1"/>
  <c r="H559" i="1"/>
  <c r="H463" i="1"/>
  <c r="H369" i="1"/>
  <c r="H274" i="1"/>
  <c r="H178" i="1"/>
  <c r="H84" i="1"/>
  <c r="H1039" i="1"/>
  <c r="H1244" i="1"/>
  <c r="H1150" i="1"/>
  <c r="H1049" i="1"/>
  <c r="H959" i="1"/>
  <c r="H862" i="1"/>
  <c r="H766" i="1"/>
  <c r="H671" i="1"/>
  <c r="H1222" i="1"/>
  <c r="H721" i="1"/>
  <c r="H759" i="1"/>
  <c r="H1173" i="1"/>
  <c r="H1073" i="1"/>
  <c r="H982" i="1"/>
  <c r="H886" i="1"/>
  <c r="H789" i="1"/>
  <c r="H694" i="1"/>
  <c r="H153" i="1"/>
  <c r="H912" i="1"/>
  <c r="H1090" i="1"/>
  <c r="H1234" i="1"/>
  <c r="H1140" i="1"/>
  <c r="H1044" i="1"/>
  <c r="H949" i="1"/>
  <c r="H852" i="1"/>
  <c r="H756" i="1"/>
  <c r="H654" i="1"/>
  <c r="H1204" i="1"/>
  <c r="H744" i="1"/>
  <c r="H888" i="1"/>
  <c r="H1184" i="1"/>
  <c r="H1089" i="1"/>
  <c r="H1004" i="1"/>
  <c r="H907" i="1"/>
  <c r="H811" i="1"/>
  <c r="H716" i="1"/>
  <c r="H329" i="1"/>
  <c r="H946" i="1"/>
  <c r="H1203" i="1"/>
  <c r="H421" i="1"/>
  <c r="H1154" i="1"/>
  <c r="H1055" i="1"/>
  <c r="H963" i="1"/>
  <c r="H866" i="1"/>
  <c r="H770" i="1"/>
  <c r="H675" i="1"/>
  <c r="H1176" i="1"/>
  <c r="H1213" i="1"/>
  <c r="H672" i="1"/>
  <c r="H1161" i="1"/>
  <c r="H1066" i="1"/>
  <c r="H962" i="1"/>
  <c r="H865" i="1"/>
  <c r="H769" i="1"/>
  <c r="H674" i="1"/>
  <c r="H661" i="1"/>
  <c r="H565" i="1"/>
  <c r="H471" i="1"/>
  <c r="H375" i="1"/>
  <c r="H280" i="1"/>
  <c r="H184" i="1"/>
  <c r="H81" i="1"/>
  <c r="H652" i="1"/>
  <c r="H555" i="1"/>
  <c r="H460" i="1"/>
  <c r="H368" i="1"/>
  <c r="H271" i="1"/>
  <c r="H175" i="1"/>
  <c r="H72" i="1"/>
  <c r="H635" i="1"/>
  <c r="H535" i="1"/>
  <c r="H443" i="1"/>
  <c r="H350" i="1"/>
  <c r="H254" i="1"/>
  <c r="H158" i="1"/>
  <c r="H62" i="1"/>
  <c r="H618" i="1"/>
  <c r="H522" i="1"/>
  <c r="H425" i="1"/>
  <c r="H333" i="1"/>
  <c r="H237" i="1"/>
  <c r="H141" i="1"/>
  <c r="H46" i="1"/>
  <c r="H601" i="1"/>
  <c r="H505" i="1"/>
  <c r="H402" i="1"/>
  <c r="H308" i="1"/>
  <c r="H207" i="1"/>
  <c r="H115" i="1"/>
  <c r="H21" i="1"/>
  <c r="H576" i="1"/>
  <c r="H479" i="1"/>
  <c r="H385" i="1"/>
  <c r="H283" i="1"/>
  <c r="H187" i="1"/>
  <c r="H82" i="1"/>
  <c r="H647" i="1"/>
  <c r="H550" i="1"/>
  <c r="H455" i="1"/>
  <c r="H362" i="1"/>
  <c r="H264" i="1"/>
  <c r="H170" i="1"/>
  <c r="H75" i="1"/>
  <c r="H1001" i="1"/>
  <c r="H1236" i="1"/>
  <c r="H1142" i="1"/>
  <c r="H1046" i="1"/>
  <c r="H951" i="1"/>
  <c r="H854" i="1"/>
  <c r="H758" i="1"/>
  <c r="H663" i="1"/>
  <c r="H1183" i="1"/>
  <c r="H689" i="1"/>
  <c r="H696" i="1"/>
  <c r="H1165" i="1"/>
  <c r="H1065" i="1"/>
  <c r="H974" i="1"/>
  <c r="H878" i="1"/>
  <c r="H781" i="1"/>
  <c r="H686" i="1"/>
  <c r="H85" i="1"/>
  <c r="H873" i="1"/>
  <c r="H1062" i="1"/>
  <c r="H1226" i="1"/>
  <c r="H1132" i="1"/>
  <c r="H1036" i="1"/>
  <c r="H941" i="1"/>
  <c r="H844" i="1"/>
  <c r="H748" i="1"/>
  <c r="H590" i="1"/>
  <c r="H1160" i="1"/>
  <c r="H697" i="1"/>
  <c r="H831" i="1"/>
  <c r="H1191" i="1"/>
  <c r="H1121" i="1"/>
  <c r="H996" i="1"/>
  <c r="H900" i="1"/>
  <c r="H803" i="1"/>
  <c r="H708" i="1"/>
  <c r="H263" i="1"/>
  <c r="H905" i="1"/>
  <c r="H1151" i="1"/>
  <c r="H360" i="1"/>
  <c r="H1147" i="1"/>
  <c r="H1059" i="1"/>
  <c r="H955" i="1"/>
  <c r="H858" i="1"/>
  <c r="H762" i="1"/>
  <c r="H667" i="1"/>
  <c r="H1136" i="1"/>
  <c r="H1175" i="1"/>
  <c r="H486" i="1"/>
  <c r="H1153" i="1"/>
  <c r="H1054" i="1"/>
  <c r="H954" i="1"/>
  <c r="H857" i="1"/>
  <c r="H761" i="1"/>
  <c r="H666" i="1"/>
  <c r="H653" i="1"/>
  <c r="H556" i="1"/>
  <c r="H461" i="1"/>
  <c r="H370" i="1"/>
  <c r="H272" i="1"/>
  <c r="H176" i="1"/>
  <c r="H93" i="1"/>
  <c r="H644" i="1"/>
  <c r="H547" i="1"/>
  <c r="H452" i="1"/>
  <c r="H355" i="1"/>
  <c r="H262" i="1"/>
  <c r="H167" i="1"/>
  <c r="H64" i="1"/>
  <c r="H627" i="1"/>
  <c r="H541" i="1"/>
  <c r="H434" i="1"/>
  <c r="H342" i="1"/>
  <c r="H244" i="1"/>
  <c r="H150" i="1"/>
  <c r="H55" i="1"/>
  <c r="H610" i="1"/>
  <c r="H520" i="1"/>
  <c r="H417" i="1"/>
  <c r="H325" i="1"/>
  <c r="H229" i="1"/>
  <c r="H133" i="1"/>
  <c r="H39" i="1"/>
  <c r="H593" i="1"/>
  <c r="H495" i="1"/>
  <c r="H394" i="1"/>
  <c r="H300" i="1"/>
  <c r="H199" i="1"/>
  <c r="H109" i="1"/>
  <c r="H13" i="1"/>
  <c r="H568" i="1"/>
  <c r="H482" i="1"/>
  <c r="H376" i="1"/>
  <c r="H275" i="1"/>
  <c r="H179" i="1"/>
  <c r="H95" i="1"/>
  <c r="H639" i="1"/>
  <c r="H542" i="1"/>
  <c r="H447" i="1"/>
  <c r="H354" i="1"/>
  <c r="H258" i="1"/>
  <c r="H162" i="1"/>
  <c r="H67" i="1"/>
  <c r="H960" i="1"/>
  <c r="H1228" i="1"/>
  <c r="H1134" i="1"/>
  <c r="H1038" i="1"/>
  <c r="H942" i="1"/>
  <c r="H846" i="1"/>
  <c r="H750" i="1"/>
  <c r="H606" i="1"/>
  <c r="H1145" i="1"/>
  <c r="H622" i="1"/>
  <c r="H233" i="1"/>
  <c r="H1157" i="1"/>
  <c r="H1060" i="1"/>
  <c r="H969" i="1"/>
  <c r="H869" i="1"/>
  <c r="H773" i="1"/>
  <c r="H678" i="1"/>
  <c r="H26" i="1"/>
  <c r="H824" i="1"/>
  <c r="H1010" i="1"/>
  <c r="H1218" i="1"/>
  <c r="H1123" i="1"/>
  <c r="H1028" i="1"/>
  <c r="H933" i="1"/>
  <c r="H836" i="1"/>
  <c r="H740" i="1"/>
  <c r="H526" i="1"/>
  <c r="H1128" i="1"/>
  <c r="H665" i="1"/>
  <c r="H775" i="1"/>
  <c r="H1178" i="1"/>
  <c r="H1103" i="1"/>
  <c r="H988" i="1"/>
  <c r="H892" i="1"/>
  <c r="H795" i="1"/>
  <c r="H700" i="1"/>
  <c r="H227" i="1"/>
  <c r="H864" i="1"/>
  <c r="H1082" i="1"/>
  <c r="H1240" i="1"/>
  <c r="H1138" i="1"/>
  <c r="H1042" i="1"/>
  <c r="H945" i="1"/>
  <c r="H850" i="1"/>
  <c r="H754" i="1"/>
  <c r="H638" i="1"/>
  <c r="H1099" i="1"/>
  <c r="H1109" i="1"/>
  <c r="H297" i="1"/>
  <c r="H1146" i="1"/>
  <c r="H1052" i="1"/>
  <c r="H947" i="1"/>
  <c r="H849" i="1"/>
  <c r="H753" i="1"/>
  <c r="H630" i="1"/>
  <c r="H645" i="1"/>
  <c r="H548" i="1"/>
  <c r="H453" i="1"/>
  <c r="H359" i="1"/>
  <c r="H266" i="1"/>
  <c r="H168" i="1"/>
  <c r="H73" i="1"/>
  <c r="H636" i="1"/>
  <c r="H537" i="1"/>
  <c r="H444" i="1"/>
  <c r="H351" i="1"/>
  <c r="H255" i="1"/>
  <c r="H159" i="1"/>
  <c r="H56" i="1"/>
  <c r="H619" i="1"/>
  <c r="H523" i="1"/>
  <c r="H426" i="1"/>
  <c r="H334" i="1"/>
  <c r="H238" i="1"/>
  <c r="H142" i="1"/>
  <c r="H47" i="1"/>
  <c r="H602" i="1"/>
  <c r="H506" i="1"/>
  <c r="H409" i="1"/>
  <c r="H317" i="1"/>
  <c r="H216" i="1"/>
  <c r="H125" i="1"/>
  <c r="H31" i="1"/>
  <c r="H585" i="1"/>
  <c r="H489" i="1"/>
  <c r="H386" i="1"/>
  <c r="H292" i="1"/>
  <c r="H196" i="1"/>
  <c r="H101" i="1"/>
  <c r="H656" i="1"/>
  <c r="H560" i="1"/>
  <c r="H464" i="1"/>
  <c r="H363" i="1"/>
  <c r="H265" i="1"/>
  <c r="H171" i="1"/>
  <c r="H88" i="1"/>
  <c r="H631" i="1"/>
  <c r="H532" i="1"/>
  <c r="H440" i="1"/>
  <c r="H346" i="1"/>
  <c r="H246" i="1"/>
  <c r="H154" i="1"/>
  <c r="H59" i="1"/>
  <c r="H911" i="1"/>
  <c r="H1220" i="1"/>
  <c r="H1106" i="1"/>
  <c r="H1030" i="1"/>
  <c r="H935" i="1"/>
  <c r="H838" i="1"/>
  <c r="H742" i="1"/>
  <c r="H558" i="1"/>
  <c r="H1104" i="1"/>
  <c r="H240" i="1"/>
  <c r="H1243" i="1"/>
  <c r="H1149" i="1"/>
  <c r="H1064" i="1"/>
  <c r="H958" i="1"/>
  <c r="H861" i="1"/>
  <c r="H765" i="1"/>
  <c r="H670" i="1"/>
  <c r="H1238" i="1"/>
  <c r="H784" i="1"/>
  <c r="H972" i="1"/>
  <c r="H1210" i="1"/>
  <c r="H1096" i="1"/>
  <c r="H1014" i="1"/>
  <c r="H925" i="1"/>
  <c r="H828" i="1"/>
  <c r="H732" i="1"/>
  <c r="H462" i="1"/>
  <c r="H1079" i="1"/>
  <c r="H494" i="1"/>
  <c r="H727" i="1"/>
  <c r="H1171" i="1"/>
  <c r="H1085" i="1"/>
  <c r="H980" i="1"/>
  <c r="H884" i="1"/>
  <c r="H787" i="1"/>
  <c r="H692" i="1"/>
  <c r="H137" i="1"/>
  <c r="H832" i="1"/>
  <c r="H1050" i="1"/>
  <c r="H1232" i="1"/>
  <c r="H1112" i="1"/>
  <c r="H1034" i="1"/>
  <c r="H939" i="1"/>
  <c r="H842" i="1"/>
  <c r="H746" i="1"/>
  <c r="H574" i="1"/>
  <c r="H1053" i="1"/>
  <c r="H1078" i="1"/>
  <c r="H1239" i="1"/>
  <c r="H1137" i="1"/>
  <c r="H1041" i="1"/>
  <c r="H938" i="1"/>
  <c r="H841" i="1"/>
  <c r="H745" i="1"/>
  <c r="H566" i="1"/>
  <c r="H637" i="1"/>
  <c r="H540" i="1"/>
  <c r="H445" i="1"/>
  <c r="H361" i="1"/>
  <c r="H256" i="1"/>
  <c r="H160" i="1"/>
  <c r="H65" i="1"/>
  <c r="H628" i="1"/>
  <c r="H529" i="1"/>
  <c r="H437" i="1"/>
  <c r="H343" i="1"/>
  <c r="H247" i="1"/>
  <c r="H151" i="1"/>
  <c r="H48" i="1"/>
  <c r="H611" i="1"/>
  <c r="H514" i="1"/>
  <c r="H418" i="1"/>
  <c r="H326" i="1"/>
  <c r="H230" i="1"/>
  <c r="H134" i="1"/>
  <c r="H40" i="1"/>
  <c r="H594" i="1"/>
  <c r="H496" i="1"/>
  <c r="H435" i="1"/>
  <c r="H309" i="1"/>
  <c r="H208" i="1"/>
  <c r="H117" i="1"/>
  <c r="H22" i="1"/>
  <c r="H577" i="1"/>
  <c r="H474" i="1"/>
  <c r="H380" i="1"/>
  <c r="H284" i="1"/>
  <c r="H188" i="1"/>
  <c r="H86" i="1"/>
  <c r="H648" i="1"/>
  <c r="H551" i="1"/>
  <c r="H456" i="1"/>
  <c r="H356" i="1"/>
  <c r="H259" i="1"/>
  <c r="H163" i="1"/>
  <c r="H68" i="1"/>
  <c r="H623" i="1"/>
  <c r="H527" i="1"/>
  <c r="H430" i="1"/>
  <c r="H338" i="1"/>
  <c r="H242" i="1"/>
  <c r="H146" i="1"/>
  <c r="H51" i="1"/>
  <c r="H863" i="1"/>
  <c r="H1212" i="1"/>
  <c r="H1114" i="1"/>
  <c r="H1022" i="1"/>
  <c r="H927" i="1"/>
  <c r="H830" i="1"/>
  <c r="H734" i="1"/>
  <c r="H473" i="1"/>
  <c r="H1063" i="1"/>
  <c r="H1188" i="1"/>
  <c r="H1235" i="1"/>
  <c r="H1141" i="1"/>
  <c r="H1045" i="1"/>
  <c r="H950" i="1"/>
  <c r="H853" i="1"/>
  <c r="H757" i="1"/>
  <c r="H662" i="1"/>
  <c r="H1202" i="1"/>
  <c r="H736" i="1"/>
  <c r="H920" i="1"/>
  <c r="H1198" i="1"/>
  <c r="H1125" i="1"/>
  <c r="H1011" i="1"/>
  <c r="H917" i="1"/>
  <c r="H820" i="1"/>
  <c r="H724" i="1"/>
  <c r="H399" i="1"/>
  <c r="H1040" i="1"/>
  <c r="H177" i="1"/>
  <c r="H664" i="1"/>
  <c r="H1163" i="1"/>
  <c r="H1068" i="1"/>
  <c r="H967" i="1"/>
  <c r="H876" i="1"/>
  <c r="H779" i="1"/>
  <c r="H683" i="1"/>
  <c r="H74" i="1"/>
  <c r="H800" i="1"/>
  <c r="H1017" i="1"/>
  <c r="H1224" i="1"/>
  <c r="H1102" i="1"/>
  <c r="H1026" i="1"/>
  <c r="H931" i="1"/>
  <c r="H834" i="1"/>
  <c r="H738" i="1"/>
  <c r="H510" i="1"/>
  <c r="H1008" i="1"/>
  <c r="H1031" i="1"/>
  <c r="H1231" i="1"/>
  <c r="H1111" i="1"/>
  <c r="H1033" i="1"/>
  <c r="H930" i="1"/>
  <c r="H833" i="1"/>
  <c r="H737" i="1"/>
  <c r="H502" i="1"/>
  <c r="H629" i="1"/>
  <c r="H530" i="1"/>
  <c r="H438" i="1"/>
  <c r="H344" i="1"/>
  <c r="H252" i="1"/>
  <c r="H152" i="1"/>
  <c r="H57" i="1"/>
  <c r="H620" i="1"/>
  <c r="H524" i="1"/>
  <c r="H427" i="1"/>
  <c r="H335" i="1"/>
  <c r="H239" i="1"/>
  <c r="H143" i="1"/>
  <c r="H30" i="1"/>
  <c r="H603" i="1"/>
  <c r="H507" i="1"/>
  <c r="H410" i="1"/>
  <c r="H318" i="1"/>
  <c r="H217" i="1"/>
  <c r="H126" i="1"/>
  <c r="H32" i="1"/>
  <c r="H586" i="1"/>
  <c r="H490" i="1"/>
  <c r="H395" i="1"/>
  <c r="H301" i="1"/>
  <c r="H200" i="1"/>
  <c r="H110" i="1"/>
  <c r="H14" i="1"/>
  <c r="H569" i="1"/>
  <c r="H483" i="1"/>
  <c r="H371" i="1"/>
  <c r="H276" i="1"/>
  <c r="H180" i="1"/>
  <c r="H96" i="1"/>
  <c r="H640" i="1"/>
  <c r="H543" i="1"/>
  <c r="H448" i="1"/>
  <c r="H347" i="1"/>
  <c r="H249" i="1"/>
  <c r="H155" i="1"/>
  <c r="H60" i="1"/>
  <c r="H615" i="1"/>
  <c r="H518" i="1"/>
  <c r="H422" i="1"/>
  <c r="H330" i="1"/>
  <c r="H234" i="1"/>
  <c r="H138" i="1"/>
  <c r="H43" i="1"/>
  <c r="H823" i="1"/>
  <c r="H1200" i="1"/>
  <c r="H1130" i="1"/>
  <c r="H1021" i="1"/>
  <c r="H919" i="1"/>
  <c r="H822" i="1"/>
  <c r="H726" i="1"/>
  <c r="H413" i="1"/>
  <c r="H1025" i="1"/>
  <c r="H1144" i="1"/>
  <c r="H1227" i="1"/>
  <c r="H1133" i="1"/>
  <c r="H1037" i="1"/>
  <c r="H943" i="1"/>
  <c r="H845" i="1"/>
  <c r="H749" i="1"/>
  <c r="H598" i="1"/>
  <c r="H1168" i="1"/>
  <c r="H705" i="1"/>
  <c r="H872" i="1"/>
  <c r="H1185" i="1"/>
  <c r="H1107" i="1"/>
  <c r="H1005" i="1"/>
  <c r="H908" i="1"/>
  <c r="H812" i="1"/>
  <c r="H717" i="1"/>
  <c r="H337" i="1"/>
  <c r="H1000" i="1"/>
  <c r="H1229" i="1"/>
  <c r="H106" i="1"/>
  <c r="H1155" i="1"/>
  <c r="H1056" i="1"/>
  <c r="H965" i="1"/>
  <c r="H867" i="1"/>
  <c r="H771" i="1"/>
  <c r="H676" i="1"/>
  <c r="H10" i="1"/>
  <c r="H768" i="1"/>
  <c r="H952" i="1"/>
  <c r="H1216" i="1"/>
  <c r="H1094" i="1"/>
  <c r="H1023" i="1"/>
  <c r="H923" i="1"/>
  <c r="H826" i="1"/>
  <c r="H730" i="1"/>
  <c r="H446" i="1"/>
  <c r="H961" i="1"/>
  <c r="H984" i="1"/>
  <c r="H1223" i="1"/>
  <c r="H1101" i="1"/>
  <c r="H1020" i="1"/>
  <c r="H922" i="1"/>
  <c r="H825" i="1"/>
  <c r="H729" i="1"/>
  <c r="H439" i="1"/>
  <c r="H621" i="1"/>
  <c r="H525" i="1"/>
  <c r="H428" i="1"/>
  <c r="H336" i="1"/>
  <c r="H250" i="1"/>
  <c r="H144" i="1"/>
  <c r="H49" i="1"/>
  <c r="H612" i="1"/>
  <c r="H515" i="1"/>
  <c r="H419" i="1"/>
  <c r="H327" i="1"/>
  <c r="H231" i="1"/>
  <c r="H135" i="1"/>
  <c r="H33" i="1"/>
  <c r="H595" i="1"/>
  <c r="H499" i="1"/>
  <c r="H403" i="1"/>
  <c r="H310" i="1"/>
  <c r="H209" i="1"/>
  <c r="H118" i="1"/>
  <c r="H25" i="1"/>
  <c r="H578" i="1"/>
  <c r="H477" i="1"/>
  <c r="H387" i="1"/>
  <c r="H293" i="1"/>
  <c r="H197" i="1"/>
  <c r="H102" i="1"/>
  <c r="H657" i="1"/>
  <c r="H561" i="1"/>
  <c r="H466" i="1"/>
  <c r="H364" i="1"/>
  <c r="H268" i="1"/>
  <c r="H172" i="1"/>
  <c r="H89" i="1"/>
  <c r="H632" i="1"/>
  <c r="H528" i="1"/>
  <c r="H441" i="1"/>
  <c r="H339" i="1"/>
  <c r="H245" i="1"/>
  <c r="H147" i="1"/>
  <c r="H52" i="1"/>
  <c r="H607" i="1"/>
  <c r="H511" i="1"/>
  <c r="H414" i="1"/>
  <c r="H322" i="1"/>
  <c r="H221" i="1"/>
  <c r="H130" i="1"/>
  <c r="H36" i="1"/>
  <c r="H791" i="1"/>
  <c r="H1187" i="1"/>
  <c r="H1097" i="1"/>
  <c r="H1012" i="1"/>
  <c r="H910" i="1"/>
  <c r="H814" i="1"/>
  <c r="H720" i="1"/>
  <c r="H353" i="1"/>
  <c r="H977" i="1"/>
  <c r="H1084" i="1"/>
  <c r="H1219" i="1"/>
  <c r="H1129" i="1"/>
  <c r="H1029" i="1"/>
  <c r="H934" i="1"/>
  <c r="H837" i="1"/>
  <c r="H741" i="1"/>
  <c r="H531" i="1"/>
  <c r="H1110" i="1"/>
  <c r="H681" i="1"/>
  <c r="H839" i="1"/>
  <c r="H1192" i="1"/>
  <c r="H1127" i="1"/>
  <c r="H997" i="1"/>
  <c r="H901" i="1"/>
  <c r="H804" i="1"/>
  <c r="H709" i="1"/>
  <c r="H273" i="1"/>
  <c r="H964" i="1"/>
  <c r="H1167" i="1"/>
  <c r="H1241" i="1"/>
  <c r="H1148" i="1"/>
  <c r="H1048" i="1"/>
  <c r="H956" i="1"/>
  <c r="H859" i="1"/>
  <c r="H763" i="1"/>
  <c r="H668" i="1"/>
  <c r="H1189" i="1"/>
  <c r="H752" i="1"/>
  <c r="H896" i="1"/>
  <c r="H1208" i="1"/>
  <c r="H1118" i="1"/>
  <c r="H1018" i="1"/>
  <c r="H915" i="1"/>
  <c r="H818" i="1"/>
  <c r="H870" i="1"/>
  <c r="H321" i="1"/>
  <c r="H921" i="1"/>
  <c r="H944" i="1"/>
  <c r="H1215" i="1"/>
  <c r="H1093" i="1"/>
  <c r="H1013" i="1"/>
  <c r="H913" i="1"/>
  <c r="H817" i="1"/>
  <c r="H722" i="1"/>
  <c r="H377" i="1"/>
  <c r="H613" i="1"/>
  <c r="H516" i="1"/>
  <c r="H420" i="1"/>
  <c r="H328" i="1"/>
  <c r="H232" i="1"/>
  <c r="H136" i="1"/>
  <c r="H41" i="1"/>
  <c r="H604" i="1"/>
  <c r="H508" i="1"/>
  <c r="H411" i="1"/>
  <c r="H319" i="1"/>
  <c r="H218" i="1"/>
  <c r="H127" i="1"/>
  <c r="H23" i="1"/>
  <c r="H587" i="1"/>
  <c r="H491" i="1"/>
  <c r="H396" i="1"/>
  <c r="H302" i="1"/>
  <c r="H201" i="1"/>
  <c r="H111" i="1"/>
  <c r="H15" i="1"/>
  <c r="H570" i="1"/>
  <c r="H484" i="1"/>
  <c r="H381" i="1"/>
  <c r="H285" i="1"/>
  <c r="H189" i="1"/>
  <c r="H79" i="1"/>
  <c r="H649" i="1"/>
  <c r="H552" i="1"/>
  <c r="H457" i="1"/>
  <c r="H357" i="1"/>
  <c r="H260" i="1"/>
  <c r="H164" i="1"/>
  <c r="H69" i="1"/>
  <c r="H624" i="1"/>
  <c r="H536" i="1"/>
  <c r="H431" i="1"/>
  <c r="H331" i="1"/>
  <c r="H235" i="1"/>
  <c r="H139" i="1"/>
  <c r="H44" i="1"/>
  <c r="H599" i="1"/>
  <c r="H503" i="1"/>
  <c r="H406" i="1"/>
  <c r="H314" i="1"/>
  <c r="H213" i="1"/>
  <c r="H122" i="1"/>
  <c r="H27" i="1"/>
  <c r="H751" i="1"/>
  <c r="H1194" i="1"/>
  <c r="H1083" i="1"/>
  <c r="H999" i="1"/>
  <c r="H903" i="1"/>
  <c r="H806" i="1"/>
  <c r="H711" i="1"/>
  <c r="H289" i="1"/>
  <c r="H929" i="1"/>
  <c r="H1047" i="1"/>
  <c r="H1211" i="1"/>
  <c r="H1098" i="1"/>
  <c r="H1019" i="1"/>
  <c r="H926" i="1"/>
  <c r="H829" i="1"/>
  <c r="H733" i="1"/>
  <c r="H469" i="1"/>
  <c r="H1080" i="1"/>
  <c r="H557" i="1"/>
  <c r="H783" i="1"/>
  <c r="H1179" i="1"/>
  <c r="H1117" i="1"/>
  <c r="H989" i="1"/>
  <c r="H893" i="1"/>
  <c r="H796" i="1"/>
  <c r="H701" i="1"/>
  <c r="H204" i="1"/>
  <c r="H937" i="1"/>
  <c r="H1122" i="1"/>
  <c r="H1233" i="1"/>
  <c r="H1139" i="1"/>
  <c r="H1043" i="1"/>
  <c r="H948" i="1"/>
  <c r="H851" i="1"/>
  <c r="H755" i="1"/>
  <c r="H646" i="1"/>
  <c r="H1152" i="1"/>
  <c r="H713" i="1"/>
  <c r="H847" i="1"/>
  <c r="H1196" i="1"/>
  <c r="H1087" i="1"/>
  <c r="H1003" i="1"/>
  <c r="H906" i="1"/>
  <c r="H810" i="1"/>
  <c r="H715" i="1"/>
  <c r="H257" i="1"/>
  <c r="H881" i="1"/>
  <c r="H904" i="1"/>
  <c r="H1207" i="1"/>
  <c r="H1105" i="1"/>
  <c r="H1002" i="1"/>
  <c r="H914" i="1"/>
  <c r="H809" i="1"/>
  <c r="H714" i="1"/>
  <c r="H313" i="1"/>
  <c r="H605" i="1"/>
  <c r="H509" i="1"/>
  <c r="H412" i="1"/>
  <c r="H320" i="1"/>
  <c r="H219" i="1"/>
  <c r="H128" i="1"/>
  <c r="H34" i="1"/>
  <c r="H596" i="1"/>
  <c r="H500" i="1"/>
  <c r="H404" i="1"/>
  <c r="H311" i="1"/>
  <c r="H210" i="1"/>
  <c r="H119" i="1"/>
  <c r="H16" i="1"/>
  <c r="H579" i="1"/>
  <c r="H480" i="1"/>
  <c r="H388" i="1"/>
  <c r="H294" i="1"/>
  <c r="H224" i="1"/>
  <c r="H103" i="1"/>
  <c r="H658" i="1"/>
  <c r="H562" i="1"/>
  <c r="H465" i="1"/>
  <c r="H372" i="1"/>
  <c r="H277" i="1"/>
  <c r="H181" i="1"/>
  <c r="H97" i="1"/>
  <c r="H641" i="1"/>
  <c r="H544" i="1"/>
  <c r="H449" i="1"/>
  <c r="H348" i="1"/>
  <c r="H253" i="1"/>
  <c r="H156" i="1"/>
  <c r="H61" i="1"/>
  <c r="H616" i="1"/>
  <c r="H519" i="1"/>
  <c r="H423" i="1"/>
  <c r="H323" i="1"/>
  <c r="H222" i="1"/>
  <c r="H131" i="1"/>
  <c r="H37" i="1"/>
  <c r="H591" i="1"/>
  <c r="H497" i="1"/>
  <c r="H400" i="1"/>
  <c r="H306" i="1"/>
  <c r="H205" i="1"/>
  <c r="H114" i="1"/>
  <c r="H19" i="1"/>
  <c r="H1221" i="1"/>
  <c r="H719" i="1"/>
  <c r="H1181" i="1"/>
  <c r="H1075" i="1"/>
  <c r="H991" i="1"/>
  <c r="H895" i="1"/>
  <c r="H798" i="1"/>
  <c r="H703" i="1"/>
  <c r="H220" i="1"/>
  <c r="H889" i="1"/>
  <c r="H992" i="1"/>
  <c r="H1199" i="1"/>
  <c r="H1126" i="1"/>
  <c r="H1016" i="1"/>
  <c r="H918" i="1"/>
  <c r="H821" i="1"/>
  <c r="H725" i="1"/>
  <c r="H405" i="1"/>
  <c r="H1051" i="1"/>
  <c r="H367" i="1"/>
  <c r="H735" i="1"/>
  <c r="H1172" i="1"/>
  <c r="H1100" i="1"/>
  <c r="H981" i="1"/>
  <c r="H885" i="1"/>
  <c r="H788" i="1"/>
  <c r="H693" i="1"/>
  <c r="H145" i="1"/>
  <c r="H897" i="1"/>
  <c r="H1071" i="1"/>
  <c r="H1225" i="1"/>
  <c r="H1113" i="1"/>
  <c r="H1035" i="1"/>
  <c r="H940" i="1"/>
  <c r="H843" i="1"/>
  <c r="H747" i="1"/>
  <c r="H582" i="1"/>
  <c r="H1092" i="1"/>
  <c r="H673" i="1"/>
  <c r="H799" i="1"/>
  <c r="H1206" i="1"/>
  <c r="H1108" i="1"/>
  <c r="H995" i="1"/>
  <c r="H899" i="1"/>
  <c r="H802" i="1"/>
  <c r="H707" i="1"/>
  <c r="H193" i="1"/>
  <c r="H848" i="1"/>
  <c r="H855" i="1"/>
  <c r="H1190" i="1"/>
  <c r="H1115" i="1"/>
  <c r="H994" i="1"/>
  <c r="H898" i="1"/>
  <c r="H801" i="1"/>
  <c r="H706" i="1"/>
  <c r="H243" i="1"/>
  <c r="H597" i="1"/>
  <c r="H501" i="1"/>
  <c r="H436" i="1"/>
  <c r="H312" i="1"/>
  <c r="H211" i="1"/>
  <c r="H120" i="1"/>
  <c r="H24" i="1"/>
  <c r="H588" i="1"/>
  <c r="H492" i="1"/>
  <c r="H397" i="1"/>
  <c r="H303" i="1"/>
  <c r="H202" i="1"/>
  <c r="H104" i="1"/>
  <c r="H8" i="1"/>
  <c r="H571" i="1"/>
  <c r="H472" i="1"/>
  <c r="H382" i="1"/>
  <c r="H286" i="1"/>
  <c r="H190" i="1"/>
  <c r="H83" i="1"/>
  <c r="H650" i="1"/>
  <c r="H553" i="1"/>
  <c r="H458" i="1"/>
  <c r="H365" i="1"/>
  <c r="H267" i="1"/>
  <c r="H173" i="1"/>
  <c r="H90" i="1"/>
  <c r="H633" i="1"/>
  <c r="H533" i="1"/>
  <c r="H432" i="1"/>
  <c r="H340" i="1"/>
  <c r="H248" i="1"/>
  <c r="H148" i="1"/>
  <c r="H53" i="1"/>
  <c r="H608" i="1"/>
  <c r="H512" i="1"/>
  <c r="H415" i="1"/>
  <c r="H315" i="1"/>
  <c r="H214" i="1"/>
  <c r="H123" i="1"/>
  <c r="H28" i="1"/>
  <c r="H583" i="1"/>
  <c r="H487" i="1"/>
  <c r="H392" i="1"/>
  <c r="H298" i="1"/>
  <c r="H203" i="1"/>
  <c r="H107" i="1"/>
  <c r="H11" i="1"/>
  <c r="K696" i="1"/>
  <c r="L696" i="1"/>
  <c r="S696" i="1"/>
  <c r="I696" i="1"/>
  <c r="T696" i="1"/>
  <c r="R696" i="1"/>
  <c r="Q696" i="1"/>
  <c r="J696" i="1"/>
  <c r="N696" i="1"/>
  <c r="M696" i="1"/>
  <c r="T697" i="1"/>
  <c r="S697" i="1"/>
  <c r="Q698" i="1"/>
  <c r="I697" i="1"/>
  <c r="J697" i="1"/>
  <c r="R698" i="1"/>
  <c r="N698" i="1"/>
  <c r="R697" i="1"/>
  <c r="L698" i="1"/>
  <c r="N697" i="1"/>
  <c r="M697" i="1"/>
  <c r="K698" i="1"/>
  <c r="T698" i="1"/>
  <c r="M698" i="1"/>
  <c r="Q697" i="1"/>
  <c r="J698" i="1"/>
  <c r="L697" i="1"/>
  <c r="S698" i="1"/>
  <c r="I698" i="1"/>
  <c r="K697" i="1"/>
  <c r="U696" i="1" l="1"/>
  <c r="O696" i="1"/>
  <c r="O698" i="1"/>
  <c r="O697" i="1"/>
  <c r="U698" i="1"/>
  <c r="U697" i="1"/>
  <c r="G7" i="1"/>
  <c r="P7" i="1" s="1"/>
  <c r="H7" i="1" l="1"/>
  <c r="H1245" i="1" s="1"/>
  <c r="D22" i="2" s="1"/>
  <c r="P1245" i="1"/>
  <c r="D8" i="2" s="1"/>
  <c r="R695" i="1"/>
  <c r="J695" i="1"/>
  <c r="M695" i="1"/>
  <c r="Q695" i="1"/>
  <c r="S695" i="1"/>
  <c r="I695" i="1"/>
  <c r="K695" i="1"/>
  <c r="N695" i="1"/>
  <c r="L695" i="1"/>
  <c r="T695" i="1"/>
  <c r="J633" i="1"/>
  <c r="Q633" i="1"/>
  <c r="I633" i="1"/>
  <c r="L633" i="1"/>
  <c r="N633" i="1"/>
  <c r="M633" i="1"/>
  <c r="R633" i="1"/>
  <c r="K633" i="1"/>
  <c r="S633" i="1"/>
  <c r="T633" i="1"/>
  <c r="M592" i="1"/>
  <c r="N592" i="1"/>
  <c r="Q592" i="1"/>
  <c r="I592" i="1"/>
  <c r="R592" i="1"/>
  <c r="K592" i="1"/>
  <c r="T592" i="1"/>
  <c r="S592" i="1"/>
  <c r="J592" i="1"/>
  <c r="L592" i="1"/>
  <c r="J601" i="1"/>
  <c r="I601" i="1"/>
  <c r="Q601" i="1"/>
  <c r="S601" i="1"/>
  <c r="M601" i="1"/>
  <c r="K601" i="1"/>
  <c r="R601" i="1"/>
  <c r="T601" i="1"/>
  <c r="N601" i="1"/>
  <c r="L601" i="1"/>
  <c r="T526" i="1"/>
  <c r="Q526" i="1"/>
  <c r="J526" i="1"/>
  <c r="R526" i="1"/>
  <c r="N526" i="1"/>
  <c r="M526" i="1"/>
  <c r="K526" i="1"/>
  <c r="I526" i="1"/>
  <c r="S526" i="1"/>
  <c r="L526" i="1"/>
  <c r="N540" i="1"/>
  <c r="R540" i="1"/>
  <c r="M540" i="1"/>
  <c r="L540" i="1"/>
  <c r="K540" i="1"/>
  <c r="T540" i="1"/>
  <c r="J540" i="1"/>
  <c r="S540" i="1"/>
  <c r="Q540" i="1"/>
  <c r="I540" i="1"/>
  <c r="N387" i="1"/>
  <c r="I387" i="1"/>
  <c r="T387" i="1"/>
  <c r="J387" i="1"/>
  <c r="K387" i="1"/>
  <c r="M387" i="1"/>
  <c r="R387" i="1"/>
  <c r="Q387" i="1"/>
  <c r="S387" i="1"/>
  <c r="L387" i="1"/>
  <c r="I245" i="1"/>
  <c r="Q245" i="1"/>
  <c r="N245" i="1"/>
  <c r="R245" i="1"/>
  <c r="L245" i="1"/>
  <c r="K245" i="1"/>
  <c r="S245" i="1"/>
  <c r="T245" i="1"/>
  <c r="J245" i="1"/>
  <c r="M245" i="1"/>
  <c r="Q56" i="1"/>
  <c r="R56" i="1"/>
  <c r="M56" i="1"/>
  <c r="S56" i="1"/>
  <c r="J56" i="1"/>
  <c r="K56" i="1"/>
  <c r="L56" i="1"/>
  <c r="I56" i="1"/>
  <c r="N56" i="1"/>
  <c r="T56" i="1"/>
  <c r="N623" i="1"/>
  <c r="T623" i="1"/>
  <c r="L623" i="1"/>
  <c r="S623" i="1"/>
  <c r="K623" i="1"/>
  <c r="R623" i="1"/>
  <c r="Q623" i="1"/>
  <c r="J623" i="1"/>
  <c r="I623" i="1"/>
  <c r="M623" i="1"/>
  <c r="L618" i="1"/>
  <c r="K618" i="1"/>
  <c r="M618" i="1"/>
  <c r="R618" i="1"/>
  <c r="S618" i="1"/>
  <c r="J618" i="1"/>
  <c r="Q618" i="1"/>
  <c r="I618" i="1"/>
  <c r="N618" i="1"/>
  <c r="T618" i="1"/>
  <c r="Q632" i="1"/>
  <c r="I632" i="1"/>
  <c r="R632" i="1"/>
  <c r="J632" i="1"/>
  <c r="S632" i="1"/>
  <c r="K632" i="1"/>
  <c r="T632" i="1"/>
  <c r="L632" i="1"/>
  <c r="N632" i="1"/>
  <c r="M632" i="1"/>
  <c r="M567" i="1"/>
  <c r="R567" i="1"/>
  <c r="I567" i="1"/>
  <c r="J567" i="1"/>
  <c r="T567" i="1"/>
  <c r="L567" i="1"/>
  <c r="S567" i="1"/>
  <c r="K567" i="1"/>
  <c r="N567" i="1"/>
  <c r="Q567" i="1"/>
  <c r="M668" i="1"/>
  <c r="T668" i="1"/>
  <c r="J668" i="1"/>
  <c r="L668" i="1"/>
  <c r="R668" i="1"/>
  <c r="S668" i="1"/>
  <c r="K668" i="1"/>
  <c r="Q668" i="1"/>
  <c r="I668" i="1"/>
  <c r="N668" i="1"/>
  <c r="M659" i="1"/>
  <c r="Q659" i="1"/>
  <c r="T659" i="1"/>
  <c r="I659" i="1"/>
  <c r="L659" i="1"/>
  <c r="K659" i="1"/>
  <c r="N659" i="1"/>
  <c r="S659" i="1"/>
  <c r="J659" i="1"/>
  <c r="R659" i="1"/>
  <c r="Q302" i="1"/>
  <c r="I302" i="1"/>
  <c r="R302" i="1"/>
  <c r="J302" i="1"/>
  <c r="S302" i="1"/>
  <c r="K302" i="1"/>
  <c r="T302" i="1"/>
  <c r="L302" i="1"/>
  <c r="N302" i="1"/>
  <c r="M302" i="1"/>
  <c r="M684" i="1"/>
  <c r="S684" i="1"/>
  <c r="Q684" i="1"/>
  <c r="T684" i="1"/>
  <c r="I684" i="1"/>
  <c r="K684" i="1"/>
  <c r="N684" i="1"/>
  <c r="L684" i="1"/>
  <c r="R684" i="1"/>
  <c r="J684" i="1"/>
  <c r="K549" i="1"/>
  <c r="L549" i="1"/>
  <c r="M549" i="1"/>
  <c r="R549" i="1"/>
  <c r="T549" i="1"/>
  <c r="J549" i="1"/>
  <c r="S549" i="1"/>
  <c r="N549" i="1"/>
  <c r="I549" i="1"/>
  <c r="Q549" i="1"/>
  <c r="L614" i="1"/>
  <c r="N614" i="1"/>
  <c r="Q614" i="1"/>
  <c r="T614" i="1"/>
  <c r="I614" i="1"/>
  <c r="S614" i="1"/>
  <c r="K614" i="1"/>
  <c r="J614" i="1"/>
  <c r="M614" i="1"/>
  <c r="R614" i="1"/>
  <c r="L475" i="1"/>
  <c r="Q475" i="1"/>
  <c r="K475" i="1"/>
  <c r="S475" i="1"/>
  <c r="M475" i="1"/>
  <c r="T475" i="1"/>
  <c r="R475" i="1"/>
  <c r="J475" i="1"/>
  <c r="N475" i="1"/>
  <c r="I475" i="1"/>
  <c r="L621" i="1"/>
  <c r="K621" i="1"/>
  <c r="M621" i="1"/>
  <c r="N621" i="1"/>
  <c r="Q621" i="1"/>
  <c r="I621" i="1"/>
  <c r="S621" i="1"/>
  <c r="J621" i="1"/>
  <c r="R621" i="1"/>
  <c r="T621" i="1"/>
  <c r="L555" i="1"/>
  <c r="K555" i="1"/>
  <c r="M555" i="1"/>
  <c r="N555" i="1"/>
  <c r="Q555" i="1"/>
  <c r="I555" i="1"/>
  <c r="S555" i="1"/>
  <c r="R555" i="1"/>
  <c r="J555" i="1"/>
  <c r="T555" i="1"/>
  <c r="M667" i="1"/>
  <c r="S667" i="1"/>
  <c r="K667" i="1"/>
  <c r="I667" i="1"/>
  <c r="L667" i="1"/>
  <c r="N667" i="1"/>
  <c r="Q667" i="1"/>
  <c r="T667" i="1"/>
  <c r="R667" i="1"/>
  <c r="J667" i="1"/>
  <c r="M603" i="1"/>
  <c r="N603" i="1"/>
  <c r="Q603" i="1"/>
  <c r="S603" i="1"/>
  <c r="T603" i="1"/>
  <c r="K603" i="1"/>
  <c r="I603" i="1"/>
  <c r="L603" i="1"/>
  <c r="R603" i="1"/>
  <c r="J603" i="1"/>
  <c r="N530" i="1"/>
  <c r="J530" i="1"/>
  <c r="R530" i="1"/>
  <c r="S530" i="1"/>
  <c r="T530" i="1"/>
  <c r="I530" i="1"/>
  <c r="L530" i="1"/>
  <c r="K530" i="1"/>
  <c r="Q530" i="1"/>
  <c r="M530" i="1"/>
  <c r="I646" i="1"/>
  <c r="L646" i="1"/>
  <c r="Q646" i="1"/>
  <c r="N646" i="1"/>
  <c r="T646" i="1"/>
  <c r="M646" i="1"/>
  <c r="S646" i="1"/>
  <c r="J646" i="1"/>
  <c r="R646" i="1"/>
  <c r="K646" i="1"/>
  <c r="K564" i="1"/>
  <c r="J564" i="1"/>
  <c r="N564" i="1"/>
  <c r="Q564" i="1"/>
  <c r="M564" i="1"/>
  <c r="L564" i="1"/>
  <c r="T564" i="1"/>
  <c r="R564" i="1"/>
  <c r="I564" i="1"/>
  <c r="S564" i="1"/>
  <c r="J673" i="1"/>
  <c r="I673" i="1"/>
  <c r="Q673" i="1"/>
  <c r="T673" i="1"/>
  <c r="N673" i="1"/>
  <c r="M673" i="1"/>
  <c r="L673" i="1"/>
  <c r="S673" i="1"/>
  <c r="R673" i="1"/>
  <c r="K673" i="1"/>
  <c r="J609" i="1"/>
  <c r="I609" i="1"/>
  <c r="Q609" i="1"/>
  <c r="M609" i="1"/>
  <c r="T609" i="1"/>
  <c r="S609" i="1"/>
  <c r="R609" i="1"/>
  <c r="L609" i="1"/>
  <c r="K609" i="1"/>
  <c r="N609" i="1"/>
  <c r="N576" i="1"/>
  <c r="Q576" i="1"/>
  <c r="I576" i="1"/>
  <c r="R576" i="1"/>
  <c r="J576" i="1"/>
  <c r="S576" i="1"/>
  <c r="L576" i="1"/>
  <c r="K576" i="1"/>
  <c r="M576" i="1"/>
  <c r="T576" i="1"/>
  <c r="L547" i="1"/>
  <c r="Q547" i="1"/>
  <c r="R547" i="1"/>
  <c r="I547" i="1"/>
  <c r="S547" i="1"/>
  <c r="J547" i="1"/>
  <c r="M547" i="1"/>
  <c r="K547" i="1"/>
  <c r="N547" i="1"/>
  <c r="T547" i="1"/>
  <c r="L653" i="1"/>
  <c r="Q653" i="1"/>
  <c r="R653" i="1"/>
  <c r="I653" i="1"/>
  <c r="S653" i="1"/>
  <c r="J653" i="1"/>
  <c r="K653" i="1"/>
  <c r="N653" i="1"/>
  <c r="M653" i="1"/>
  <c r="T653" i="1"/>
  <c r="L589" i="1"/>
  <c r="Q589" i="1"/>
  <c r="R589" i="1"/>
  <c r="I589" i="1"/>
  <c r="S589" i="1"/>
  <c r="J589" i="1"/>
  <c r="K589" i="1"/>
  <c r="N589" i="1"/>
  <c r="M589" i="1"/>
  <c r="T589" i="1"/>
  <c r="L305" i="1"/>
  <c r="I305" i="1"/>
  <c r="K305" i="1"/>
  <c r="Q305" i="1"/>
  <c r="S305" i="1"/>
  <c r="R305" i="1"/>
  <c r="T305" i="1"/>
  <c r="N305" i="1"/>
  <c r="J305" i="1"/>
  <c r="M305" i="1"/>
  <c r="I506" i="1"/>
  <c r="R506" i="1"/>
  <c r="J506" i="1"/>
  <c r="S506" i="1"/>
  <c r="K506" i="1"/>
  <c r="T506" i="1"/>
  <c r="L506" i="1"/>
  <c r="M506" i="1"/>
  <c r="N506" i="1"/>
  <c r="Q506" i="1"/>
  <c r="I450" i="1"/>
  <c r="R450" i="1"/>
  <c r="J450" i="1"/>
  <c r="S450" i="1"/>
  <c r="K450" i="1"/>
  <c r="T450" i="1"/>
  <c r="L450" i="1"/>
  <c r="M450" i="1"/>
  <c r="N450" i="1"/>
  <c r="Q450" i="1"/>
  <c r="L320" i="1"/>
  <c r="K320" i="1"/>
  <c r="M320" i="1"/>
  <c r="N320" i="1"/>
  <c r="R320" i="1"/>
  <c r="S320" i="1"/>
  <c r="J320" i="1"/>
  <c r="T320" i="1"/>
  <c r="Q320" i="1"/>
  <c r="I320" i="1"/>
  <c r="I449" i="1"/>
  <c r="Q449" i="1"/>
  <c r="J449" i="1"/>
  <c r="R449" i="1"/>
  <c r="K449" i="1"/>
  <c r="S449" i="1"/>
  <c r="L449" i="1"/>
  <c r="M449" i="1"/>
  <c r="T449" i="1"/>
  <c r="N449" i="1"/>
  <c r="L517" i="1"/>
  <c r="Q517" i="1"/>
  <c r="T517" i="1"/>
  <c r="J517" i="1"/>
  <c r="R517" i="1"/>
  <c r="K517" i="1"/>
  <c r="M517" i="1"/>
  <c r="N517" i="1"/>
  <c r="S517" i="1"/>
  <c r="I517" i="1"/>
  <c r="M464" i="1"/>
  <c r="L464" i="1"/>
  <c r="N464" i="1"/>
  <c r="Q464" i="1"/>
  <c r="R464" i="1"/>
  <c r="J464" i="1"/>
  <c r="T464" i="1"/>
  <c r="I464" i="1"/>
  <c r="K464" i="1"/>
  <c r="S464" i="1"/>
  <c r="I432" i="1"/>
  <c r="N432" i="1"/>
  <c r="L432" i="1"/>
  <c r="Q432" i="1"/>
  <c r="T432" i="1"/>
  <c r="J432" i="1"/>
  <c r="R432" i="1"/>
  <c r="K432" i="1"/>
  <c r="S432" i="1"/>
  <c r="M432" i="1"/>
  <c r="J400" i="1"/>
  <c r="Q400" i="1"/>
  <c r="T400" i="1"/>
  <c r="L400" i="1"/>
  <c r="I400" i="1"/>
  <c r="N400" i="1"/>
  <c r="K400" i="1"/>
  <c r="R400" i="1"/>
  <c r="M400" i="1"/>
  <c r="S400" i="1"/>
  <c r="T272" i="1"/>
  <c r="M272" i="1"/>
  <c r="L272" i="1"/>
  <c r="N272" i="1"/>
  <c r="J272" i="1"/>
  <c r="Q272" i="1"/>
  <c r="K272" i="1"/>
  <c r="I272" i="1"/>
  <c r="R272" i="1"/>
  <c r="S272" i="1"/>
  <c r="K489" i="1"/>
  <c r="T489" i="1"/>
  <c r="I489" i="1"/>
  <c r="J489" i="1"/>
  <c r="R489" i="1"/>
  <c r="L489" i="1"/>
  <c r="S489" i="1"/>
  <c r="N489" i="1"/>
  <c r="M489" i="1"/>
  <c r="Q489" i="1"/>
  <c r="M317" i="1"/>
  <c r="S317" i="1"/>
  <c r="L317" i="1"/>
  <c r="T317" i="1"/>
  <c r="Q317" i="1"/>
  <c r="J317" i="1"/>
  <c r="R317" i="1"/>
  <c r="K317" i="1"/>
  <c r="N317" i="1"/>
  <c r="I317" i="1"/>
  <c r="N534" i="1"/>
  <c r="Q534" i="1"/>
  <c r="K534" i="1"/>
  <c r="T534" i="1"/>
  <c r="I534" i="1"/>
  <c r="M534" i="1"/>
  <c r="J534" i="1"/>
  <c r="R534" i="1"/>
  <c r="S534" i="1"/>
  <c r="L534" i="1"/>
  <c r="I501" i="1"/>
  <c r="M501" i="1"/>
  <c r="N501" i="1"/>
  <c r="J501" i="1"/>
  <c r="Q501" i="1"/>
  <c r="R501" i="1"/>
  <c r="T501" i="1"/>
  <c r="S501" i="1"/>
  <c r="K501" i="1"/>
  <c r="L501" i="1"/>
  <c r="I454" i="1"/>
  <c r="L454" i="1"/>
  <c r="N454" i="1"/>
  <c r="T454" i="1"/>
  <c r="Q454" i="1"/>
  <c r="M454" i="1"/>
  <c r="R454" i="1"/>
  <c r="S454" i="1"/>
  <c r="K454" i="1"/>
  <c r="J454" i="1"/>
  <c r="J269" i="1"/>
  <c r="L269" i="1"/>
  <c r="N269" i="1"/>
  <c r="M269" i="1"/>
  <c r="Q269" i="1"/>
  <c r="K269" i="1"/>
  <c r="S269" i="1"/>
  <c r="R269" i="1"/>
  <c r="I269" i="1"/>
  <c r="T269" i="1"/>
  <c r="J461" i="1"/>
  <c r="S461" i="1"/>
  <c r="I461" i="1"/>
  <c r="K461" i="1"/>
  <c r="M461" i="1"/>
  <c r="N461" i="1"/>
  <c r="Q461" i="1"/>
  <c r="R461" i="1"/>
  <c r="T461" i="1"/>
  <c r="L461" i="1"/>
  <c r="Q419" i="1"/>
  <c r="I419" i="1"/>
  <c r="R419" i="1"/>
  <c r="J419" i="1"/>
  <c r="S419" i="1"/>
  <c r="K419" i="1"/>
  <c r="T419" i="1"/>
  <c r="M419" i="1"/>
  <c r="L419" i="1"/>
  <c r="N419" i="1"/>
  <c r="J326" i="1"/>
  <c r="S326" i="1"/>
  <c r="K326" i="1"/>
  <c r="T326" i="1"/>
  <c r="L326" i="1"/>
  <c r="M326" i="1"/>
  <c r="N326" i="1"/>
  <c r="Q326" i="1"/>
  <c r="I326" i="1"/>
  <c r="R326" i="1"/>
  <c r="N384" i="1"/>
  <c r="J384" i="1"/>
  <c r="T384" i="1"/>
  <c r="K384" i="1"/>
  <c r="L384" i="1"/>
  <c r="S384" i="1"/>
  <c r="M384" i="1"/>
  <c r="I384" i="1"/>
  <c r="Q384" i="1"/>
  <c r="R384" i="1"/>
  <c r="I310" i="1"/>
  <c r="R310" i="1"/>
  <c r="J310" i="1"/>
  <c r="S310" i="1"/>
  <c r="K310" i="1"/>
  <c r="T310" i="1"/>
  <c r="L310" i="1"/>
  <c r="M310" i="1"/>
  <c r="N310" i="1"/>
  <c r="Q310" i="1"/>
  <c r="I258" i="1"/>
  <c r="R258" i="1"/>
  <c r="J258" i="1"/>
  <c r="S258" i="1"/>
  <c r="K258" i="1"/>
  <c r="T258" i="1"/>
  <c r="L258" i="1"/>
  <c r="M258" i="1"/>
  <c r="N258" i="1"/>
  <c r="Q258" i="1"/>
  <c r="I183" i="1"/>
  <c r="T183" i="1"/>
  <c r="K183" i="1"/>
  <c r="S183" i="1"/>
  <c r="J183" i="1"/>
  <c r="L183" i="1"/>
  <c r="R183" i="1"/>
  <c r="Q183" i="1"/>
  <c r="M183" i="1"/>
  <c r="N183" i="1"/>
  <c r="M345" i="1"/>
  <c r="S345" i="1"/>
  <c r="N345" i="1"/>
  <c r="T345" i="1"/>
  <c r="I345" i="1"/>
  <c r="K345" i="1"/>
  <c r="J345" i="1"/>
  <c r="L345" i="1"/>
  <c r="R345" i="1"/>
  <c r="Q345" i="1"/>
  <c r="Q295" i="1"/>
  <c r="I295" i="1"/>
  <c r="T295" i="1"/>
  <c r="M295" i="1"/>
  <c r="N295" i="1"/>
  <c r="J295" i="1"/>
  <c r="R295" i="1"/>
  <c r="S295" i="1"/>
  <c r="K295" i="1"/>
  <c r="L295" i="1"/>
  <c r="N397" i="1"/>
  <c r="Q397" i="1"/>
  <c r="S397" i="1"/>
  <c r="I397" i="1"/>
  <c r="T397" i="1"/>
  <c r="L397" i="1"/>
  <c r="K397" i="1"/>
  <c r="M397" i="1"/>
  <c r="R397" i="1"/>
  <c r="J397" i="1"/>
  <c r="L344" i="1"/>
  <c r="N344" i="1"/>
  <c r="R344" i="1"/>
  <c r="S344" i="1"/>
  <c r="K344" i="1"/>
  <c r="J344" i="1"/>
  <c r="M344" i="1"/>
  <c r="Q344" i="1"/>
  <c r="T344" i="1"/>
  <c r="I344" i="1"/>
  <c r="I287" i="1"/>
  <c r="Q287" i="1"/>
  <c r="S287" i="1"/>
  <c r="M287" i="1"/>
  <c r="J287" i="1"/>
  <c r="N287" i="1"/>
  <c r="R287" i="1"/>
  <c r="L287" i="1"/>
  <c r="T287" i="1"/>
  <c r="K287" i="1"/>
  <c r="I236" i="1"/>
  <c r="N236" i="1"/>
  <c r="S236" i="1"/>
  <c r="K236" i="1"/>
  <c r="T236" i="1"/>
  <c r="J236" i="1"/>
  <c r="M236" i="1"/>
  <c r="L236" i="1"/>
  <c r="R236" i="1"/>
  <c r="Q236" i="1"/>
  <c r="I327" i="1"/>
  <c r="J327" i="1"/>
  <c r="M327" i="1"/>
  <c r="R327" i="1"/>
  <c r="K327" i="1"/>
  <c r="Q327" i="1"/>
  <c r="L327" i="1"/>
  <c r="S327" i="1"/>
  <c r="T327" i="1"/>
  <c r="N327" i="1"/>
  <c r="N175" i="1"/>
  <c r="Q175" i="1"/>
  <c r="K175" i="1"/>
  <c r="I175" i="1"/>
  <c r="S175" i="1"/>
  <c r="T175" i="1"/>
  <c r="R175" i="1"/>
  <c r="M175" i="1"/>
  <c r="L175" i="1"/>
  <c r="J175" i="1"/>
  <c r="N381" i="1"/>
  <c r="Q381" i="1"/>
  <c r="S381" i="1"/>
  <c r="T381" i="1"/>
  <c r="J381" i="1"/>
  <c r="K381" i="1"/>
  <c r="M381" i="1"/>
  <c r="L381" i="1"/>
  <c r="R381" i="1"/>
  <c r="I381" i="1"/>
  <c r="R273" i="1"/>
  <c r="I273" i="1"/>
  <c r="J273" i="1"/>
  <c r="M273" i="1"/>
  <c r="Q273" i="1"/>
  <c r="S273" i="1"/>
  <c r="K273" i="1"/>
  <c r="L273" i="1"/>
  <c r="T273" i="1"/>
  <c r="N273" i="1"/>
  <c r="K377" i="1"/>
  <c r="I377" i="1"/>
  <c r="M377" i="1"/>
  <c r="S377" i="1"/>
  <c r="Q377" i="1"/>
  <c r="T377" i="1"/>
  <c r="J377" i="1"/>
  <c r="R377" i="1"/>
  <c r="N377" i="1"/>
  <c r="L377" i="1"/>
  <c r="Q342" i="1"/>
  <c r="I342" i="1"/>
  <c r="R342" i="1"/>
  <c r="J342" i="1"/>
  <c r="S342" i="1"/>
  <c r="K342" i="1"/>
  <c r="T342" i="1"/>
  <c r="M342" i="1"/>
  <c r="L342" i="1"/>
  <c r="N342" i="1"/>
  <c r="I278" i="1"/>
  <c r="L278" i="1"/>
  <c r="R278" i="1"/>
  <c r="J278" i="1"/>
  <c r="Q278" i="1"/>
  <c r="S278" i="1"/>
  <c r="N278" i="1"/>
  <c r="T278" i="1"/>
  <c r="K278" i="1"/>
  <c r="M278" i="1"/>
  <c r="N214" i="1"/>
  <c r="J214" i="1"/>
  <c r="R214" i="1"/>
  <c r="K214" i="1"/>
  <c r="I214" i="1"/>
  <c r="S214" i="1"/>
  <c r="Q214" i="1"/>
  <c r="T214" i="1"/>
  <c r="L214" i="1"/>
  <c r="M214" i="1"/>
  <c r="Q173" i="1"/>
  <c r="S173" i="1"/>
  <c r="J173" i="1"/>
  <c r="K173" i="1"/>
  <c r="T173" i="1"/>
  <c r="L173" i="1"/>
  <c r="M173" i="1"/>
  <c r="I173" i="1"/>
  <c r="R173" i="1"/>
  <c r="N173" i="1"/>
  <c r="T198" i="1"/>
  <c r="M198" i="1"/>
  <c r="K198" i="1"/>
  <c r="N198" i="1"/>
  <c r="S198" i="1"/>
  <c r="J198" i="1"/>
  <c r="I198" i="1"/>
  <c r="R198" i="1"/>
  <c r="Q198" i="1"/>
  <c r="L198" i="1"/>
  <c r="J125" i="1"/>
  <c r="L125" i="1"/>
  <c r="N125" i="1"/>
  <c r="R125" i="1"/>
  <c r="T125" i="1"/>
  <c r="K125" i="1"/>
  <c r="I125" i="1"/>
  <c r="S125" i="1"/>
  <c r="Q125" i="1"/>
  <c r="M125" i="1"/>
  <c r="I102" i="1"/>
  <c r="S102" i="1"/>
  <c r="J102" i="1"/>
  <c r="T102" i="1"/>
  <c r="K102" i="1"/>
  <c r="L102" i="1"/>
  <c r="M102" i="1"/>
  <c r="N102" i="1"/>
  <c r="R102" i="1"/>
  <c r="Q102" i="1"/>
  <c r="N174" i="1"/>
  <c r="R174" i="1"/>
  <c r="S174" i="1"/>
  <c r="J174" i="1"/>
  <c r="T174" i="1"/>
  <c r="L174" i="1"/>
  <c r="K174" i="1"/>
  <c r="M174" i="1"/>
  <c r="I174" i="1"/>
  <c r="Q174" i="1"/>
  <c r="Q155" i="1"/>
  <c r="I155" i="1"/>
  <c r="L155" i="1"/>
  <c r="T155" i="1"/>
  <c r="J155" i="1"/>
  <c r="K155" i="1"/>
  <c r="S155" i="1"/>
  <c r="M155" i="1"/>
  <c r="R155" i="1"/>
  <c r="N155" i="1"/>
  <c r="N101" i="1"/>
  <c r="K101" i="1"/>
  <c r="L101" i="1"/>
  <c r="M101" i="1"/>
  <c r="Q101" i="1"/>
  <c r="R101" i="1"/>
  <c r="I101" i="1"/>
  <c r="T101" i="1"/>
  <c r="J101" i="1"/>
  <c r="S101" i="1"/>
  <c r="I140" i="1"/>
  <c r="R140" i="1"/>
  <c r="J140" i="1"/>
  <c r="S140" i="1"/>
  <c r="K140" i="1"/>
  <c r="T140" i="1"/>
  <c r="L140" i="1"/>
  <c r="M140" i="1"/>
  <c r="N140" i="1"/>
  <c r="Q140" i="1"/>
  <c r="J167" i="1"/>
  <c r="M167" i="1"/>
  <c r="Q167" i="1"/>
  <c r="I167" i="1"/>
  <c r="T167" i="1"/>
  <c r="S167" i="1"/>
  <c r="L167" i="1"/>
  <c r="K167" i="1"/>
  <c r="N167" i="1"/>
  <c r="R167" i="1"/>
  <c r="N122" i="1"/>
  <c r="T122" i="1"/>
  <c r="L122" i="1"/>
  <c r="K122" i="1"/>
  <c r="S122" i="1"/>
  <c r="R122" i="1"/>
  <c r="J122" i="1"/>
  <c r="I122" i="1"/>
  <c r="Q122" i="1"/>
  <c r="M122" i="1"/>
  <c r="J158" i="1"/>
  <c r="S158" i="1"/>
  <c r="M158" i="1"/>
  <c r="K158" i="1"/>
  <c r="R158" i="1"/>
  <c r="L158" i="1"/>
  <c r="T158" i="1"/>
  <c r="N158" i="1"/>
  <c r="Q158" i="1"/>
  <c r="I158" i="1"/>
  <c r="I58" i="1"/>
  <c r="S58" i="1"/>
  <c r="Q58" i="1"/>
  <c r="T58" i="1"/>
  <c r="J58" i="1"/>
  <c r="K58" i="1"/>
  <c r="M58" i="1"/>
  <c r="L58" i="1"/>
  <c r="R58" i="1"/>
  <c r="N58" i="1"/>
  <c r="R165" i="1"/>
  <c r="N165" i="1"/>
  <c r="Q165" i="1"/>
  <c r="S165" i="1"/>
  <c r="I165" i="1"/>
  <c r="J165" i="1"/>
  <c r="K165" i="1"/>
  <c r="M165" i="1"/>
  <c r="L165" i="1"/>
  <c r="T165" i="1"/>
  <c r="Q120" i="1"/>
  <c r="R120" i="1"/>
  <c r="I120" i="1"/>
  <c r="S120" i="1"/>
  <c r="K120" i="1"/>
  <c r="L120" i="1"/>
  <c r="N120" i="1"/>
  <c r="J120" i="1"/>
  <c r="T120" i="1"/>
  <c r="M120" i="1"/>
  <c r="L11" i="1"/>
  <c r="I11" i="1"/>
  <c r="J11" i="1"/>
  <c r="K11" i="1"/>
  <c r="Q11" i="1"/>
  <c r="R11" i="1"/>
  <c r="S11" i="1"/>
  <c r="M11" i="1"/>
  <c r="N11" i="1"/>
  <c r="T11" i="1"/>
  <c r="I81" i="1"/>
  <c r="R81" i="1"/>
  <c r="K81" i="1"/>
  <c r="T81" i="1"/>
  <c r="L81" i="1"/>
  <c r="M81" i="1"/>
  <c r="N81" i="1"/>
  <c r="J81" i="1"/>
  <c r="Q81" i="1"/>
  <c r="S81" i="1"/>
  <c r="I39" i="1"/>
  <c r="R39" i="1"/>
  <c r="K39" i="1"/>
  <c r="T39" i="1"/>
  <c r="L39" i="1"/>
  <c r="M39" i="1"/>
  <c r="N39" i="1"/>
  <c r="Q39" i="1"/>
  <c r="J39" i="1"/>
  <c r="S39" i="1"/>
  <c r="J60" i="1"/>
  <c r="K60" i="1"/>
  <c r="M60" i="1"/>
  <c r="N60" i="1"/>
  <c r="Q60" i="1"/>
  <c r="S60" i="1"/>
  <c r="T60" i="1"/>
  <c r="I60" i="1"/>
  <c r="L60" i="1"/>
  <c r="R60" i="1"/>
  <c r="L52" i="1"/>
  <c r="M52" i="1"/>
  <c r="N52" i="1"/>
  <c r="I52" i="1"/>
  <c r="R52" i="1"/>
  <c r="J52" i="1"/>
  <c r="K52" i="1"/>
  <c r="Q52" i="1"/>
  <c r="S52" i="1"/>
  <c r="T52" i="1"/>
  <c r="L100" i="1"/>
  <c r="I100" i="1"/>
  <c r="R100" i="1"/>
  <c r="J100" i="1"/>
  <c r="S100" i="1"/>
  <c r="K100" i="1"/>
  <c r="M100" i="1"/>
  <c r="N100" i="1"/>
  <c r="Q100" i="1"/>
  <c r="T100" i="1"/>
  <c r="L46" i="1"/>
  <c r="N46" i="1"/>
  <c r="Q46" i="1"/>
  <c r="I46" i="1"/>
  <c r="R46" i="1"/>
  <c r="J46" i="1"/>
  <c r="S46" i="1"/>
  <c r="K46" i="1"/>
  <c r="T46" i="1"/>
  <c r="M46" i="1"/>
  <c r="R43" i="1"/>
  <c r="I43" i="1"/>
  <c r="J43" i="1"/>
  <c r="L43" i="1"/>
  <c r="K43" i="1"/>
  <c r="T43" i="1"/>
  <c r="M43" i="1"/>
  <c r="Q43" i="1"/>
  <c r="N43" i="1"/>
  <c r="S43" i="1"/>
  <c r="R99" i="1"/>
  <c r="J99" i="1"/>
  <c r="K99" i="1"/>
  <c r="T99" i="1"/>
  <c r="S99" i="1"/>
  <c r="L99" i="1"/>
  <c r="M99" i="1"/>
  <c r="I99" i="1"/>
  <c r="N99" i="1"/>
  <c r="Q99" i="1"/>
  <c r="Q50" i="1"/>
  <c r="I50" i="1"/>
  <c r="T50" i="1"/>
  <c r="J50" i="1"/>
  <c r="L50" i="1"/>
  <c r="M50" i="1"/>
  <c r="N50" i="1"/>
  <c r="R50" i="1"/>
  <c r="K50" i="1"/>
  <c r="S50" i="1"/>
  <c r="L658" i="1"/>
  <c r="S658" i="1"/>
  <c r="J658" i="1"/>
  <c r="M658" i="1"/>
  <c r="R658" i="1"/>
  <c r="K658" i="1"/>
  <c r="Q658" i="1"/>
  <c r="N658" i="1"/>
  <c r="I658" i="1"/>
  <c r="T658" i="1"/>
  <c r="I624" i="1"/>
  <c r="R624" i="1"/>
  <c r="J624" i="1"/>
  <c r="S624" i="1"/>
  <c r="K624" i="1"/>
  <c r="T624" i="1"/>
  <c r="L624" i="1"/>
  <c r="M624" i="1"/>
  <c r="N624" i="1"/>
  <c r="Q624" i="1"/>
  <c r="R558" i="1"/>
  <c r="J558" i="1"/>
  <c r="M558" i="1"/>
  <c r="T558" i="1"/>
  <c r="Q558" i="1"/>
  <c r="S558" i="1"/>
  <c r="N558" i="1"/>
  <c r="L558" i="1"/>
  <c r="I558" i="1"/>
  <c r="K558" i="1"/>
  <c r="K552" i="1"/>
  <c r="S552" i="1"/>
  <c r="J552" i="1"/>
  <c r="M552" i="1"/>
  <c r="N552" i="1"/>
  <c r="R552" i="1"/>
  <c r="T552" i="1"/>
  <c r="I552" i="1"/>
  <c r="Q552" i="1"/>
  <c r="L552" i="1"/>
  <c r="M343" i="1"/>
  <c r="Q343" i="1"/>
  <c r="R343" i="1"/>
  <c r="I343" i="1"/>
  <c r="J343" i="1"/>
  <c r="S343" i="1"/>
  <c r="L343" i="1"/>
  <c r="T343" i="1"/>
  <c r="N343" i="1"/>
  <c r="K343" i="1"/>
  <c r="J434" i="1"/>
  <c r="S434" i="1"/>
  <c r="K434" i="1"/>
  <c r="N434" i="1"/>
  <c r="T434" i="1"/>
  <c r="L434" i="1"/>
  <c r="I434" i="1"/>
  <c r="Q434" i="1"/>
  <c r="M434" i="1"/>
  <c r="R434" i="1"/>
  <c r="M510" i="1"/>
  <c r="S510" i="1"/>
  <c r="L510" i="1"/>
  <c r="T510" i="1"/>
  <c r="I510" i="1"/>
  <c r="N510" i="1"/>
  <c r="Q510" i="1"/>
  <c r="R510" i="1"/>
  <c r="J510" i="1"/>
  <c r="K510" i="1"/>
  <c r="I335" i="1"/>
  <c r="M335" i="1"/>
  <c r="Q335" i="1"/>
  <c r="K335" i="1"/>
  <c r="S335" i="1"/>
  <c r="R335" i="1"/>
  <c r="T335" i="1"/>
  <c r="J335" i="1"/>
  <c r="N335" i="1"/>
  <c r="L335" i="1"/>
  <c r="Q303" i="1"/>
  <c r="I303" i="1"/>
  <c r="K303" i="1"/>
  <c r="S303" i="1"/>
  <c r="L303" i="1"/>
  <c r="M303" i="1"/>
  <c r="J303" i="1"/>
  <c r="R303" i="1"/>
  <c r="T303" i="1"/>
  <c r="N303" i="1"/>
  <c r="K360" i="1"/>
  <c r="Q360" i="1"/>
  <c r="S360" i="1"/>
  <c r="T360" i="1"/>
  <c r="N360" i="1"/>
  <c r="I360" i="1"/>
  <c r="L360" i="1"/>
  <c r="J360" i="1"/>
  <c r="M360" i="1"/>
  <c r="R360" i="1"/>
  <c r="J332" i="1"/>
  <c r="L332" i="1"/>
  <c r="N332" i="1"/>
  <c r="M332" i="1"/>
  <c r="I332" i="1"/>
  <c r="K332" i="1"/>
  <c r="R332" i="1"/>
  <c r="T332" i="1"/>
  <c r="Q332" i="1"/>
  <c r="S332" i="1"/>
  <c r="I348" i="1"/>
  <c r="J348" i="1"/>
  <c r="L348" i="1"/>
  <c r="N348" i="1"/>
  <c r="R348" i="1"/>
  <c r="Q348" i="1"/>
  <c r="T348" i="1"/>
  <c r="K348" i="1"/>
  <c r="S348" i="1"/>
  <c r="M348" i="1"/>
  <c r="J221" i="1"/>
  <c r="S221" i="1"/>
  <c r="K221" i="1"/>
  <c r="T221" i="1"/>
  <c r="M221" i="1"/>
  <c r="I221" i="1"/>
  <c r="L221" i="1"/>
  <c r="N221" i="1"/>
  <c r="R221" i="1"/>
  <c r="Q221" i="1"/>
  <c r="K200" i="1"/>
  <c r="L200" i="1"/>
  <c r="M200" i="1"/>
  <c r="N200" i="1"/>
  <c r="Q200" i="1"/>
  <c r="I200" i="1"/>
  <c r="S200" i="1"/>
  <c r="J200" i="1"/>
  <c r="R200" i="1"/>
  <c r="T200" i="1"/>
  <c r="Q185" i="1"/>
  <c r="R185" i="1"/>
  <c r="K185" i="1"/>
  <c r="I185" i="1"/>
  <c r="N185" i="1"/>
  <c r="L185" i="1"/>
  <c r="T185" i="1"/>
  <c r="J185" i="1"/>
  <c r="M185" i="1"/>
  <c r="S185" i="1"/>
  <c r="I168" i="1"/>
  <c r="T168" i="1"/>
  <c r="L168" i="1"/>
  <c r="M168" i="1"/>
  <c r="J168" i="1"/>
  <c r="N168" i="1"/>
  <c r="R168" i="1"/>
  <c r="Q168" i="1"/>
  <c r="K168" i="1"/>
  <c r="S168" i="1"/>
  <c r="N144" i="1"/>
  <c r="J144" i="1"/>
  <c r="L144" i="1"/>
  <c r="M144" i="1"/>
  <c r="Q144" i="1"/>
  <c r="R144" i="1"/>
  <c r="I144" i="1"/>
  <c r="T144" i="1"/>
  <c r="S144" i="1"/>
  <c r="K144" i="1"/>
  <c r="I129" i="1"/>
  <c r="L129" i="1"/>
  <c r="R129" i="1"/>
  <c r="N129" i="1"/>
  <c r="Q129" i="1"/>
  <c r="M129" i="1"/>
  <c r="J129" i="1"/>
  <c r="K129" i="1"/>
  <c r="T129" i="1"/>
  <c r="S129" i="1"/>
  <c r="I62" i="1"/>
  <c r="L62" i="1"/>
  <c r="N62" i="1"/>
  <c r="T62" i="1"/>
  <c r="K62" i="1"/>
  <c r="S62" i="1"/>
  <c r="M62" i="1"/>
  <c r="Q62" i="1"/>
  <c r="J62" i="1"/>
  <c r="R62" i="1"/>
  <c r="T103" i="1"/>
  <c r="K103" i="1"/>
  <c r="L103" i="1"/>
  <c r="N103" i="1"/>
  <c r="M103" i="1"/>
  <c r="S103" i="1"/>
  <c r="R103" i="1"/>
  <c r="I103" i="1"/>
  <c r="Q103" i="1"/>
  <c r="J103" i="1"/>
  <c r="L30" i="1"/>
  <c r="M30" i="1"/>
  <c r="N30" i="1"/>
  <c r="T30" i="1"/>
  <c r="I30" i="1"/>
  <c r="Q30" i="1"/>
  <c r="J30" i="1"/>
  <c r="K30" i="1"/>
  <c r="R30" i="1"/>
  <c r="S30" i="1"/>
  <c r="M41" i="1"/>
  <c r="I41" i="1"/>
  <c r="N41" i="1"/>
  <c r="R41" i="1"/>
  <c r="L41" i="1"/>
  <c r="K41" i="1"/>
  <c r="Q41" i="1"/>
  <c r="S41" i="1"/>
  <c r="T41" i="1"/>
  <c r="J41" i="1"/>
  <c r="J68" i="1"/>
  <c r="K68" i="1"/>
  <c r="M68" i="1"/>
  <c r="N68" i="1"/>
  <c r="Q68" i="1"/>
  <c r="S68" i="1"/>
  <c r="T68" i="1"/>
  <c r="I68" i="1"/>
  <c r="L68" i="1"/>
  <c r="R68" i="1"/>
  <c r="M619" i="1"/>
  <c r="K619" i="1"/>
  <c r="L619" i="1"/>
  <c r="N619" i="1"/>
  <c r="Q619" i="1"/>
  <c r="T619" i="1"/>
  <c r="S619" i="1"/>
  <c r="I619" i="1"/>
  <c r="R619" i="1"/>
  <c r="J619" i="1"/>
  <c r="M604" i="1"/>
  <c r="R604" i="1"/>
  <c r="T604" i="1"/>
  <c r="J604" i="1"/>
  <c r="L604" i="1"/>
  <c r="S604" i="1"/>
  <c r="K604" i="1"/>
  <c r="Q604" i="1"/>
  <c r="I604" i="1"/>
  <c r="N604" i="1"/>
  <c r="L694" i="1"/>
  <c r="N694" i="1"/>
  <c r="T694" i="1"/>
  <c r="S694" i="1"/>
  <c r="I694" i="1"/>
  <c r="Q694" i="1"/>
  <c r="J694" i="1"/>
  <c r="R694" i="1"/>
  <c r="M694" i="1"/>
  <c r="K694" i="1"/>
  <c r="Q550" i="1"/>
  <c r="I550" i="1"/>
  <c r="R550" i="1"/>
  <c r="J550" i="1"/>
  <c r="S550" i="1"/>
  <c r="K550" i="1"/>
  <c r="T550" i="1"/>
  <c r="L550" i="1"/>
  <c r="N550" i="1"/>
  <c r="M550" i="1"/>
  <c r="I622" i="1"/>
  <c r="L622" i="1"/>
  <c r="N622" i="1"/>
  <c r="Q622" i="1"/>
  <c r="T622" i="1"/>
  <c r="M622" i="1"/>
  <c r="S622" i="1"/>
  <c r="K622" i="1"/>
  <c r="J622" i="1"/>
  <c r="R622" i="1"/>
  <c r="L634" i="1"/>
  <c r="J634" i="1"/>
  <c r="K634" i="1"/>
  <c r="M634" i="1"/>
  <c r="S634" i="1"/>
  <c r="R634" i="1"/>
  <c r="N634" i="1"/>
  <c r="Q634" i="1"/>
  <c r="I634" i="1"/>
  <c r="T634" i="1"/>
  <c r="L671" i="1"/>
  <c r="S671" i="1"/>
  <c r="M671" i="1"/>
  <c r="J671" i="1"/>
  <c r="R671" i="1"/>
  <c r="K671" i="1"/>
  <c r="Q671" i="1"/>
  <c r="I671" i="1"/>
  <c r="T671" i="1"/>
  <c r="N671" i="1"/>
  <c r="L682" i="1"/>
  <c r="J682" i="1"/>
  <c r="S682" i="1"/>
  <c r="K682" i="1"/>
  <c r="M682" i="1"/>
  <c r="R682" i="1"/>
  <c r="Q682" i="1"/>
  <c r="I682" i="1"/>
  <c r="N682" i="1"/>
  <c r="T682" i="1"/>
  <c r="T196" i="1"/>
  <c r="I196" i="1"/>
  <c r="K196" i="1"/>
  <c r="L196" i="1"/>
  <c r="M196" i="1"/>
  <c r="Q196" i="1"/>
  <c r="S196" i="1"/>
  <c r="N196" i="1"/>
  <c r="J196" i="1"/>
  <c r="R196" i="1"/>
  <c r="M612" i="1"/>
  <c r="L612" i="1"/>
  <c r="R612" i="1"/>
  <c r="T612" i="1"/>
  <c r="J612" i="1"/>
  <c r="K612" i="1"/>
  <c r="N612" i="1"/>
  <c r="Q612" i="1"/>
  <c r="S612" i="1"/>
  <c r="I612" i="1"/>
  <c r="J420" i="1"/>
  <c r="R420" i="1"/>
  <c r="L420" i="1"/>
  <c r="N420" i="1"/>
  <c r="Q420" i="1"/>
  <c r="T420" i="1"/>
  <c r="K420" i="1"/>
  <c r="S420" i="1"/>
  <c r="I420" i="1"/>
  <c r="M420" i="1"/>
  <c r="T615" i="1"/>
  <c r="R615" i="1"/>
  <c r="L615" i="1"/>
  <c r="J615" i="1"/>
  <c r="S615" i="1"/>
  <c r="N615" i="1"/>
  <c r="K615" i="1"/>
  <c r="M615" i="1"/>
  <c r="I615" i="1"/>
  <c r="Q615" i="1"/>
  <c r="I551" i="1"/>
  <c r="R551" i="1"/>
  <c r="N551" i="1"/>
  <c r="J551" i="1"/>
  <c r="Q551" i="1"/>
  <c r="M551" i="1"/>
  <c r="L551" i="1"/>
  <c r="K551" i="1"/>
  <c r="T551" i="1"/>
  <c r="S551" i="1"/>
  <c r="L666" i="1"/>
  <c r="R666" i="1"/>
  <c r="K666" i="1"/>
  <c r="S666" i="1"/>
  <c r="J666" i="1"/>
  <c r="M666" i="1"/>
  <c r="T666" i="1"/>
  <c r="N666" i="1"/>
  <c r="Q666" i="1"/>
  <c r="I666" i="1"/>
  <c r="L602" i="1"/>
  <c r="R602" i="1"/>
  <c r="S602" i="1"/>
  <c r="K602" i="1"/>
  <c r="J602" i="1"/>
  <c r="M602" i="1"/>
  <c r="T602" i="1"/>
  <c r="N602" i="1"/>
  <c r="Q602" i="1"/>
  <c r="I602" i="1"/>
  <c r="I509" i="1"/>
  <c r="T509" i="1"/>
  <c r="J509" i="1"/>
  <c r="K509" i="1"/>
  <c r="L509" i="1"/>
  <c r="N509" i="1"/>
  <c r="R509" i="1"/>
  <c r="Q509" i="1"/>
  <c r="S509" i="1"/>
  <c r="M509" i="1"/>
  <c r="M644" i="1"/>
  <c r="J644" i="1"/>
  <c r="L644" i="1"/>
  <c r="T644" i="1"/>
  <c r="R644" i="1"/>
  <c r="Q644" i="1"/>
  <c r="I644" i="1"/>
  <c r="S644" i="1"/>
  <c r="K644" i="1"/>
  <c r="N644" i="1"/>
  <c r="N561" i="1"/>
  <c r="R561" i="1"/>
  <c r="S561" i="1"/>
  <c r="J561" i="1"/>
  <c r="T561" i="1"/>
  <c r="L561" i="1"/>
  <c r="K561" i="1"/>
  <c r="M561" i="1"/>
  <c r="I561" i="1"/>
  <c r="Q561" i="1"/>
  <c r="L661" i="1"/>
  <c r="Q661" i="1"/>
  <c r="I661" i="1"/>
  <c r="S661" i="1"/>
  <c r="J661" i="1"/>
  <c r="M661" i="1"/>
  <c r="K661" i="1"/>
  <c r="R661" i="1"/>
  <c r="N661" i="1"/>
  <c r="T661" i="1"/>
  <c r="L597" i="1"/>
  <c r="Q597" i="1"/>
  <c r="R597" i="1"/>
  <c r="I597" i="1"/>
  <c r="S597" i="1"/>
  <c r="J597" i="1"/>
  <c r="M597" i="1"/>
  <c r="K597" i="1"/>
  <c r="N597" i="1"/>
  <c r="T597" i="1"/>
  <c r="I574" i="1"/>
  <c r="L574" i="1"/>
  <c r="N574" i="1"/>
  <c r="T574" i="1"/>
  <c r="Q574" i="1"/>
  <c r="M574" i="1"/>
  <c r="K574" i="1"/>
  <c r="J574" i="1"/>
  <c r="R574" i="1"/>
  <c r="S574" i="1"/>
  <c r="N544" i="1"/>
  <c r="S544" i="1"/>
  <c r="J544" i="1"/>
  <c r="L544" i="1"/>
  <c r="T544" i="1"/>
  <c r="R544" i="1"/>
  <c r="Q544" i="1"/>
  <c r="K544" i="1"/>
  <c r="M544" i="1"/>
  <c r="I544" i="1"/>
  <c r="N647" i="1"/>
  <c r="R647" i="1"/>
  <c r="Q647" i="1"/>
  <c r="J647" i="1"/>
  <c r="I647" i="1"/>
  <c r="M647" i="1"/>
  <c r="S647" i="1"/>
  <c r="T647" i="1"/>
  <c r="K647" i="1"/>
  <c r="L647" i="1"/>
  <c r="M560" i="1"/>
  <c r="S560" i="1"/>
  <c r="I560" i="1"/>
  <c r="T560" i="1"/>
  <c r="J560" i="1"/>
  <c r="K560" i="1"/>
  <c r="L560" i="1"/>
  <c r="Q560" i="1"/>
  <c r="N560" i="1"/>
  <c r="R560" i="1"/>
  <c r="N217" i="1"/>
  <c r="J217" i="1"/>
  <c r="M217" i="1"/>
  <c r="L217" i="1"/>
  <c r="R217" i="1"/>
  <c r="T217" i="1"/>
  <c r="K217" i="1"/>
  <c r="Q217" i="1"/>
  <c r="I217" i="1"/>
  <c r="S217" i="1"/>
  <c r="M497" i="1"/>
  <c r="I497" i="1"/>
  <c r="J497" i="1"/>
  <c r="K497" i="1"/>
  <c r="Q497" i="1"/>
  <c r="S497" i="1"/>
  <c r="R497" i="1"/>
  <c r="N497" i="1"/>
  <c r="L497" i="1"/>
  <c r="T497" i="1"/>
  <c r="I442" i="1"/>
  <c r="R442" i="1"/>
  <c r="J442" i="1"/>
  <c r="S442" i="1"/>
  <c r="K442" i="1"/>
  <c r="T442" i="1"/>
  <c r="L442" i="1"/>
  <c r="M442" i="1"/>
  <c r="N442" i="1"/>
  <c r="Q442" i="1"/>
  <c r="Q240" i="1"/>
  <c r="M240" i="1"/>
  <c r="J240" i="1"/>
  <c r="R240" i="1"/>
  <c r="S240" i="1"/>
  <c r="L240" i="1"/>
  <c r="T240" i="1"/>
  <c r="N240" i="1"/>
  <c r="I240" i="1"/>
  <c r="K240" i="1"/>
  <c r="L347" i="1"/>
  <c r="J347" i="1"/>
  <c r="K347" i="1"/>
  <c r="M347" i="1"/>
  <c r="N347" i="1"/>
  <c r="R347" i="1"/>
  <c r="Q347" i="1"/>
  <c r="I347" i="1"/>
  <c r="S347" i="1"/>
  <c r="T347" i="1"/>
  <c r="L511" i="1"/>
  <c r="M511" i="1"/>
  <c r="N511" i="1"/>
  <c r="Q511" i="1"/>
  <c r="J511" i="1"/>
  <c r="S511" i="1"/>
  <c r="R511" i="1"/>
  <c r="T511" i="1"/>
  <c r="I511" i="1"/>
  <c r="K511" i="1"/>
  <c r="M460" i="1"/>
  <c r="J460" i="1"/>
  <c r="R460" i="1"/>
  <c r="L460" i="1"/>
  <c r="T460" i="1"/>
  <c r="K460" i="1"/>
  <c r="S460" i="1"/>
  <c r="I460" i="1"/>
  <c r="N460" i="1"/>
  <c r="Q460" i="1"/>
  <c r="L427" i="1"/>
  <c r="M427" i="1"/>
  <c r="N427" i="1"/>
  <c r="Q427" i="1"/>
  <c r="J427" i="1"/>
  <c r="S427" i="1"/>
  <c r="I427" i="1"/>
  <c r="R427" i="1"/>
  <c r="K427" i="1"/>
  <c r="T427" i="1"/>
  <c r="N395" i="1"/>
  <c r="I395" i="1"/>
  <c r="L395" i="1"/>
  <c r="Q395" i="1"/>
  <c r="R395" i="1"/>
  <c r="S395" i="1"/>
  <c r="T395" i="1"/>
  <c r="J395" i="1"/>
  <c r="K395" i="1"/>
  <c r="M395" i="1"/>
  <c r="I265" i="1"/>
  <c r="J265" i="1"/>
  <c r="L265" i="1"/>
  <c r="S265" i="1"/>
  <c r="K265" i="1"/>
  <c r="N265" i="1"/>
  <c r="R265" i="1"/>
  <c r="Q265" i="1"/>
  <c r="T265" i="1"/>
  <c r="M265" i="1"/>
  <c r="J481" i="1"/>
  <c r="L481" i="1"/>
  <c r="R481" i="1"/>
  <c r="M481" i="1"/>
  <c r="T481" i="1"/>
  <c r="N481" i="1"/>
  <c r="Q481" i="1"/>
  <c r="I481" i="1"/>
  <c r="K481" i="1"/>
  <c r="S481" i="1"/>
  <c r="L299" i="1"/>
  <c r="J299" i="1"/>
  <c r="K299" i="1"/>
  <c r="M299" i="1"/>
  <c r="N299" i="1"/>
  <c r="R299" i="1"/>
  <c r="I299" i="1"/>
  <c r="Q299" i="1"/>
  <c r="S299" i="1"/>
  <c r="T299" i="1"/>
  <c r="L529" i="1"/>
  <c r="Q529" i="1"/>
  <c r="M529" i="1"/>
  <c r="R529" i="1"/>
  <c r="S529" i="1"/>
  <c r="I529" i="1"/>
  <c r="K529" i="1"/>
  <c r="J529" i="1"/>
  <c r="N529" i="1"/>
  <c r="T529" i="1"/>
  <c r="T500" i="1"/>
  <c r="J500" i="1"/>
  <c r="K500" i="1"/>
  <c r="L500" i="1"/>
  <c r="M500" i="1"/>
  <c r="S500" i="1"/>
  <c r="R500" i="1"/>
  <c r="Q500" i="1"/>
  <c r="N500" i="1"/>
  <c r="I500" i="1"/>
  <c r="I446" i="1"/>
  <c r="L446" i="1"/>
  <c r="N446" i="1"/>
  <c r="T446" i="1"/>
  <c r="Q446" i="1"/>
  <c r="K446" i="1"/>
  <c r="J446" i="1"/>
  <c r="R446" i="1"/>
  <c r="M446" i="1"/>
  <c r="S446" i="1"/>
  <c r="I247" i="1"/>
  <c r="K247" i="1"/>
  <c r="M247" i="1"/>
  <c r="N247" i="1"/>
  <c r="S247" i="1"/>
  <c r="T247" i="1"/>
  <c r="L247" i="1"/>
  <c r="R247" i="1"/>
  <c r="J247" i="1"/>
  <c r="Q247" i="1"/>
  <c r="M456" i="1"/>
  <c r="Q456" i="1"/>
  <c r="R456" i="1"/>
  <c r="I456" i="1"/>
  <c r="S456" i="1"/>
  <c r="J456" i="1"/>
  <c r="T456" i="1"/>
  <c r="K456" i="1"/>
  <c r="N456" i="1"/>
  <c r="L456" i="1"/>
  <c r="L416" i="1"/>
  <c r="Q416" i="1"/>
  <c r="R416" i="1"/>
  <c r="I416" i="1"/>
  <c r="S416" i="1"/>
  <c r="J416" i="1"/>
  <c r="K416" i="1"/>
  <c r="N416" i="1"/>
  <c r="M416" i="1"/>
  <c r="T416" i="1"/>
  <c r="N298" i="1"/>
  <c r="L298" i="1"/>
  <c r="M298" i="1"/>
  <c r="R298" i="1"/>
  <c r="T298" i="1"/>
  <c r="J298" i="1"/>
  <c r="S298" i="1"/>
  <c r="Q298" i="1"/>
  <c r="I298" i="1"/>
  <c r="K298" i="1"/>
  <c r="N380" i="1"/>
  <c r="L380" i="1"/>
  <c r="S380" i="1"/>
  <c r="T380" i="1"/>
  <c r="M380" i="1"/>
  <c r="Q380" i="1"/>
  <c r="I380" i="1"/>
  <c r="J380" i="1"/>
  <c r="R380" i="1"/>
  <c r="K380" i="1"/>
  <c r="L304" i="1"/>
  <c r="J304" i="1"/>
  <c r="K304" i="1"/>
  <c r="M304" i="1"/>
  <c r="N304" i="1"/>
  <c r="S304" i="1"/>
  <c r="R304" i="1"/>
  <c r="T304" i="1"/>
  <c r="Q304" i="1"/>
  <c r="I304" i="1"/>
  <c r="T252" i="1"/>
  <c r="N252" i="1"/>
  <c r="J252" i="1"/>
  <c r="Q252" i="1"/>
  <c r="R252" i="1"/>
  <c r="K252" i="1"/>
  <c r="S252" i="1"/>
  <c r="I252" i="1"/>
  <c r="L252" i="1"/>
  <c r="M252" i="1"/>
  <c r="K146" i="1"/>
  <c r="L146" i="1"/>
  <c r="T146" i="1"/>
  <c r="M146" i="1"/>
  <c r="I146" i="1"/>
  <c r="S146" i="1"/>
  <c r="N146" i="1"/>
  <c r="J146" i="1"/>
  <c r="R146" i="1"/>
  <c r="Q146" i="1"/>
  <c r="K329" i="1"/>
  <c r="S329" i="1"/>
  <c r="I329" i="1"/>
  <c r="L329" i="1"/>
  <c r="N329" i="1"/>
  <c r="Q329" i="1"/>
  <c r="R329" i="1"/>
  <c r="T329" i="1"/>
  <c r="M329" i="1"/>
  <c r="J329" i="1"/>
  <c r="N289" i="1"/>
  <c r="M289" i="1"/>
  <c r="Q289" i="1"/>
  <c r="S289" i="1"/>
  <c r="T289" i="1"/>
  <c r="J289" i="1"/>
  <c r="K289" i="1"/>
  <c r="R289" i="1"/>
  <c r="I289" i="1"/>
  <c r="L289" i="1"/>
  <c r="M394" i="1"/>
  <c r="L394" i="1"/>
  <c r="N394" i="1"/>
  <c r="Q394" i="1"/>
  <c r="R394" i="1"/>
  <c r="J394" i="1"/>
  <c r="T394" i="1"/>
  <c r="I394" i="1"/>
  <c r="K394" i="1"/>
  <c r="S394" i="1"/>
  <c r="N340" i="1"/>
  <c r="J340" i="1"/>
  <c r="R340" i="1"/>
  <c r="L340" i="1"/>
  <c r="T340" i="1"/>
  <c r="S340" i="1"/>
  <c r="M340" i="1"/>
  <c r="I340" i="1"/>
  <c r="Q340" i="1"/>
  <c r="K340" i="1"/>
  <c r="I268" i="1"/>
  <c r="M268" i="1"/>
  <c r="N268" i="1"/>
  <c r="R268" i="1"/>
  <c r="S268" i="1"/>
  <c r="K268" i="1"/>
  <c r="J268" i="1"/>
  <c r="T268" i="1"/>
  <c r="L268" i="1"/>
  <c r="Q268" i="1"/>
  <c r="M233" i="1"/>
  <c r="Q233" i="1"/>
  <c r="J233" i="1"/>
  <c r="R233" i="1"/>
  <c r="S233" i="1"/>
  <c r="L233" i="1"/>
  <c r="T233" i="1"/>
  <c r="N233" i="1"/>
  <c r="I233" i="1"/>
  <c r="K233" i="1"/>
  <c r="I280" i="1"/>
  <c r="R280" i="1"/>
  <c r="M280" i="1"/>
  <c r="Q280" i="1"/>
  <c r="J280" i="1"/>
  <c r="S280" i="1"/>
  <c r="K280" i="1"/>
  <c r="L280" i="1"/>
  <c r="T280" i="1"/>
  <c r="N280" i="1"/>
  <c r="N171" i="1"/>
  <c r="K171" i="1"/>
  <c r="R171" i="1"/>
  <c r="T171" i="1"/>
  <c r="I171" i="1"/>
  <c r="M171" i="1"/>
  <c r="L171" i="1"/>
  <c r="J171" i="1"/>
  <c r="Q171" i="1"/>
  <c r="S171" i="1"/>
  <c r="J376" i="1"/>
  <c r="M376" i="1"/>
  <c r="S376" i="1"/>
  <c r="T376" i="1"/>
  <c r="N376" i="1"/>
  <c r="K376" i="1"/>
  <c r="R376" i="1"/>
  <c r="I376" i="1"/>
  <c r="L376" i="1"/>
  <c r="Q376" i="1"/>
  <c r="N244" i="1"/>
  <c r="J244" i="1"/>
  <c r="L244" i="1"/>
  <c r="M244" i="1"/>
  <c r="T244" i="1"/>
  <c r="R244" i="1"/>
  <c r="Q244" i="1"/>
  <c r="S244" i="1"/>
  <c r="K244" i="1"/>
  <c r="I244" i="1"/>
  <c r="N372" i="1"/>
  <c r="J372" i="1"/>
  <c r="L372" i="1"/>
  <c r="S372" i="1"/>
  <c r="Q372" i="1"/>
  <c r="T372" i="1"/>
  <c r="I372" i="1"/>
  <c r="K372" i="1"/>
  <c r="R372" i="1"/>
  <c r="M372" i="1"/>
  <c r="L339" i="1"/>
  <c r="Q339" i="1"/>
  <c r="R339" i="1"/>
  <c r="I339" i="1"/>
  <c r="S339" i="1"/>
  <c r="J339" i="1"/>
  <c r="K339" i="1"/>
  <c r="N339" i="1"/>
  <c r="M339" i="1"/>
  <c r="T339" i="1"/>
  <c r="I260" i="1"/>
  <c r="R260" i="1"/>
  <c r="S260" i="1"/>
  <c r="J260" i="1"/>
  <c r="T260" i="1"/>
  <c r="K260" i="1"/>
  <c r="L260" i="1"/>
  <c r="N260" i="1"/>
  <c r="M260" i="1"/>
  <c r="Q260" i="1"/>
  <c r="N209" i="1"/>
  <c r="L209" i="1"/>
  <c r="M209" i="1"/>
  <c r="R209" i="1"/>
  <c r="T209" i="1"/>
  <c r="J209" i="1"/>
  <c r="I209" i="1"/>
  <c r="S209" i="1"/>
  <c r="K209" i="1"/>
  <c r="Q209" i="1"/>
  <c r="I163" i="1"/>
  <c r="T163" i="1"/>
  <c r="Q163" i="1"/>
  <c r="K163" i="1"/>
  <c r="R163" i="1"/>
  <c r="S163" i="1"/>
  <c r="N163" i="1"/>
  <c r="J163" i="1"/>
  <c r="L163" i="1"/>
  <c r="M163" i="1"/>
  <c r="N224" i="1"/>
  <c r="Q224" i="1"/>
  <c r="I224" i="1"/>
  <c r="J224" i="1"/>
  <c r="S224" i="1"/>
  <c r="K224" i="1"/>
  <c r="M224" i="1"/>
  <c r="L224" i="1"/>
  <c r="T224" i="1"/>
  <c r="R224" i="1"/>
  <c r="L27" i="1"/>
  <c r="R27" i="1"/>
  <c r="I27" i="1"/>
  <c r="J27" i="1"/>
  <c r="K27" i="1"/>
  <c r="Q27" i="1"/>
  <c r="S27" i="1"/>
  <c r="N27" i="1"/>
  <c r="M27" i="1"/>
  <c r="T27" i="1"/>
  <c r="M235" i="1"/>
  <c r="N235" i="1"/>
  <c r="J235" i="1"/>
  <c r="R235" i="1"/>
  <c r="K235" i="1"/>
  <c r="Q235" i="1"/>
  <c r="L235" i="1"/>
  <c r="S235" i="1"/>
  <c r="T235" i="1"/>
  <c r="I235" i="1"/>
  <c r="T229" i="1"/>
  <c r="I229" i="1"/>
  <c r="L229" i="1"/>
  <c r="N229" i="1"/>
  <c r="M229" i="1"/>
  <c r="Q229" i="1"/>
  <c r="S229" i="1"/>
  <c r="K229" i="1"/>
  <c r="J229" i="1"/>
  <c r="R229" i="1"/>
  <c r="N201" i="1"/>
  <c r="J201" i="1"/>
  <c r="L201" i="1"/>
  <c r="M201" i="1"/>
  <c r="R201" i="1"/>
  <c r="T201" i="1"/>
  <c r="K201" i="1"/>
  <c r="Q201" i="1"/>
  <c r="I201" i="1"/>
  <c r="S201" i="1"/>
  <c r="Q14" i="1"/>
  <c r="I14" i="1"/>
  <c r="R14" i="1"/>
  <c r="J14" i="1"/>
  <c r="S14" i="1"/>
  <c r="K14" i="1"/>
  <c r="T14" i="1"/>
  <c r="L14" i="1"/>
  <c r="M14" i="1"/>
  <c r="N14" i="1"/>
  <c r="I131" i="1"/>
  <c r="R131" i="1"/>
  <c r="J131" i="1"/>
  <c r="S131" i="1"/>
  <c r="K131" i="1"/>
  <c r="T131" i="1"/>
  <c r="L131" i="1"/>
  <c r="M131" i="1"/>
  <c r="N131" i="1"/>
  <c r="Q131" i="1"/>
  <c r="L164" i="1"/>
  <c r="N164" i="1"/>
  <c r="I164" i="1"/>
  <c r="R164" i="1"/>
  <c r="J164" i="1"/>
  <c r="K164" i="1"/>
  <c r="M164" i="1"/>
  <c r="Q164" i="1"/>
  <c r="T164" i="1"/>
  <c r="S164" i="1"/>
  <c r="K118" i="1"/>
  <c r="Q118" i="1"/>
  <c r="S118" i="1"/>
  <c r="T118" i="1"/>
  <c r="L118" i="1"/>
  <c r="I118" i="1"/>
  <c r="M118" i="1"/>
  <c r="N118" i="1"/>
  <c r="J118" i="1"/>
  <c r="R118" i="1"/>
  <c r="J143" i="1"/>
  <c r="M143" i="1"/>
  <c r="N143" i="1"/>
  <c r="Q143" i="1"/>
  <c r="S143" i="1"/>
  <c r="K143" i="1"/>
  <c r="T143" i="1"/>
  <c r="I143" i="1"/>
  <c r="L143" i="1"/>
  <c r="R143" i="1"/>
  <c r="J151" i="1"/>
  <c r="N151" i="1"/>
  <c r="Q151" i="1"/>
  <c r="S151" i="1"/>
  <c r="I151" i="1"/>
  <c r="T151" i="1"/>
  <c r="L151" i="1"/>
  <c r="K151" i="1"/>
  <c r="M151" i="1"/>
  <c r="R151" i="1"/>
  <c r="I156" i="1"/>
  <c r="R156" i="1"/>
  <c r="J156" i="1"/>
  <c r="S156" i="1"/>
  <c r="L156" i="1"/>
  <c r="T156" i="1"/>
  <c r="K156" i="1"/>
  <c r="N156" i="1"/>
  <c r="M156" i="1"/>
  <c r="Q156" i="1"/>
  <c r="I117" i="1"/>
  <c r="R117" i="1"/>
  <c r="S117" i="1"/>
  <c r="J117" i="1"/>
  <c r="T117" i="1"/>
  <c r="K117" i="1"/>
  <c r="M117" i="1"/>
  <c r="L117" i="1"/>
  <c r="N117" i="1"/>
  <c r="Q117" i="1"/>
  <c r="J127" i="1"/>
  <c r="R127" i="1"/>
  <c r="I127" i="1"/>
  <c r="L127" i="1"/>
  <c r="M127" i="1"/>
  <c r="N127" i="1"/>
  <c r="Q127" i="1"/>
  <c r="T127" i="1"/>
  <c r="S127" i="1"/>
  <c r="K127" i="1"/>
  <c r="M95" i="1"/>
  <c r="T95" i="1"/>
  <c r="K95" i="1"/>
  <c r="I95" i="1"/>
  <c r="S95" i="1"/>
  <c r="J95" i="1"/>
  <c r="R95" i="1"/>
  <c r="Q95" i="1"/>
  <c r="N95" i="1"/>
  <c r="L95" i="1"/>
  <c r="Q26" i="1"/>
  <c r="I26" i="1"/>
  <c r="J26" i="1"/>
  <c r="S26" i="1"/>
  <c r="R26" i="1"/>
  <c r="K26" i="1"/>
  <c r="L26" i="1"/>
  <c r="M26" i="1"/>
  <c r="T26" i="1"/>
  <c r="N26" i="1"/>
  <c r="N49" i="1"/>
  <c r="S49" i="1"/>
  <c r="K49" i="1"/>
  <c r="J49" i="1"/>
  <c r="T49" i="1"/>
  <c r="L49" i="1"/>
  <c r="R49" i="1"/>
  <c r="M49" i="1"/>
  <c r="Q49" i="1"/>
  <c r="I49" i="1"/>
  <c r="J48" i="1"/>
  <c r="M48" i="1"/>
  <c r="R48" i="1"/>
  <c r="T48" i="1"/>
  <c r="K48" i="1"/>
  <c r="L48" i="1"/>
  <c r="N48" i="1"/>
  <c r="Q48" i="1"/>
  <c r="S48" i="1"/>
  <c r="I48" i="1"/>
  <c r="I85" i="1"/>
  <c r="M85" i="1"/>
  <c r="Q85" i="1"/>
  <c r="T85" i="1"/>
  <c r="L85" i="1"/>
  <c r="K85" i="1"/>
  <c r="S85" i="1"/>
  <c r="N85" i="1"/>
  <c r="J85" i="1"/>
  <c r="R85" i="1"/>
  <c r="M40" i="1"/>
  <c r="T40" i="1"/>
  <c r="K40" i="1"/>
  <c r="L40" i="1"/>
  <c r="N40" i="1"/>
  <c r="S40" i="1"/>
  <c r="I40" i="1"/>
  <c r="Q40" i="1"/>
  <c r="R40" i="1"/>
  <c r="J40" i="1"/>
  <c r="Q42" i="1"/>
  <c r="I42" i="1"/>
  <c r="J42" i="1"/>
  <c r="N42" i="1"/>
  <c r="R42" i="1"/>
  <c r="S42" i="1"/>
  <c r="L42" i="1"/>
  <c r="M42" i="1"/>
  <c r="T42" i="1"/>
  <c r="K42" i="1"/>
  <c r="T87" i="1"/>
  <c r="L87" i="1"/>
  <c r="M87" i="1"/>
  <c r="K87" i="1"/>
  <c r="N87" i="1"/>
  <c r="S87" i="1"/>
  <c r="I87" i="1"/>
  <c r="J87" i="1"/>
  <c r="Q87" i="1"/>
  <c r="R87" i="1"/>
  <c r="Q47" i="1"/>
  <c r="S47" i="1"/>
  <c r="J47" i="1"/>
  <c r="T47" i="1"/>
  <c r="L47" i="1"/>
  <c r="N47" i="1"/>
  <c r="M47" i="1"/>
  <c r="R47" i="1"/>
  <c r="K47" i="1"/>
  <c r="I47" i="1"/>
  <c r="J463" i="1"/>
  <c r="M463" i="1"/>
  <c r="R463" i="1"/>
  <c r="N463" i="1"/>
  <c r="I463" i="1"/>
  <c r="Q463" i="1"/>
  <c r="K463" i="1"/>
  <c r="L463" i="1"/>
  <c r="S463" i="1"/>
  <c r="T463" i="1"/>
  <c r="M565" i="1"/>
  <c r="S565" i="1"/>
  <c r="L565" i="1"/>
  <c r="J565" i="1"/>
  <c r="T565" i="1"/>
  <c r="K565" i="1"/>
  <c r="R565" i="1"/>
  <c r="N565" i="1"/>
  <c r="I565" i="1"/>
  <c r="Q565" i="1"/>
  <c r="M636" i="1"/>
  <c r="J636" i="1"/>
  <c r="L636" i="1"/>
  <c r="R636" i="1"/>
  <c r="T636" i="1"/>
  <c r="I636" i="1"/>
  <c r="N636" i="1"/>
  <c r="S636" i="1"/>
  <c r="K636" i="1"/>
  <c r="Q636" i="1"/>
  <c r="I458" i="1"/>
  <c r="R458" i="1"/>
  <c r="J458" i="1"/>
  <c r="S458" i="1"/>
  <c r="K458" i="1"/>
  <c r="T458" i="1"/>
  <c r="L458" i="1"/>
  <c r="M458" i="1"/>
  <c r="N458" i="1"/>
  <c r="Q458" i="1"/>
  <c r="I401" i="1"/>
  <c r="Q401" i="1"/>
  <c r="M401" i="1"/>
  <c r="J401" i="1"/>
  <c r="R401" i="1"/>
  <c r="K401" i="1"/>
  <c r="S401" i="1"/>
  <c r="T401" i="1"/>
  <c r="L401" i="1"/>
  <c r="N401" i="1"/>
  <c r="Q294" i="1"/>
  <c r="I294" i="1"/>
  <c r="R294" i="1"/>
  <c r="J294" i="1"/>
  <c r="S294" i="1"/>
  <c r="K294" i="1"/>
  <c r="T294" i="1"/>
  <c r="L294" i="1"/>
  <c r="N294" i="1"/>
  <c r="M294" i="1"/>
  <c r="K267" i="1"/>
  <c r="L267" i="1"/>
  <c r="M267" i="1"/>
  <c r="N267" i="1"/>
  <c r="Q267" i="1"/>
  <c r="T267" i="1"/>
  <c r="S267" i="1"/>
  <c r="I267" i="1"/>
  <c r="J267" i="1"/>
  <c r="R267" i="1"/>
  <c r="I239" i="1"/>
  <c r="S239" i="1"/>
  <c r="K239" i="1"/>
  <c r="N239" i="1"/>
  <c r="M239" i="1"/>
  <c r="T239" i="1"/>
  <c r="L239" i="1"/>
  <c r="R239" i="1"/>
  <c r="J239" i="1"/>
  <c r="Q239" i="1"/>
  <c r="M16" i="1"/>
  <c r="Q16" i="1"/>
  <c r="K16" i="1"/>
  <c r="J16" i="1"/>
  <c r="R16" i="1"/>
  <c r="S16" i="1"/>
  <c r="T16" i="1"/>
  <c r="I16" i="1"/>
  <c r="L16" i="1"/>
  <c r="N16" i="1"/>
  <c r="L679" i="1"/>
  <c r="M679" i="1"/>
  <c r="R679" i="1"/>
  <c r="T679" i="1"/>
  <c r="S679" i="1"/>
  <c r="N679" i="1"/>
  <c r="K679" i="1"/>
  <c r="Q679" i="1"/>
  <c r="J679" i="1"/>
  <c r="I679" i="1"/>
  <c r="R563" i="1"/>
  <c r="I563" i="1"/>
  <c r="M563" i="1"/>
  <c r="L563" i="1"/>
  <c r="K563" i="1"/>
  <c r="T563" i="1"/>
  <c r="Q563" i="1"/>
  <c r="S563" i="1"/>
  <c r="J563" i="1"/>
  <c r="N563" i="1"/>
  <c r="K562" i="1"/>
  <c r="L562" i="1"/>
  <c r="M562" i="1"/>
  <c r="Q562" i="1"/>
  <c r="S562" i="1"/>
  <c r="I562" i="1"/>
  <c r="N562" i="1"/>
  <c r="J562" i="1"/>
  <c r="T562" i="1"/>
  <c r="R562" i="1"/>
  <c r="N686" i="1"/>
  <c r="L686" i="1"/>
  <c r="T686" i="1"/>
  <c r="S686" i="1"/>
  <c r="M686" i="1"/>
  <c r="J686" i="1"/>
  <c r="I686" i="1"/>
  <c r="K686" i="1"/>
  <c r="Q686" i="1"/>
  <c r="R686" i="1"/>
  <c r="Q687" i="1"/>
  <c r="N687" i="1"/>
  <c r="I687" i="1"/>
  <c r="M687" i="1"/>
  <c r="T687" i="1"/>
  <c r="S687" i="1"/>
  <c r="L687" i="1"/>
  <c r="K687" i="1"/>
  <c r="R687" i="1"/>
  <c r="J687" i="1"/>
  <c r="I528" i="1"/>
  <c r="T528" i="1"/>
  <c r="L528" i="1"/>
  <c r="Q528" i="1"/>
  <c r="N528" i="1"/>
  <c r="J528" i="1"/>
  <c r="K528" i="1"/>
  <c r="R528" i="1"/>
  <c r="M528" i="1"/>
  <c r="S528" i="1"/>
  <c r="M620" i="1"/>
  <c r="J620" i="1"/>
  <c r="L620" i="1"/>
  <c r="R620" i="1"/>
  <c r="T620" i="1"/>
  <c r="N620" i="1"/>
  <c r="S620" i="1"/>
  <c r="I620" i="1"/>
  <c r="Q620" i="1"/>
  <c r="K620" i="1"/>
  <c r="J681" i="1"/>
  <c r="Q681" i="1"/>
  <c r="I681" i="1"/>
  <c r="T681" i="1"/>
  <c r="R681" i="1"/>
  <c r="M681" i="1"/>
  <c r="S681" i="1"/>
  <c r="L681" i="1"/>
  <c r="N681" i="1"/>
  <c r="K681" i="1"/>
  <c r="Q680" i="1"/>
  <c r="I680" i="1"/>
  <c r="R680" i="1"/>
  <c r="L680" i="1"/>
  <c r="N680" i="1"/>
  <c r="J680" i="1"/>
  <c r="S680" i="1"/>
  <c r="K680" i="1"/>
  <c r="T680" i="1"/>
  <c r="M680" i="1"/>
  <c r="J649" i="1"/>
  <c r="Q649" i="1"/>
  <c r="I649" i="1"/>
  <c r="K649" i="1"/>
  <c r="R649" i="1"/>
  <c r="T649" i="1"/>
  <c r="M649" i="1"/>
  <c r="N649" i="1"/>
  <c r="L649" i="1"/>
  <c r="S649" i="1"/>
  <c r="J585" i="1"/>
  <c r="Q585" i="1"/>
  <c r="I585" i="1"/>
  <c r="K585" i="1"/>
  <c r="R585" i="1"/>
  <c r="M585" i="1"/>
  <c r="N585" i="1"/>
  <c r="T585" i="1"/>
  <c r="S585" i="1"/>
  <c r="L585" i="1"/>
  <c r="L408" i="1"/>
  <c r="J408" i="1"/>
  <c r="K408" i="1"/>
  <c r="M408" i="1"/>
  <c r="N408" i="1"/>
  <c r="R408" i="1"/>
  <c r="Q408" i="1"/>
  <c r="S408" i="1"/>
  <c r="I408" i="1"/>
  <c r="T408" i="1"/>
  <c r="M611" i="1"/>
  <c r="L611" i="1"/>
  <c r="N611" i="1"/>
  <c r="Q611" i="1"/>
  <c r="S611" i="1"/>
  <c r="I611" i="1"/>
  <c r="K611" i="1"/>
  <c r="T611" i="1"/>
  <c r="R611" i="1"/>
  <c r="J611" i="1"/>
  <c r="K548" i="1"/>
  <c r="N548" i="1"/>
  <c r="Q548" i="1"/>
  <c r="R548" i="1"/>
  <c r="S548" i="1"/>
  <c r="T548" i="1"/>
  <c r="J548" i="1"/>
  <c r="I548" i="1"/>
  <c r="L548" i="1"/>
  <c r="M548" i="1"/>
  <c r="M664" i="1"/>
  <c r="J664" i="1"/>
  <c r="S664" i="1"/>
  <c r="R664" i="1"/>
  <c r="T664" i="1"/>
  <c r="L664" i="1"/>
  <c r="I664" i="1"/>
  <c r="K664" i="1"/>
  <c r="N664" i="1"/>
  <c r="Q664" i="1"/>
  <c r="L600" i="1"/>
  <c r="M600" i="1"/>
  <c r="N600" i="1"/>
  <c r="Q600" i="1"/>
  <c r="J600" i="1"/>
  <c r="S600" i="1"/>
  <c r="K600" i="1"/>
  <c r="I600" i="1"/>
  <c r="R600" i="1"/>
  <c r="T600" i="1"/>
  <c r="I466" i="1"/>
  <c r="L466" i="1"/>
  <c r="Q466" i="1"/>
  <c r="T466" i="1"/>
  <c r="J466" i="1"/>
  <c r="K466" i="1"/>
  <c r="S466" i="1"/>
  <c r="N466" i="1"/>
  <c r="R466" i="1"/>
  <c r="M466" i="1"/>
  <c r="J617" i="1"/>
  <c r="I617" i="1"/>
  <c r="Q617" i="1"/>
  <c r="R617" i="1"/>
  <c r="M617" i="1"/>
  <c r="S617" i="1"/>
  <c r="K617" i="1"/>
  <c r="T617" i="1"/>
  <c r="L617" i="1"/>
  <c r="N617" i="1"/>
  <c r="I545" i="1"/>
  <c r="N545" i="1"/>
  <c r="Q545" i="1"/>
  <c r="T545" i="1"/>
  <c r="L545" i="1"/>
  <c r="K545" i="1"/>
  <c r="M545" i="1"/>
  <c r="J545" i="1"/>
  <c r="S545" i="1"/>
  <c r="R545" i="1"/>
  <c r="J655" i="1"/>
  <c r="Q655" i="1"/>
  <c r="S655" i="1"/>
  <c r="I655" i="1"/>
  <c r="K655" i="1"/>
  <c r="M655" i="1"/>
  <c r="L655" i="1"/>
  <c r="R655" i="1"/>
  <c r="N655" i="1"/>
  <c r="T655" i="1"/>
  <c r="M591" i="1"/>
  <c r="Q591" i="1"/>
  <c r="S591" i="1"/>
  <c r="I591" i="1"/>
  <c r="K591" i="1"/>
  <c r="R591" i="1"/>
  <c r="L591" i="1"/>
  <c r="N591" i="1"/>
  <c r="T591" i="1"/>
  <c r="J591" i="1"/>
  <c r="M572" i="1"/>
  <c r="J572" i="1"/>
  <c r="L572" i="1"/>
  <c r="R572" i="1"/>
  <c r="T572" i="1"/>
  <c r="I572" i="1"/>
  <c r="N572" i="1"/>
  <c r="S572" i="1"/>
  <c r="Q572" i="1"/>
  <c r="K572" i="1"/>
  <c r="N533" i="1"/>
  <c r="J533" i="1"/>
  <c r="M533" i="1"/>
  <c r="R533" i="1"/>
  <c r="T533" i="1"/>
  <c r="I533" i="1"/>
  <c r="Q533" i="1"/>
  <c r="S533" i="1"/>
  <c r="K533" i="1"/>
  <c r="L533" i="1"/>
  <c r="M643" i="1"/>
  <c r="S643" i="1"/>
  <c r="T643" i="1"/>
  <c r="I643" i="1"/>
  <c r="K643" i="1"/>
  <c r="L643" i="1"/>
  <c r="N643" i="1"/>
  <c r="Q643" i="1"/>
  <c r="J643" i="1"/>
  <c r="R643" i="1"/>
  <c r="J546" i="1"/>
  <c r="T546" i="1"/>
  <c r="I546" i="1"/>
  <c r="L546" i="1"/>
  <c r="M546" i="1"/>
  <c r="Q546" i="1"/>
  <c r="R546" i="1"/>
  <c r="N546" i="1"/>
  <c r="K546" i="1"/>
  <c r="S546" i="1"/>
  <c r="L537" i="1"/>
  <c r="J537" i="1"/>
  <c r="Q537" i="1"/>
  <c r="R537" i="1"/>
  <c r="S537" i="1"/>
  <c r="I537" i="1"/>
  <c r="M537" i="1"/>
  <c r="K537" i="1"/>
  <c r="N537" i="1"/>
  <c r="T537" i="1"/>
  <c r="K493" i="1"/>
  <c r="I493" i="1"/>
  <c r="M493" i="1"/>
  <c r="Q493" i="1"/>
  <c r="S493" i="1"/>
  <c r="N493" i="1"/>
  <c r="J493" i="1"/>
  <c r="L493" i="1"/>
  <c r="R493" i="1"/>
  <c r="T493" i="1"/>
  <c r="M433" i="1"/>
  <c r="L433" i="1"/>
  <c r="S433" i="1"/>
  <c r="J433" i="1"/>
  <c r="I433" i="1"/>
  <c r="T433" i="1"/>
  <c r="Q433" i="1"/>
  <c r="K433" i="1"/>
  <c r="N433" i="1"/>
  <c r="R433" i="1"/>
  <c r="J521" i="1"/>
  <c r="R521" i="1"/>
  <c r="N521" i="1"/>
  <c r="L521" i="1"/>
  <c r="T521" i="1"/>
  <c r="M521" i="1"/>
  <c r="I521" i="1"/>
  <c r="Q521" i="1"/>
  <c r="K521" i="1"/>
  <c r="S521" i="1"/>
  <c r="S440" i="1"/>
  <c r="I440" i="1"/>
  <c r="R440" i="1"/>
  <c r="K440" i="1"/>
  <c r="T440" i="1"/>
  <c r="L440" i="1"/>
  <c r="M440" i="1"/>
  <c r="N440" i="1"/>
  <c r="Q440" i="1"/>
  <c r="J440" i="1"/>
  <c r="T309" i="1"/>
  <c r="K309" i="1"/>
  <c r="L309" i="1"/>
  <c r="N309" i="1"/>
  <c r="M309" i="1"/>
  <c r="I309" i="1"/>
  <c r="Q309" i="1"/>
  <c r="R309" i="1"/>
  <c r="J309" i="1"/>
  <c r="S309" i="1"/>
  <c r="Q507" i="1"/>
  <c r="J507" i="1"/>
  <c r="S507" i="1"/>
  <c r="L507" i="1"/>
  <c r="M507" i="1"/>
  <c r="N507" i="1"/>
  <c r="I507" i="1"/>
  <c r="R507" i="1"/>
  <c r="K507" i="1"/>
  <c r="T507" i="1"/>
  <c r="M459" i="1"/>
  <c r="Q459" i="1"/>
  <c r="S459" i="1"/>
  <c r="T459" i="1"/>
  <c r="I459" i="1"/>
  <c r="L459" i="1"/>
  <c r="K459" i="1"/>
  <c r="N459" i="1"/>
  <c r="J459" i="1"/>
  <c r="R459" i="1"/>
  <c r="K426" i="1"/>
  <c r="R426" i="1"/>
  <c r="S426" i="1"/>
  <c r="T426" i="1"/>
  <c r="L426" i="1"/>
  <c r="J426" i="1"/>
  <c r="I426" i="1"/>
  <c r="Q426" i="1"/>
  <c r="M426" i="1"/>
  <c r="N426" i="1"/>
  <c r="I378" i="1"/>
  <c r="S378" i="1"/>
  <c r="N378" i="1"/>
  <c r="Q378" i="1"/>
  <c r="K378" i="1"/>
  <c r="J378" i="1"/>
  <c r="R378" i="1"/>
  <c r="T378" i="1"/>
  <c r="M378" i="1"/>
  <c r="L378" i="1"/>
  <c r="I251" i="1"/>
  <c r="K251" i="1"/>
  <c r="L251" i="1"/>
  <c r="M251" i="1"/>
  <c r="N251" i="1"/>
  <c r="S251" i="1"/>
  <c r="Q251" i="1"/>
  <c r="T251" i="1"/>
  <c r="R251" i="1"/>
  <c r="J251" i="1"/>
  <c r="M482" i="1"/>
  <c r="N482" i="1"/>
  <c r="Q482" i="1"/>
  <c r="R482" i="1"/>
  <c r="I482" i="1"/>
  <c r="S482" i="1"/>
  <c r="K482" i="1"/>
  <c r="T482" i="1"/>
  <c r="J482" i="1"/>
  <c r="L482" i="1"/>
  <c r="N290" i="1"/>
  <c r="L290" i="1"/>
  <c r="M290" i="1"/>
  <c r="R290" i="1"/>
  <c r="T290" i="1"/>
  <c r="J290" i="1"/>
  <c r="Q290" i="1"/>
  <c r="I290" i="1"/>
  <c r="S290" i="1"/>
  <c r="K290" i="1"/>
  <c r="S525" i="1"/>
  <c r="J525" i="1"/>
  <c r="K525" i="1"/>
  <c r="N525" i="1"/>
  <c r="R525" i="1"/>
  <c r="T525" i="1"/>
  <c r="L525" i="1"/>
  <c r="I525" i="1"/>
  <c r="Q525" i="1"/>
  <c r="M525" i="1"/>
  <c r="N490" i="1"/>
  <c r="Q490" i="1"/>
  <c r="I490" i="1"/>
  <c r="R490" i="1"/>
  <c r="J490" i="1"/>
  <c r="S490" i="1"/>
  <c r="L490" i="1"/>
  <c r="T490" i="1"/>
  <c r="K490" i="1"/>
  <c r="M490" i="1"/>
  <c r="I438" i="1"/>
  <c r="J438" i="1"/>
  <c r="L438" i="1"/>
  <c r="M438" i="1"/>
  <c r="S438" i="1"/>
  <c r="Q438" i="1"/>
  <c r="T438" i="1"/>
  <c r="K438" i="1"/>
  <c r="N438" i="1"/>
  <c r="R438" i="1"/>
  <c r="I222" i="1"/>
  <c r="Q222" i="1"/>
  <c r="R222" i="1"/>
  <c r="L222" i="1"/>
  <c r="J222" i="1"/>
  <c r="K222" i="1"/>
  <c r="S222" i="1"/>
  <c r="T222" i="1"/>
  <c r="M222" i="1"/>
  <c r="N222" i="1"/>
  <c r="J453" i="1"/>
  <c r="S453" i="1"/>
  <c r="I453" i="1"/>
  <c r="K453" i="1"/>
  <c r="M453" i="1"/>
  <c r="N453" i="1"/>
  <c r="Q453" i="1"/>
  <c r="L453" i="1"/>
  <c r="T453" i="1"/>
  <c r="R453" i="1"/>
  <c r="J415" i="1"/>
  <c r="I415" i="1"/>
  <c r="M415" i="1"/>
  <c r="R415" i="1"/>
  <c r="Q415" i="1"/>
  <c r="T415" i="1"/>
  <c r="K415" i="1"/>
  <c r="L415" i="1"/>
  <c r="S415" i="1"/>
  <c r="N415" i="1"/>
  <c r="S279" i="1"/>
  <c r="J279" i="1"/>
  <c r="M279" i="1"/>
  <c r="R279" i="1"/>
  <c r="I279" i="1"/>
  <c r="N279" i="1"/>
  <c r="K279" i="1"/>
  <c r="L279" i="1"/>
  <c r="Q279" i="1"/>
  <c r="T279" i="1"/>
  <c r="I355" i="1"/>
  <c r="N355" i="1"/>
  <c r="R355" i="1"/>
  <c r="L355" i="1"/>
  <c r="K355" i="1"/>
  <c r="J355" i="1"/>
  <c r="S355" i="1"/>
  <c r="M355" i="1"/>
  <c r="Q355" i="1"/>
  <c r="T355" i="1"/>
  <c r="M301" i="1"/>
  <c r="J301" i="1"/>
  <c r="R301" i="1"/>
  <c r="K301" i="1"/>
  <c r="L301" i="1"/>
  <c r="T301" i="1"/>
  <c r="N301" i="1"/>
  <c r="I301" i="1"/>
  <c r="Q301" i="1"/>
  <c r="S301" i="1"/>
  <c r="I242" i="1"/>
  <c r="R242" i="1"/>
  <c r="J242" i="1"/>
  <c r="S242" i="1"/>
  <c r="K242" i="1"/>
  <c r="T242" i="1"/>
  <c r="L242" i="1"/>
  <c r="M242" i="1"/>
  <c r="N242" i="1"/>
  <c r="Q242" i="1"/>
  <c r="I325" i="1"/>
  <c r="M325" i="1"/>
  <c r="T325" i="1"/>
  <c r="L325" i="1"/>
  <c r="N325" i="1"/>
  <c r="K325" i="1"/>
  <c r="S325" i="1"/>
  <c r="J325" i="1"/>
  <c r="Q325" i="1"/>
  <c r="R325" i="1"/>
  <c r="T285" i="1"/>
  <c r="M285" i="1"/>
  <c r="K285" i="1"/>
  <c r="J285" i="1"/>
  <c r="Q285" i="1"/>
  <c r="R285" i="1"/>
  <c r="N285" i="1"/>
  <c r="I285" i="1"/>
  <c r="L285" i="1"/>
  <c r="S285" i="1"/>
  <c r="J390" i="1"/>
  <c r="S390" i="1"/>
  <c r="K390" i="1"/>
  <c r="T390" i="1"/>
  <c r="I390" i="1"/>
  <c r="L390" i="1"/>
  <c r="N390" i="1"/>
  <c r="Q390" i="1"/>
  <c r="R390" i="1"/>
  <c r="M390" i="1"/>
  <c r="L328" i="1"/>
  <c r="N328" i="1"/>
  <c r="R328" i="1"/>
  <c r="S328" i="1"/>
  <c r="K328" i="1"/>
  <c r="J328" i="1"/>
  <c r="M328" i="1"/>
  <c r="Q328" i="1"/>
  <c r="T328" i="1"/>
  <c r="I328" i="1"/>
  <c r="I263" i="1"/>
  <c r="Q263" i="1"/>
  <c r="R263" i="1"/>
  <c r="M263" i="1"/>
  <c r="J263" i="1"/>
  <c r="K263" i="1"/>
  <c r="S263" i="1"/>
  <c r="L263" i="1"/>
  <c r="N263" i="1"/>
  <c r="T263" i="1"/>
  <c r="I206" i="1"/>
  <c r="Q206" i="1"/>
  <c r="N206" i="1"/>
  <c r="J206" i="1"/>
  <c r="R206" i="1"/>
  <c r="S206" i="1"/>
  <c r="K206" i="1"/>
  <c r="L206" i="1"/>
  <c r="T206" i="1"/>
  <c r="M206" i="1"/>
  <c r="I276" i="1"/>
  <c r="N276" i="1"/>
  <c r="R276" i="1"/>
  <c r="S276" i="1"/>
  <c r="J276" i="1"/>
  <c r="T276" i="1"/>
  <c r="L276" i="1"/>
  <c r="K276" i="1"/>
  <c r="M276" i="1"/>
  <c r="Q276" i="1"/>
  <c r="I154" i="1"/>
  <c r="K154" i="1"/>
  <c r="N154" i="1"/>
  <c r="S154" i="1"/>
  <c r="Q154" i="1"/>
  <c r="L154" i="1"/>
  <c r="J154" i="1"/>
  <c r="M154" i="1"/>
  <c r="R154" i="1"/>
  <c r="T154" i="1"/>
  <c r="N352" i="1"/>
  <c r="Q352" i="1"/>
  <c r="I352" i="1"/>
  <c r="R352" i="1"/>
  <c r="J352" i="1"/>
  <c r="S352" i="1"/>
  <c r="L352" i="1"/>
  <c r="K352" i="1"/>
  <c r="M352" i="1"/>
  <c r="T352" i="1"/>
  <c r="L250" i="1"/>
  <c r="N250" i="1"/>
  <c r="T250" i="1"/>
  <c r="Q250" i="1"/>
  <c r="I250" i="1"/>
  <c r="R250" i="1"/>
  <c r="J250" i="1"/>
  <c r="S250" i="1"/>
  <c r="M250" i="1"/>
  <c r="K250" i="1"/>
  <c r="S367" i="1"/>
  <c r="T367" i="1"/>
  <c r="I367" i="1"/>
  <c r="K367" i="1"/>
  <c r="L367" i="1"/>
  <c r="N367" i="1"/>
  <c r="Q367" i="1"/>
  <c r="J367" i="1"/>
  <c r="M367" i="1"/>
  <c r="R367" i="1"/>
  <c r="N338" i="1"/>
  <c r="J338" i="1"/>
  <c r="L338" i="1"/>
  <c r="M338" i="1"/>
  <c r="R338" i="1"/>
  <c r="T338" i="1"/>
  <c r="K338" i="1"/>
  <c r="Q338" i="1"/>
  <c r="S338" i="1"/>
  <c r="I338" i="1"/>
  <c r="J254" i="1"/>
  <c r="M254" i="1"/>
  <c r="R254" i="1"/>
  <c r="N254" i="1"/>
  <c r="T254" i="1"/>
  <c r="I254" i="1"/>
  <c r="Q254" i="1"/>
  <c r="K254" i="1"/>
  <c r="S254" i="1"/>
  <c r="L254" i="1"/>
  <c r="I202" i="1"/>
  <c r="K202" i="1"/>
  <c r="M202" i="1"/>
  <c r="N202" i="1"/>
  <c r="S202" i="1"/>
  <c r="T202" i="1"/>
  <c r="Q202" i="1"/>
  <c r="L202" i="1"/>
  <c r="R202" i="1"/>
  <c r="J202" i="1"/>
  <c r="N138" i="1"/>
  <c r="S138" i="1"/>
  <c r="T138" i="1"/>
  <c r="K138" i="1"/>
  <c r="L138" i="1"/>
  <c r="I138" i="1"/>
  <c r="R138" i="1"/>
  <c r="Q138" i="1"/>
  <c r="J138" i="1"/>
  <c r="M138" i="1"/>
  <c r="I194" i="1"/>
  <c r="Q194" i="1"/>
  <c r="N194" i="1"/>
  <c r="R194" i="1"/>
  <c r="T194" i="1"/>
  <c r="J194" i="1"/>
  <c r="M194" i="1"/>
  <c r="K194" i="1"/>
  <c r="S194" i="1"/>
  <c r="L194" i="1"/>
  <c r="L211" i="1"/>
  <c r="T211" i="1"/>
  <c r="N211" i="1"/>
  <c r="S211" i="1"/>
  <c r="R211" i="1"/>
  <c r="J211" i="1"/>
  <c r="M211" i="1"/>
  <c r="K211" i="1"/>
  <c r="Q211" i="1"/>
  <c r="I211" i="1"/>
  <c r="N230" i="1"/>
  <c r="L230" i="1"/>
  <c r="R230" i="1"/>
  <c r="J230" i="1"/>
  <c r="M230" i="1"/>
  <c r="T230" i="1"/>
  <c r="S230" i="1"/>
  <c r="K230" i="1"/>
  <c r="Q230" i="1"/>
  <c r="I230" i="1"/>
  <c r="I218" i="1"/>
  <c r="M218" i="1"/>
  <c r="K218" i="1"/>
  <c r="N218" i="1"/>
  <c r="S218" i="1"/>
  <c r="T218" i="1"/>
  <c r="L218" i="1"/>
  <c r="R218" i="1"/>
  <c r="Q218" i="1"/>
  <c r="J218" i="1"/>
  <c r="J203" i="1"/>
  <c r="Q203" i="1"/>
  <c r="S203" i="1"/>
  <c r="K203" i="1"/>
  <c r="N203" i="1"/>
  <c r="I203" i="1"/>
  <c r="R203" i="1"/>
  <c r="L203" i="1"/>
  <c r="M203" i="1"/>
  <c r="T203" i="1"/>
  <c r="K162" i="1"/>
  <c r="N162" i="1"/>
  <c r="S162" i="1"/>
  <c r="I162" i="1"/>
  <c r="L162" i="1"/>
  <c r="Q162" i="1"/>
  <c r="T162" i="1"/>
  <c r="M162" i="1"/>
  <c r="J162" i="1"/>
  <c r="R162" i="1"/>
  <c r="N130" i="1"/>
  <c r="J130" i="1"/>
  <c r="L130" i="1"/>
  <c r="M130" i="1"/>
  <c r="R130" i="1"/>
  <c r="S130" i="1"/>
  <c r="I130" i="1"/>
  <c r="K130" i="1"/>
  <c r="Q130" i="1"/>
  <c r="T130" i="1"/>
  <c r="R161" i="1"/>
  <c r="I161" i="1"/>
  <c r="M161" i="1"/>
  <c r="T161" i="1"/>
  <c r="Q161" i="1"/>
  <c r="N161" i="1"/>
  <c r="L161" i="1"/>
  <c r="J161" i="1"/>
  <c r="K161" i="1"/>
  <c r="S161" i="1"/>
  <c r="N98" i="1"/>
  <c r="Q98" i="1"/>
  <c r="J98" i="1"/>
  <c r="I98" i="1"/>
  <c r="K98" i="1"/>
  <c r="R98" i="1"/>
  <c r="S98" i="1"/>
  <c r="T98" i="1"/>
  <c r="M98" i="1"/>
  <c r="L98" i="1"/>
  <c r="L139" i="1"/>
  <c r="M139" i="1"/>
  <c r="R139" i="1"/>
  <c r="K139" i="1"/>
  <c r="S139" i="1"/>
  <c r="N139" i="1"/>
  <c r="Q139" i="1"/>
  <c r="T139" i="1"/>
  <c r="J139" i="1"/>
  <c r="I139" i="1"/>
  <c r="R150" i="1"/>
  <c r="S150" i="1"/>
  <c r="J150" i="1"/>
  <c r="M150" i="1"/>
  <c r="K150" i="1"/>
  <c r="L150" i="1"/>
  <c r="T150" i="1"/>
  <c r="N150" i="1"/>
  <c r="Q150" i="1"/>
  <c r="I150" i="1"/>
  <c r="N148" i="1"/>
  <c r="Q148" i="1"/>
  <c r="I148" i="1"/>
  <c r="R148" i="1"/>
  <c r="J148" i="1"/>
  <c r="S148" i="1"/>
  <c r="L148" i="1"/>
  <c r="K148" i="1"/>
  <c r="M148" i="1"/>
  <c r="T148" i="1"/>
  <c r="M114" i="1"/>
  <c r="Q114" i="1"/>
  <c r="L114" i="1"/>
  <c r="T114" i="1"/>
  <c r="S114" i="1"/>
  <c r="N114" i="1"/>
  <c r="I114" i="1"/>
  <c r="R114" i="1"/>
  <c r="J114" i="1"/>
  <c r="K114" i="1"/>
  <c r="I112" i="1"/>
  <c r="M112" i="1"/>
  <c r="N112" i="1"/>
  <c r="Q112" i="1"/>
  <c r="S112" i="1"/>
  <c r="L112" i="1"/>
  <c r="T112" i="1"/>
  <c r="R112" i="1"/>
  <c r="J112" i="1"/>
  <c r="K112" i="1"/>
  <c r="R90" i="1"/>
  <c r="N90" i="1"/>
  <c r="J90" i="1"/>
  <c r="Q90" i="1"/>
  <c r="M90" i="1"/>
  <c r="S90" i="1"/>
  <c r="L90" i="1"/>
  <c r="K90" i="1"/>
  <c r="T90" i="1"/>
  <c r="I90" i="1"/>
  <c r="M23" i="1"/>
  <c r="K23" i="1"/>
  <c r="S23" i="1"/>
  <c r="L23" i="1"/>
  <c r="T23" i="1"/>
  <c r="I23" i="1"/>
  <c r="N23" i="1"/>
  <c r="J23" i="1"/>
  <c r="Q23" i="1"/>
  <c r="R23" i="1"/>
  <c r="N29" i="1"/>
  <c r="J29" i="1"/>
  <c r="T29" i="1"/>
  <c r="L29" i="1"/>
  <c r="M29" i="1"/>
  <c r="Q29" i="1"/>
  <c r="R29" i="1"/>
  <c r="I29" i="1"/>
  <c r="K29" i="1"/>
  <c r="S29" i="1"/>
  <c r="M44" i="1"/>
  <c r="K44" i="1"/>
  <c r="Q44" i="1"/>
  <c r="R44" i="1"/>
  <c r="S44" i="1"/>
  <c r="I44" i="1"/>
  <c r="T44" i="1"/>
  <c r="J44" i="1"/>
  <c r="L44" i="1"/>
  <c r="N44" i="1"/>
  <c r="M76" i="1"/>
  <c r="Q76" i="1"/>
  <c r="I76" i="1"/>
  <c r="N76" i="1"/>
  <c r="R76" i="1"/>
  <c r="L76" i="1"/>
  <c r="T76" i="1"/>
  <c r="S76" i="1"/>
  <c r="K76" i="1"/>
  <c r="J76" i="1"/>
  <c r="J17" i="1"/>
  <c r="Q17" i="1"/>
  <c r="I17" i="1"/>
  <c r="N17" i="1"/>
  <c r="M17" i="1"/>
  <c r="S17" i="1"/>
  <c r="R17" i="1"/>
  <c r="K17" i="1"/>
  <c r="T17" i="1"/>
  <c r="L17" i="1"/>
  <c r="N38" i="1"/>
  <c r="M38" i="1"/>
  <c r="Q38" i="1"/>
  <c r="R38" i="1"/>
  <c r="I38" i="1"/>
  <c r="S38" i="1"/>
  <c r="J38" i="1"/>
  <c r="T38" i="1"/>
  <c r="K38" i="1"/>
  <c r="L38" i="1"/>
  <c r="Q92" i="1"/>
  <c r="T92" i="1"/>
  <c r="I92" i="1"/>
  <c r="J92" i="1"/>
  <c r="S92" i="1"/>
  <c r="N92" i="1"/>
  <c r="R92" i="1"/>
  <c r="M92" i="1"/>
  <c r="L92" i="1"/>
  <c r="K92" i="1"/>
  <c r="M33" i="1"/>
  <c r="Q33" i="1"/>
  <c r="J33" i="1"/>
  <c r="R33" i="1"/>
  <c r="K33" i="1"/>
  <c r="S33" i="1"/>
  <c r="T33" i="1"/>
  <c r="L33" i="1"/>
  <c r="N33" i="1"/>
  <c r="I33" i="1"/>
  <c r="M635" i="1"/>
  <c r="T635" i="1"/>
  <c r="I635" i="1"/>
  <c r="K635" i="1"/>
  <c r="L635" i="1"/>
  <c r="N635" i="1"/>
  <c r="Q635" i="1"/>
  <c r="S635" i="1"/>
  <c r="R635" i="1"/>
  <c r="J635" i="1"/>
  <c r="J496" i="1"/>
  <c r="S496" i="1"/>
  <c r="K496" i="1"/>
  <c r="T496" i="1"/>
  <c r="L496" i="1"/>
  <c r="M496" i="1"/>
  <c r="N496" i="1"/>
  <c r="Q496" i="1"/>
  <c r="R496" i="1"/>
  <c r="I496" i="1"/>
  <c r="M656" i="1"/>
  <c r="N656" i="1"/>
  <c r="Q656" i="1"/>
  <c r="I656" i="1"/>
  <c r="R656" i="1"/>
  <c r="K656" i="1"/>
  <c r="T656" i="1"/>
  <c r="J656" i="1"/>
  <c r="L656" i="1"/>
  <c r="S656" i="1"/>
  <c r="M455" i="1"/>
  <c r="K455" i="1"/>
  <c r="L455" i="1"/>
  <c r="T455" i="1"/>
  <c r="Q455" i="1"/>
  <c r="I455" i="1"/>
  <c r="J455" i="1"/>
  <c r="R455" i="1"/>
  <c r="N455" i="1"/>
  <c r="S455" i="1"/>
  <c r="I457" i="1"/>
  <c r="Q457" i="1"/>
  <c r="J457" i="1"/>
  <c r="K457" i="1"/>
  <c r="S457" i="1"/>
  <c r="T457" i="1"/>
  <c r="N457" i="1"/>
  <c r="L457" i="1"/>
  <c r="R457" i="1"/>
  <c r="M457" i="1"/>
  <c r="J284" i="1"/>
  <c r="L284" i="1"/>
  <c r="S284" i="1"/>
  <c r="T284" i="1"/>
  <c r="K284" i="1"/>
  <c r="I284" i="1"/>
  <c r="Q284" i="1"/>
  <c r="R284" i="1"/>
  <c r="M284" i="1"/>
  <c r="N284" i="1"/>
  <c r="Q484" i="1"/>
  <c r="I484" i="1"/>
  <c r="R484" i="1"/>
  <c r="J484" i="1"/>
  <c r="S484" i="1"/>
  <c r="K484" i="1"/>
  <c r="T484" i="1"/>
  <c r="M484" i="1"/>
  <c r="L484" i="1"/>
  <c r="N484" i="1"/>
  <c r="M351" i="1"/>
  <c r="N351" i="1"/>
  <c r="R351" i="1"/>
  <c r="T351" i="1"/>
  <c r="J351" i="1"/>
  <c r="I351" i="1"/>
  <c r="L351" i="1"/>
  <c r="Q351" i="1"/>
  <c r="K351" i="1"/>
  <c r="S351" i="1"/>
  <c r="K379" i="1"/>
  <c r="I379" i="1"/>
  <c r="J379" i="1"/>
  <c r="M379" i="1"/>
  <c r="R379" i="1"/>
  <c r="Q379" i="1"/>
  <c r="S379" i="1"/>
  <c r="L379" i="1"/>
  <c r="T379" i="1"/>
  <c r="N379" i="1"/>
  <c r="K57" i="1"/>
  <c r="T57" i="1"/>
  <c r="M57" i="1"/>
  <c r="N57" i="1"/>
  <c r="Q57" i="1"/>
  <c r="I57" i="1"/>
  <c r="R57" i="1"/>
  <c r="J57" i="1"/>
  <c r="L57" i="1"/>
  <c r="S57" i="1"/>
  <c r="M583" i="1"/>
  <c r="N583" i="1"/>
  <c r="R583" i="1"/>
  <c r="J583" i="1"/>
  <c r="Q583" i="1"/>
  <c r="I583" i="1"/>
  <c r="S583" i="1"/>
  <c r="T583" i="1"/>
  <c r="K583" i="1"/>
  <c r="L583" i="1"/>
  <c r="I543" i="1"/>
  <c r="R543" i="1"/>
  <c r="L543" i="1"/>
  <c r="N543" i="1"/>
  <c r="Q543" i="1"/>
  <c r="M543" i="1"/>
  <c r="T543" i="1"/>
  <c r="K543" i="1"/>
  <c r="S543" i="1"/>
  <c r="J543" i="1"/>
  <c r="S539" i="1"/>
  <c r="T539" i="1"/>
  <c r="M539" i="1"/>
  <c r="J539" i="1"/>
  <c r="R539" i="1"/>
  <c r="Q539" i="1"/>
  <c r="N539" i="1"/>
  <c r="I539" i="1"/>
  <c r="K539" i="1"/>
  <c r="L539" i="1"/>
  <c r="L678" i="1"/>
  <c r="N678" i="1"/>
  <c r="T678" i="1"/>
  <c r="I678" i="1"/>
  <c r="K678" i="1"/>
  <c r="Q678" i="1"/>
  <c r="S678" i="1"/>
  <c r="J678" i="1"/>
  <c r="R678" i="1"/>
  <c r="M678" i="1"/>
  <c r="N683" i="1"/>
  <c r="J683" i="1"/>
  <c r="L683" i="1"/>
  <c r="M683" i="1"/>
  <c r="R683" i="1"/>
  <c r="T683" i="1"/>
  <c r="Q683" i="1"/>
  <c r="S683" i="1"/>
  <c r="I683" i="1"/>
  <c r="K683" i="1"/>
  <c r="N692" i="1"/>
  <c r="M692" i="1"/>
  <c r="J692" i="1"/>
  <c r="L692" i="1"/>
  <c r="T692" i="1"/>
  <c r="R692" i="1"/>
  <c r="I692" i="1"/>
  <c r="S692" i="1"/>
  <c r="Q692" i="1"/>
  <c r="K692" i="1"/>
  <c r="J593" i="1"/>
  <c r="I593" i="1"/>
  <c r="Q593" i="1"/>
  <c r="S593" i="1"/>
  <c r="K593" i="1"/>
  <c r="M593" i="1"/>
  <c r="T593" i="1"/>
  <c r="L593" i="1"/>
  <c r="N593" i="1"/>
  <c r="R593" i="1"/>
  <c r="L693" i="1"/>
  <c r="Q693" i="1"/>
  <c r="R693" i="1"/>
  <c r="S693" i="1"/>
  <c r="M693" i="1"/>
  <c r="I693" i="1"/>
  <c r="J693" i="1"/>
  <c r="K693" i="1"/>
  <c r="N693" i="1"/>
  <c r="T693" i="1"/>
  <c r="L677" i="1"/>
  <c r="Q677" i="1"/>
  <c r="R677" i="1"/>
  <c r="I677" i="1"/>
  <c r="S677" i="1"/>
  <c r="J677" i="1"/>
  <c r="M677" i="1"/>
  <c r="K677" i="1"/>
  <c r="N677" i="1"/>
  <c r="T677" i="1"/>
  <c r="L637" i="1"/>
  <c r="I637" i="1"/>
  <c r="S637" i="1"/>
  <c r="J637" i="1"/>
  <c r="K637" i="1"/>
  <c r="M637" i="1"/>
  <c r="N637" i="1"/>
  <c r="Q637" i="1"/>
  <c r="R637" i="1"/>
  <c r="T637" i="1"/>
  <c r="L581" i="1"/>
  <c r="I581" i="1"/>
  <c r="S581" i="1"/>
  <c r="J581" i="1"/>
  <c r="K581" i="1"/>
  <c r="M581" i="1"/>
  <c r="N581" i="1"/>
  <c r="Q581" i="1"/>
  <c r="R581" i="1"/>
  <c r="T581" i="1"/>
  <c r="J404" i="1"/>
  <c r="S404" i="1"/>
  <c r="K404" i="1"/>
  <c r="T404" i="1"/>
  <c r="L404" i="1"/>
  <c r="M404" i="1"/>
  <c r="N404" i="1"/>
  <c r="Q404" i="1"/>
  <c r="R404" i="1"/>
  <c r="I404" i="1"/>
  <c r="L610" i="1"/>
  <c r="M610" i="1"/>
  <c r="R610" i="1"/>
  <c r="S610" i="1"/>
  <c r="J610" i="1"/>
  <c r="K610" i="1"/>
  <c r="N610" i="1"/>
  <c r="T610" i="1"/>
  <c r="Q610" i="1"/>
  <c r="I610" i="1"/>
  <c r="M514" i="1"/>
  <c r="J514" i="1"/>
  <c r="L514" i="1"/>
  <c r="Q514" i="1"/>
  <c r="R514" i="1"/>
  <c r="T514" i="1"/>
  <c r="I514" i="1"/>
  <c r="S514" i="1"/>
  <c r="N514" i="1"/>
  <c r="K514" i="1"/>
  <c r="T654" i="1"/>
  <c r="I654" i="1"/>
  <c r="N654" i="1"/>
  <c r="L654" i="1"/>
  <c r="Q654" i="1"/>
  <c r="K654" i="1"/>
  <c r="M654" i="1"/>
  <c r="J654" i="1"/>
  <c r="S654" i="1"/>
  <c r="R654" i="1"/>
  <c r="T590" i="1"/>
  <c r="I590" i="1"/>
  <c r="N590" i="1"/>
  <c r="Q590" i="1"/>
  <c r="L590" i="1"/>
  <c r="K590" i="1"/>
  <c r="M590" i="1"/>
  <c r="J590" i="1"/>
  <c r="S590" i="1"/>
  <c r="R590" i="1"/>
  <c r="M447" i="1"/>
  <c r="K447" i="1"/>
  <c r="S447" i="1"/>
  <c r="L447" i="1"/>
  <c r="T447" i="1"/>
  <c r="I447" i="1"/>
  <c r="N447" i="1"/>
  <c r="J447" i="1"/>
  <c r="Q447" i="1"/>
  <c r="R447" i="1"/>
  <c r="L605" i="1"/>
  <c r="N605" i="1"/>
  <c r="Q605" i="1"/>
  <c r="R605" i="1"/>
  <c r="I605" i="1"/>
  <c r="S605" i="1"/>
  <c r="K605" i="1"/>
  <c r="J605" i="1"/>
  <c r="M605" i="1"/>
  <c r="T605" i="1"/>
  <c r="M535" i="1"/>
  <c r="N535" i="1"/>
  <c r="K535" i="1"/>
  <c r="L535" i="1"/>
  <c r="J535" i="1"/>
  <c r="S535" i="1"/>
  <c r="I535" i="1"/>
  <c r="R535" i="1"/>
  <c r="Q535" i="1"/>
  <c r="T535" i="1"/>
  <c r="M651" i="1"/>
  <c r="Q651" i="1"/>
  <c r="S651" i="1"/>
  <c r="T651" i="1"/>
  <c r="I651" i="1"/>
  <c r="K651" i="1"/>
  <c r="N651" i="1"/>
  <c r="L651" i="1"/>
  <c r="R651" i="1"/>
  <c r="J651" i="1"/>
  <c r="M587" i="1"/>
  <c r="Q587" i="1"/>
  <c r="S587" i="1"/>
  <c r="T587" i="1"/>
  <c r="I587" i="1"/>
  <c r="K587" i="1"/>
  <c r="N587" i="1"/>
  <c r="L587" i="1"/>
  <c r="R587" i="1"/>
  <c r="J587" i="1"/>
  <c r="N568" i="1"/>
  <c r="Q568" i="1"/>
  <c r="I568" i="1"/>
  <c r="R568" i="1"/>
  <c r="J568" i="1"/>
  <c r="S568" i="1"/>
  <c r="L568" i="1"/>
  <c r="M568" i="1"/>
  <c r="K568" i="1"/>
  <c r="T568" i="1"/>
  <c r="N536" i="1"/>
  <c r="S536" i="1"/>
  <c r="I536" i="1"/>
  <c r="L536" i="1"/>
  <c r="M536" i="1"/>
  <c r="T536" i="1"/>
  <c r="R536" i="1"/>
  <c r="J536" i="1"/>
  <c r="K536" i="1"/>
  <c r="Q536" i="1"/>
  <c r="L642" i="1"/>
  <c r="J642" i="1"/>
  <c r="K642" i="1"/>
  <c r="M642" i="1"/>
  <c r="R642" i="1"/>
  <c r="S642" i="1"/>
  <c r="I642" i="1"/>
  <c r="N642" i="1"/>
  <c r="T642" i="1"/>
  <c r="Q642" i="1"/>
  <c r="Q542" i="1"/>
  <c r="I542" i="1"/>
  <c r="R542" i="1"/>
  <c r="J542" i="1"/>
  <c r="S542" i="1"/>
  <c r="K542" i="1"/>
  <c r="T542" i="1"/>
  <c r="M542" i="1"/>
  <c r="N542" i="1"/>
  <c r="L542" i="1"/>
  <c r="J531" i="1"/>
  <c r="T531" i="1"/>
  <c r="K531" i="1"/>
  <c r="S531" i="1"/>
  <c r="R531" i="1"/>
  <c r="L531" i="1"/>
  <c r="M531" i="1"/>
  <c r="I531" i="1"/>
  <c r="N531" i="1"/>
  <c r="Q531" i="1"/>
  <c r="K491" i="1"/>
  <c r="M491" i="1"/>
  <c r="N491" i="1"/>
  <c r="Q491" i="1"/>
  <c r="I491" i="1"/>
  <c r="T491" i="1"/>
  <c r="R491" i="1"/>
  <c r="J491" i="1"/>
  <c r="L491" i="1"/>
  <c r="S491" i="1"/>
  <c r="M431" i="1"/>
  <c r="R431" i="1"/>
  <c r="I431" i="1"/>
  <c r="J431" i="1"/>
  <c r="N431" i="1"/>
  <c r="T431" i="1"/>
  <c r="K431" i="1"/>
  <c r="L431" i="1"/>
  <c r="Q431" i="1"/>
  <c r="S431" i="1"/>
  <c r="L518" i="1"/>
  <c r="N518" i="1"/>
  <c r="I518" i="1"/>
  <c r="R518" i="1"/>
  <c r="K518" i="1"/>
  <c r="M518" i="1"/>
  <c r="Q518" i="1"/>
  <c r="S518" i="1"/>
  <c r="T518" i="1"/>
  <c r="J518" i="1"/>
  <c r="K437" i="1"/>
  <c r="T437" i="1"/>
  <c r="L437" i="1"/>
  <c r="M437" i="1"/>
  <c r="N437" i="1"/>
  <c r="I437" i="1"/>
  <c r="R437" i="1"/>
  <c r="J437" i="1"/>
  <c r="Q437" i="1"/>
  <c r="S437" i="1"/>
  <c r="L291" i="1"/>
  <c r="J291" i="1"/>
  <c r="K291" i="1"/>
  <c r="M291" i="1"/>
  <c r="N291" i="1"/>
  <c r="R291" i="1"/>
  <c r="Q291" i="1"/>
  <c r="I291" i="1"/>
  <c r="S291" i="1"/>
  <c r="T291" i="1"/>
  <c r="N503" i="1"/>
  <c r="S503" i="1"/>
  <c r="L503" i="1"/>
  <c r="K503" i="1"/>
  <c r="T503" i="1"/>
  <c r="M503" i="1"/>
  <c r="Q503" i="1"/>
  <c r="R503" i="1"/>
  <c r="I503" i="1"/>
  <c r="J503" i="1"/>
  <c r="M452" i="1"/>
  <c r="J452" i="1"/>
  <c r="R452" i="1"/>
  <c r="L452" i="1"/>
  <c r="T452" i="1"/>
  <c r="Q452" i="1"/>
  <c r="S452" i="1"/>
  <c r="N452" i="1"/>
  <c r="K452" i="1"/>
  <c r="I452" i="1"/>
  <c r="I417" i="1"/>
  <c r="T417" i="1"/>
  <c r="J417" i="1"/>
  <c r="Q417" i="1"/>
  <c r="N417" i="1"/>
  <c r="R417" i="1"/>
  <c r="L417" i="1"/>
  <c r="S417" i="1"/>
  <c r="M417" i="1"/>
  <c r="K417" i="1"/>
  <c r="Q350" i="1"/>
  <c r="I350" i="1"/>
  <c r="R350" i="1"/>
  <c r="J350" i="1"/>
  <c r="S350" i="1"/>
  <c r="K350" i="1"/>
  <c r="T350" i="1"/>
  <c r="L350" i="1"/>
  <c r="N350" i="1"/>
  <c r="M350" i="1"/>
  <c r="J243" i="1"/>
  <c r="M243" i="1"/>
  <c r="R243" i="1"/>
  <c r="N243" i="1"/>
  <c r="I243" i="1"/>
  <c r="K243" i="1"/>
  <c r="Q243" i="1"/>
  <c r="S243" i="1"/>
  <c r="L243" i="1"/>
  <c r="T243" i="1"/>
  <c r="I407" i="1"/>
  <c r="J407" i="1"/>
  <c r="Q407" i="1"/>
  <c r="R407" i="1"/>
  <c r="M407" i="1"/>
  <c r="T407" i="1"/>
  <c r="N407" i="1"/>
  <c r="S407" i="1"/>
  <c r="K407" i="1"/>
  <c r="L407" i="1"/>
  <c r="I248" i="1"/>
  <c r="K248" i="1"/>
  <c r="L248" i="1"/>
  <c r="M248" i="1"/>
  <c r="N248" i="1"/>
  <c r="S248" i="1"/>
  <c r="J248" i="1"/>
  <c r="R248" i="1"/>
  <c r="T248" i="1"/>
  <c r="Q248" i="1"/>
  <c r="S522" i="1"/>
  <c r="I522" i="1"/>
  <c r="T522" i="1"/>
  <c r="M522" i="1"/>
  <c r="N522" i="1"/>
  <c r="Q522" i="1"/>
  <c r="J522" i="1"/>
  <c r="R522" i="1"/>
  <c r="K522" i="1"/>
  <c r="L522" i="1"/>
  <c r="J486" i="1"/>
  <c r="I486" i="1"/>
  <c r="L486" i="1"/>
  <c r="T486" i="1"/>
  <c r="K486" i="1"/>
  <c r="R486" i="1"/>
  <c r="Q486" i="1"/>
  <c r="N486" i="1"/>
  <c r="S486" i="1"/>
  <c r="M486" i="1"/>
  <c r="R425" i="1"/>
  <c r="S425" i="1"/>
  <c r="I425" i="1"/>
  <c r="T425" i="1"/>
  <c r="J425" i="1"/>
  <c r="K425" i="1"/>
  <c r="N425" i="1"/>
  <c r="L425" i="1"/>
  <c r="Q425" i="1"/>
  <c r="M425" i="1"/>
  <c r="J159" i="1"/>
  <c r="S159" i="1"/>
  <c r="I159" i="1"/>
  <c r="T159" i="1"/>
  <c r="L159" i="1"/>
  <c r="K159" i="1"/>
  <c r="M159" i="1"/>
  <c r="N159" i="1"/>
  <c r="Q159" i="1"/>
  <c r="R159" i="1"/>
  <c r="M448" i="1"/>
  <c r="Q448" i="1"/>
  <c r="R448" i="1"/>
  <c r="I448" i="1"/>
  <c r="S448" i="1"/>
  <c r="J448" i="1"/>
  <c r="T448" i="1"/>
  <c r="K448" i="1"/>
  <c r="N448" i="1"/>
  <c r="L448" i="1"/>
  <c r="I409" i="1"/>
  <c r="J409" i="1"/>
  <c r="L409" i="1"/>
  <c r="R409" i="1"/>
  <c r="S409" i="1"/>
  <c r="N409" i="1"/>
  <c r="Q409" i="1"/>
  <c r="K409" i="1"/>
  <c r="T409" i="1"/>
  <c r="M409" i="1"/>
  <c r="T257" i="1"/>
  <c r="K257" i="1"/>
  <c r="L257" i="1"/>
  <c r="N257" i="1"/>
  <c r="J257" i="1"/>
  <c r="M257" i="1"/>
  <c r="Q257" i="1"/>
  <c r="I257" i="1"/>
  <c r="S257" i="1"/>
  <c r="R257" i="1"/>
  <c r="K333" i="1"/>
  <c r="L333" i="1"/>
  <c r="Q333" i="1"/>
  <c r="S333" i="1"/>
  <c r="I333" i="1"/>
  <c r="J333" i="1"/>
  <c r="R333" i="1"/>
  <c r="N333" i="1"/>
  <c r="T333" i="1"/>
  <c r="M333" i="1"/>
  <c r="M293" i="1"/>
  <c r="K293" i="1"/>
  <c r="S293" i="1"/>
  <c r="L293" i="1"/>
  <c r="T293" i="1"/>
  <c r="I293" i="1"/>
  <c r="N293" i="1"/>
  <c r="Q293" i="1"/>
  <c r="R293" i="1"/>
  <c r="J293" i="1"/>
  <c r="I231" i="1"/>
  <c r="K231" i="1"/>
  <c r="N231" i="1"/>
  <c r="S231" i="1"/>
  <c r="M231" i="1"/>
  <c r="T231" i="1"/>
  <c r="J231" i="1"/>
  <c r="Q231" i="1"/>
  <c r="L231" i="1"/>
  <c r="R231" i="1"/>
  <c r="I91" i="1"/>
  <c r="K91" i="1"/>
  <c r="L91" i="1"/>
  <c r="N91" i="1"/>
  <c r="Q91" i="1"/>
  <c r="T91" i="1"/>
  <c r="S91" i="1"/>
  <c r="R91" i="1"/>
  <c r="M91" i="1"/>
  <c r="J91" i="1"/>
  <c r="L315" i="1"/>
  <c r="K315" i="1"/>
  <c r="M315" i="1"/>
  <c r="N315" i="1"/>
  <c r="Q315" i="1"/>
  <c r="I315" i="1"/>
  <c r="S315" i="1"/>
  <c r="R315" i="1"/>
  <c r="J315" i="1"/>
  <c r="T315" i="1"/>
  <c r="L283" i="1"/>
  <c r="M283" i="1"/>
  <c r="N283" i="1"/>
  <c r="Q283" i="1"/>
  <c r="R283" i="1"/>
  <c r="J283" i="1"/>
  <c r="T283" i="1"/>
  <c r="I283" i="1"/>
  <c r="K283" i="1"/>
  <c r="S283" i="1"/>
  <c r="L382" i="1"/>
  <c r="M382" i="1"/>
  <c r="N382" i="1"/>
  <c r="Q382" i="1"/>
  <c r="J382" i="1"/>
  <c r="S382" i="1"/>
  <c r="I382" i="1"/>
  <c r="K382" i="1"/>
  <c r="R382" i="1"/>
  <c r="T382" i="1"/>
  <c r="L323" i="1"/>
  <c r="M323" i="1"/>
  <c r="N323" i="1"/>
  <c r="Q323" i="1"/>
  <c r="R323" i="1"/>
  <c r="J323" i="1"/>
  <c r="I323" i="1"/>
  <c r="S323" i="1"/>
  <c r="K323" i="1"/>
  <c r="T323" i="1"/>
  <c r="K262" i="1"/>
  <c r="M262" i="1"/>
  <c r="J262" i="1"/>
  <c r="R262" i="1"/>
  <c r="N262" i="1"/>
  <c r="I262" i="1"/>
  <c r="Q262" i="1"/>
  <c r="L262" i="1"/>
  <c r="T262" i="1"/>
  <c r="S262" i="1"/>
  <c r="I176" i="1"/>
  <c r="J176" i="1"/>
  <c r="M176" i="1"/>
  <c r="Q176" i="1"/>
  <c r="T176" i="1"/>
  <c r="N176" i="1"/>
  <c r="K176" i="1"/>
  <c r="S176" i="1"/>
  <c r="L176" i="1"/>
  <c r="R176" i="1"/>
  <c r="K271" i="1"/>
  <c r="M271" i="1"/>
  <c r="S271" i="1"/>
  <c r="N271" i="1"/>
  <c r="I271" i="1"/>
  <c r="Q271" i="1"/>
  <c r="R271" i="1"/>
  <c r="J271" i="1"/>
  <c r="L271" i="1"/>
  <c r="T271" i="1"/>
  <c r="Q393" i="1"/>
  <c r="R393" i="1"/>
  <c r="S393" i="1"/>
  <c r="I393" i="1"/>
  <c r="J393" i="1"/>
  <c r="N393" i="1"/>
  <c r="K393" i="1"/>
  <c r="T393" i="1"/>
  <c r="M393" i="1"/>
  <c r="L393" i="1"/>
  <c r="K358" i="1"/>
  <c r="T358" i="1"/>
  <c r="J358" i="1"/>
  <c r="M358" i="1"/>
  <c r="R358" i="1"/>
  <c r="S358" i="1"/>
  <c r="N358" i="1"/>
  <c r="L358" i="1"/>
  <c r="I358" i="1"/>
  <c r="Q358" i="1"/>
  <c r="N232" i="1"/>
  <c r="T232" i="1"/>
  <c r="L232" i="1"/>
  <c r="J232" i="1"/>
  <c r="I232" i="1"/>
  <c r="Q232" i="1"/>
  <c r="M232" i="1"/>
  <c r="K232" i="1"/>
  <c r="R232" i="1"/>
  <c r="S232" i="1"/>
  <c r="L368" i="1"/>
  <c r="I368" i="1"/>
  <c r="J368" i="1"/>
  <c r="N368" i="1"/>
  <c r="Q368" i="1"/>
  <c r="T368" i="1"/>
  <c r="R368" i="1"/>
  <c r="M368" i="1"/>
  <c r="K368" i="1"/>
  <c r="S368" i="1"/>
  <c r="L336" i="1"/>
  <c r="S336" i="1"/>
  <c r="J336" i="1"/>
  <c r="K336" i="1"/>
  <c r="M336" i="1"/>
  <c r="N336" i="1"/>
  <c r="R336" i="1"/>
  <c r="Q336" i="1"/>
  <c r="I336" i="1"/>
  <c r="T336" i="1"/>
  <c r="T241" i="1"/>
  <c r="I241" i="1"/>
  <c r="K241" i="1"/>
  <c r="L241" i="1"/>
  <c r="M241" i="1"/>
  <c r="Q241" i="1"/>
  <c r="N241" i="1"/>
  <c r="S241" i="1"/>
  <c r="R241" i="1"/>
  <c r="J241" i="1"/>
  <c r="M225" i="1"/>
  <c r="I225" i="1"/>
  <c r="S225" i="1"/>
  <c r="J225" i="1"/>
  <c r="T225" i="1"/>
  <c r="K225" i="1"/>
  <c r="L225" i="1"/>
  <c r="N225" i="1"/>
  <c r="Q225" i="1"/>
  <c r="R225" i="1"/>
  <c r="K126" i="1"/>
  <c r="L126" i="1"/>
  <c r="M126" i="1"/>
  <c r="N126" i="1"/>
  <c r="S126" i="1"/>
  <c r="Q126" i="1"/>
  <c r="T126" i="1"/>
  <c r="I126" i="1"/>
  <c r="J126" i="1"/>
  <c r="R126" i="1"/>
  <c r="L192" i="1"/>
  <c r="M192" i="1"/>
  <c r="Q192" i="1"/>
  <c r="S192" i="1"/>
  <c r="I192" i="1"/>
  <c r="T192" i="1"/>
  <c r="K192" i="1"/>
  <c r="N192" i="1"/>
  <c r="R192" i="1"/>
  <c r="J192" i="1"/>
  <c r="M205" i="1"/>
  <c r="L205" i="1"/>
  <c r="N205" i="1"/>
  <c r="Q205" i="1"/>
  <c r="R205" i="1"/>
  <c r="J205" i="1"/>
  <c r="T205" i="1"/>
  <c r="I205" i="1"/>
  <c r="K205" i="1"/>
  <c r="S205" i="1"/>
  <c r="S216" i="1"/>
  <c r="T216" i="1"/>
  <c r="K216" i="1"/>
  <c r="M216" i="1"/>
  <c r="I216" i="1"/>
  <c r="L216" i="1"/>
  <c r="Q216" i="1"/>
  <c r="N216" i="1"/>
  <c r="R216" i="1"/>
  <c r="J216" i="1"/>
  <c r="Q213" i="1"/>
  <c r="J213" i="1"/>
  <c r="S213" i="1"/>
  <c r="L213" i="1"/>
  <c r="K213" i="1"/>
  <c r="M213" i="1"/>
  <c r="N213" i="1"/>
  <c r="R213" i="1"/>
  <c r="T213" i="1"/>
  <c r="I213" i="1"/>
  <c r="J195" i="1"/>
  <c r="L195" i="1"/>
  <c r="N195" i="1"/>
  <c r="T195" i="1"/>
  <c r="R195" i="1"/>
  <c r="K195" i="1"/>
  <c r="I195" i="1"/>
  <c r="M195" i="1"/>
  <c r="S195" i="1"/>
  <c r="Q195" i="1"/>
  <c r="I157" i="1"/>
  <c r="R157" i="1"/>
  <c r="J157" i="1"/>
  <c r="L157" i="1"/>
  <c r="T157" i="1"/>
  <c r="S157" i="1"/>
  <c r="M157" i="1"/>
  <c r="Q157" i="1"/>
  <c r="N157" i="1"/>
  <c r="K157" i="1"/>
  <c r="J124" i="1"/>
  <c r="K124" i="1"/>
  <c r="L124" i="1"/>
  <c r="Q124" i="1"/>
  <c r="R124" i="1"/>
  <c r="T124" i="1"/>
  <c r="I124" i="1"/>
  <c r="M124" i="1"/>
  <c r="S124" i="1"/>
  <c r="N124" i="1"/>
  <c r="Q141" i="1"/>
  <c r="J141" i="1"/>
  <c r="I141" i="1"/>
  <c r="N141" i="1"/>
  <c r="K141" i="1"/>
  <c r="T141" i="1"/>
  <c r="S141" i="1"/>
  <c r="L141" i="1"/>
  <c r="M141" i="1"/>
  <c r="R141" i="1"/>
  <c r="Q82" i="1"/>
  <c r="J82" i="1"/>
  <c r="S82" i="1"/>
  <c r="K82" i="1"/>
  <c r="T82" i="1"/>
  <c r="L82" i="1"/>
  <c r="M82" i="1"/>
  <c r="N82" i="1"/>
  <c r="I82" i="1"/>
  <c r="R82" i="1"/>
  <c r="J119" i="1"/>
  <c r="T119" i="1"/>
  <c r="M119" i="1"/>
  <c r="L119" i="1"/>
  <c r="R119" i="1"/>
  <c r="N119" i="1"/>
  <c r="I119" i="1"/>
  <c r="Q119" i="1"/>
  <c r="K119" i="1"/>
  <c r="S119" i="1"/>
  <c r="T147" i="1"/>
  <c r="L147" i="1"/>
  <c r="M147" i="1"/>
  <c r="R147" i="1"/>
  <c r="Q147" i="1"/>
  <c r="S147" i="1"/>
  <c r="J147" i="1"/>
  <c r="K147" i="1"/>
  <c r="N147" i="1"/>
  <c r="I147" i="1"/>
  <c r="J142" i="1"/>
  <c r="M142" i="1"/>
  <c r="L142" i="1"/>
  <c r="R142" i="1"/>
  <c r="T142" i="1"/>
  <c r="S142" i="1"/>
  <c r="N142" i="1"/>
  <c r="Q142" i="1"/>
  <c r="K142" i="1"/>
  <c r="I142" i="1"/>
  <c r="N108" i="1"/>
  <c r="Q108" i="1"/>
  <c r="I108" i="1"/>
  <c r="R108" i="1"/>
  <c r="J108" i="1"/>
  <c r="S108" i="1"/>
  <c r="L108" i="1"/>
  <c r="K108" i="1"/>
  <c r="T108" i="1"/>
  <c r="M108" i="1"/>
  <c r="I110" i="1"/>
  <c r="R110" i="1"/>
  <c r="S110" i="1"/>
  <c r="J110" i="1"/>
  <c r="T110" i="1"/>
  <c r="K110" i="1"/>
  <c r="L110" i="1"/>
  <c r="N110" i="1"/>
  <c r="M110" i="1"/>
  <c r="Q110" i="1"/>
  <c r="J70" i="1"/>
  <c r="M70" i="1"/>
  <c r="N70" i="1"/>
  <c r="R70" i="1"/>
  <c r="S70" i="1"/>
  <c r="K70" i="1"/>
  <c r="Q70" i="1"/>
  <c r="L70" i="1"/>
  <c r="T70" i="1"/>
  <c r="I70" i="1"/>
  <c r="J9" i="1"/>
  <c r="I9" i="1"/>
  <c r="N9" i="1"/>
  <c r="Q9" i="1"/>
  <c r="M9" i="1"/>
  <c r="S9" i="1"/>
  <c r="T9" i="1"/>
  <c r="K9" i="1"/>
  <c r="L9" i="1"/>
  <c r="R9" i="1"/>
  <c r="M20" i="1"/>
  <c r="J20" i="1"/>
  <c r="K20" i="1"/>
  <c r="L20" i="1"/>
  <c r="Q20" i="1"/>
  <c r="R20" i="1"/>
  <c r="S20" i="1"/>
  <c r="I20" i="1"/>
  <c r="T20" i="1"/>
  <c r="N20" i="1"/>
  <c r="J34" i="1"/>
  <c r="I34" i="1"/>
  <c r="N34" i="1"/>
  <c r="Q34" i="1"/>
  <c r="S34" i="1"/>
  <c r="K34" i="1"/>
  <c r="M34" i="1"/>
  <c r="T34" i="1"/>
  <c r="L34" i="1"/>
  <c r="R34" i="1"/>
  <c r="L73" i="1"/>
  <c r="N73" i="1"/>
  <c r="Q73" i="1"/>
  <c r="I73" i="1"/>
  <c r="R73" i="1"/>
  <c r="J73" i="1"/>
  <c r="S73" i="1"/>
  <c r="T73" i="1"/>
  <c r="K73" i="1"/>
  <c r="M73" i="1"/>
  <c r="N13" i="1"/>
  <c r="L13" i="1"/>
  <c r="M13" i="1"/>
  <c r="Q13" i="1"/>
  <c r="R13" i="1"/>
  <c r="I13" i="1"/>
  <c r="S13" i="1"/>
  <c r="J13" i="1"/>
  <c r="T13" i="1"/>
  <c r="K13" i="1"/>
  <c r="J35" i="1"/>
  <c r="Q35" i="1"/>
  <c r="R35" i="1"/>
  <c r="I35" i="1"/>
  <c r="K35" i="1"/>
  <c r="S35" i="1"/>
  <c r="L35" i="1"/>
  <c r="N35" i="1"/>
  <c r="M35" i="1"/>
  <c r="T35" i="1"/>
  <c r="J74" i="1"/>
  <c r="T74" i="1"/>
  <c r="K74" i="1"/>
  <c r="L74" i="1"/>
  <c r="N74" i="1"/>
  <c r="Q74" i="1"/>
  <c r="R74" i="1"/>
  <c r="I74" i="1"/>
  <c r="S74" i="1"/>
  <c r="M74" i="1"/>
  <c r="J24" i="1"/>
  <c r="I24" i="1"/>
  <c r="N24" i="1"/>
  <c r="Q24" i="1"/>
  <c r="T24" i="1"/>
  <c r="L24" i="1"/>
  <c r="K24" i="1"/>
  <c r="M24" i="1"/>
  <c r="S24" i="1"/>
  <c r="R24" i="1"/>
  <c r="M663" i="1"/>
  <c r="N663" i="1"/>
  <c r="S663" i="1"/>
  <c r="Q663" i="1"/>
  <c r="K663" i="1"/>
  <c r="I663" i="1"/>
  <c r="T663" i="1"/>
  <c r="J663" i="1"/>
  <c r="L663" i="1"/>
  <c r="R663" i="1"/>
  <c r="N346" i="1"/>
  <c r="L346" i="1"/>
  <c r="M346" i="1"/>
  <c r="R346" i="1"/>
  <c r="T346" i="1"/>
  <c r="J346" i="1"/>
  <c r="Q346" i="1"/>
  <c r="I346" i="1"/>
  <c r="S346" i="1"/>
  <c r="K346" i="1"/>
  <c r="J51" i="1"/>
  <c r="N51" i="1"/>
  <c r="Q51" i="1"/>
  <c r="R51" i="1"/>
  <c r="I51" i="1"/>
  <c r="K51" i="1"/>
  <c r="M51" i="1"/>
  <c r="S51" i="1"/>
  <c r="T51" i="1"/>
  <c r="L51" i="1"/>
  <c r="M579" i="1"/>
  <c r="T579" i="1"/>
  <c r="I579" i="1"/>
  <c r="K579" i="1"/>
  <c r="L579" i="1"/>
  <c r="N579" i="1"/>
  <c r="Q579" i="1"/>
  <c r="S579" i="1"/>
  <c r="J579" i="1"/>
  <c r="R579" i="1"/>
  <c r="J439" i="1"/>
  <c r="M439" i="1"/>
  <c r="S439" i="1"/>
  <c r="L439" i="1"/>
  <c r="N439" i="1"/>
  <c r="I439" i="1"/>
  <c r="Q439" i="1"/>
  <c r="R439" i="1"/>
  <c r="K439" i="1"/>
  <c r="T439" i="1"/>
  <c r="M470" i="1"/>
  <c r="J470" i="1"/>
  <c r="S470" i="1"/>
  <c r="L470" i="1"/>
  <c r="T470" i="1"/>
  <c r="N470" i="1"/>
  <c r="Q470" i="1"/>
  <c r="R470" i="1"/>
  <c r="I470" i="1"/>
  <c r="K470" i="1"/>
  <c r="Q670" i="1"/>
  <c r="I670" i="1"/>
  <c r="N670" i="1"/>
  <c r="L670" i="1"/>
  <c r="T670" i="1"/>
  <c r="M670" i="1"/>
  <c r="S670" i="1"/>
  <c r="K670" i="1"/>
  <c r="J670" i="1"/>
  <c r="R670" i="1"/>
  <c r="N676" i="1"/>
  <c r="M676" i="1"/>
  <c r="J676" i="1"/>
  <c r="L676" i="1"/>
  <c r="R676" i="1"/>
  <c r="T676" i="1"/>
  <c r="K676" i="1"/>
  <c r="I676" i="1"/>
  <c r="Q676" i="1"/>
  <c r="S676" i="1"/>
  <c r="M675" i="1"/>
  <c r="N675" i="1"/>
  <c r="I675" i="1"/>
  <c r="S675" i="1"/>
  <c r="L675" i="1"/>
  <c r="T675" i="1"/>
  <c r="K675" i="1"/>
  <c r="Q675" i="1"/>
  <c r="R675" i="1"/>
  <c r="J675" i="1"/>
  <c r="M575" i="1"/>
  <c r="Q575" i="1"/>
  <c r="I575" i="1"/>
  <c r="N575" i="1"/>
  <c r="T575" i="1"/>
  <c r="S575" i="1"/>
  <c r="L575" i="1"/>
  <c r="K575" i="1"/>
  <c r="R575" i="1"/>
  <c r="J575" i="1"/>
  <c r="M691" i="1"/>
  <c r="S691" i="1"/>
  <c r="Q691" i="1"/>
  <c r="T691" i="1"/>
  <c r="I691" i="1"/>
  <c r="N691" i="1"/>
  <c r="K691" i="1"/>
  <c r="L691" i="1"/>
  <c r="R691" i="1"/>
  <c r="J691" i="1"/>
  <c r="L672" i="1"/>
  <c r="I672" i="1"/>
  <c r="R672" i="1"/>
  <c r="S672" i="1"/>
  <c r="T672" i="1"/>
  <c r="J672" i="1"/>
  <c r="N672" i="1"/>
  <c r="Q672" i="1"/>
  <c r="K672" i="1"/>
  <c r="M672" i="1"/>
  <c r="I631" i="1"/>
  <c r="R631" i="1"/>
  <c r="T631" i="1"/>
  <c r="J631" i="1"/>
  <c r="L631" i="1"/>
  <c r="S631" i="1"/>
  <c r="M631" i="1"/>
  <c r="K631" i="1"/>
  <c r="N631" i="1"/>
  <c r="Q631" i="1"/>
  <c r="J577" i="1"/>
  <c r="Q577" i="1"/>
  <c r="N577" i="1"/>
  <c r="M577" i="1"/>
  <c r="T577" i="1"/>
  <c r="R577" i="1"/>
  <c r="I577" i="1"/>
  <c r="L577" i="1"/>
  <c r="S577" i="1"/>
  <c r="K577" i="1"/>
  <c r="I266" i="1"/>
  <c r="N266" i="1"/>
  <c r="T266" i="1"/>
  <c r="R266" i="1"/>
  <c r="K266" i="1"/>
  <c r="S266" i="1"/>
  <c r="L266" i="1"/>
  <c r="Q266" i="1"/>
  <c r="J266" i="1"/>
  <c r="M266" i="1"/>
  <c r="K608" i="1"/>
  <c r="T608" i="1"/>
  <c r="L608" i="1"/>
  <c r="M608" i="1"/>
  <c r="N608" i="1"/>
  <c r="I608" i="1"/>
  <c r="R608" i="1"/>
  <c r="S608" i="1"/>
  <c r="J608" i="1"/>
  <c r="Q608" i="1"/>
  <c r="M479" i="1"/>
  <c r="J479" i="1"/>
  <c r="T479" i="1"/>
  <c r="K479" i="1"/>
  <c r="L479" i="1"/>
  <c r="N479" i="1"/>
  <c r="R479" i="1"/>
  <c r="Q479" i="1"/>
  <c r="I479" i="1"/>
  <c r="S479" i="1"/>
  <c r="M652" i="1"/>
  <c r="J652" i="1"/>
  <c r="R652" i="1"/>
  <c r="L652" i="1"/>
  <c r="T652" i="1"/>
  <c r="S652" i="1"/>
  <c r="K652" i="1"/>
  <c r="Q652" i="1"/>
  <c r="I652" i="1"/>
  <c r="N652" i="1"/>
  <c r="M588" i="1"/>
  <c r="J588" i="1"/>
  <c r="R588" i="1"/>
  <c r="L588" i="1"/>
  <c r="T588" i="1"/>
  <c r="S588" i="1"/>
  <c r="K588" i="1"/>
  <c r="Q588" i="1"/>
  <c r="I588" i="1"/>
  <c r="N588" i="1"/>
  <c r="K405" i="1"/>
  <c r="S405" i="1"/>
  <c r="T405" i="1"/>
  <c r="N405" i="1"/>
  <c r="M405" i="1"/>
  <c r="I405" i="1"/>
  <c r="Q405" i="1"/>
  <c r="R405" i="1"/>
  <c r="J405" i="1"/>
  <c r="L405" i="1"/>
  <c r="R599" i="1"/>
  <c r="M599" i="1"/>
  <c r="J599" i="1"/>
  <c r="N599" i="1"/>
  <c r="S599" i="1"/>
  <c r="Q599" i="1"/>
  <c r="K599" i="1"/>
  <c r="I599" i="1"/>
  <c r="T599" i="1"/>
  <c r="L599" i="1"/>
  <c r="K527" i="1"/>
  <c r="T527" i="1"/>
  <c r="M527" i="1"/>
  <c r="N527" i="1"/>
  <c r="Q527" i="1"/>
  <c r="S527" i="1"/>
  <c r="I527" i="1"/>
  <c r="J527" i="1"/>
  <c r="L527" i="1"/>
  <c r="R527" i="1"/>
  <c r="L650" i="1"/>
  <c r="S650" i="1"/>
  <c r="J650" i="1"/>
  <c r="K650" i="1"/>
  <c r="M650" i="1"/>
  <c r="R650" i="1"/>
  <c r="N650" i="1"/>
  <c r="Q650" i="1"/>
  <c r="T650" i="1"/>
  <c r="I650" i="1"/>
  <c r="L586" i="1"/>
  <c r="S586" i="1"/>
  <c r="J586" i="1"/>
  <c r="K586" i="1"/>
  <c r="R586" i="1"/>
  <c r="M586" i="1"/>
  <c r="N586" i="1"/>
  <c r="Q586" i="1"/>
  <c r="T586" i="1"/>
  <c r="I586" i="1"/>
  <c r="I566" i="1"/>
  <c r="L566" i="1"/>
  <c r="N566" i="1"/>
  <c r="T566" i="1"/>
  <c r="Q566" i="1"/>
  <c r="S566" i="1"/>
  <c r="J566" i="1"/>
  <c r="K566" i="1"/>
  <c r="M566" i="1"/>
  <c r="R566" i="1"/>
  <c r="M498" i="1"/>
  <c r="R498" i="1"/>
  <c r="I498" i="1"/>
  <c r="S498" i="1"/>
  <c r="J498" i="1"/>
  <c r="T498" i="1"/>
  <c r="K498" i="1"/>
  <c r="L498" i="1"/>
  <c r="N498" i="1"/>
  <c r="Q498" i="1"/>
  <c r="Q640" i="1"/>
  <c r="I640" i="1"/>
  <c r="R640" i="1"/>
  <c r="J640" i="1"/>
  <c r="S640" i="1"/>
  <c r="K640" i="1"/>
  <c r="T640" i="1"/>
  <c r="M640" i="1"/>
  <c r="N640" i="1"/>
  <c r="L640" i="1"/>
  <c r="I541" i="1"/>
  <c r="Q541" i="1"/>
  <c r="R541" i="1"/>
  <c r="N541" i="1"/>
  <c r="K541" i="1"/>
  <c r="S541" i="1"/>
  <c r="J541" i="1"/>
  <c r="T541" i="1"/>
  <c r="L541" i="1"/>
  <c r="M541" i="1"/>
  <c r="L524" i="1"/>
  <c r="J524" i="1"/>
  <c r="M524" i="1"/>
  <c r="N524" i="1"/>
  <c r="Q524" i="1"/>
  <c r="I524" i="1"/>
  <c r="K524" i="1"/>
  <c r="R524" i="1"/>
  <c r="S524" i="1"/>
  <c r="T524" i="1"/>
  <c r="M488" i="1"/>
  <c r="I488" i="1"/>
  <c r="S488" i="1"/>
  <c r="J488" i="1"/>
  <c r="T488" i="1"/>
  <c r="K488" i="1"/>
  <c r="L488" i="1"/>
  <c r="N488" i="1"/>
  <c r="Q488" i="1"/>
  <c r="R488" i="1"/>
  <c r="J429" i="1"/>
  <c r="K429" i="1"/>
  <c r="L429" i="1"/>
  <c r="M429" i="1"/>
  <c r="S429" i="1"/>
  <c r="R429" i="1"/>
  <c r="T429" i="1"/>
  <c r="I429" i="1"/>
  <c r="N429" i="1"/>
  <c r="Q429" i="1"/>
  <c r="M504" i="1"/>
  <c r="Q504" i="1"/>
  <c r="S504" i="1"/>
  <c r="J504" i="1"/>
  <c r="L504" i="1"/>
  <c r="R504" i="1"/>
  <c r="N504" i="1"/>
  <c r="K504" i="1"/>
  <c r="T504" i="1"/>
  <c r="I504" i="1"/>
  <c r="L423" i="1"/>
  <c r="M423" i="1"/>
  <c r="Q423" i="1"/>
  <c r="R423" i="1"/>
  <c r="I423" i="1"/>
  <c r="J423" i="1"/>
  <c r="T423" i="1"/>
  <c r="K423" i="1"/>
  <c r="N423" i="1"/>
  <c r="S423" i="1"/>
  <c r="K277" i="1"/>
  <c r="L277" i="1"/>
  <c r="M277" i="1"/>
  <c r="N277" i="1"/>
  <c r="S277" i="1"/>
  <c r="Q277" i="1"/>
  <c r="I277" i="1"/>
  <c r="T277" i="1"/>
  <c r="J277" i="1"/>
  <c r="R277" i="1"/>
  <c r="M495" i="1"/>
  <c r="Q495" i="1"/>
  <c r="R495" i="1"/>
  <c r="S495" i="1"/>
  <c r="I495" i="1"/>
  <c r="T495" i="1"/>
  <c r="K495" i="1"/>
  <c r="J495" i="1"/>
  <c r="L495" i="1"/>
  <c r="N495" i="1"/>
  <c r="M451" i="1"/>
  <c r="Q451" i="1"/>
  <c r="S451" i="1"/>
  <c r="T451" i="1"/>
  <c r="I451" i="1"/>
  <c r="L451" i="1"/>
  <c r="K451" i="1"/>
  <c r="N451" i="1"/>
  <c r="R451" i="1"/>
  <c r="J451" i="1"/>
  <c r="R413" i="1"/>
  <c r="L413" i="1"/>
  <c r="T413" i="1"/>
  <c r="K413" i="1"/>
  <c r="Q413" i="1"/>
  <c r="N413" i="1"/>
  <c r="M413" i="1"/>
  <c r="S413" i="1"/>
  <c r="I413" i="1"/>
  <c r="J413" i="1"/>
  <c r="L341" i="1"/>
  <c r="T341" i="1"/>
  <c r="N341" i="1"/>
  <c r="I341" i="1"/>
  <c r="K341" i="1"/>
  <c r="J341" i="1"/>
  <c r="M341" i="1"/>
  <c r="S341" i="1"/>
  <c r="Q341" i="1"/>
  <c r="R341" i="1"/>
  <c r="R113" i="1"/>
  <c r="T113" i="1"/>
  <c r="M113" i="1"/>
  <c r="I113" i="1"/>
  <c r="J113" i="1"/>
  <c r="S113" i="1"/>
  <c r="Q113" i="1"/>
  <c r="L113" i="1"/>
  <c r="K113" i="1"/>
  <c r="N113" i="1"/>
  <c r="J406" i="1"/>
  <c r="Q406" i="1"/>
  <c r="T406" i="1"/>
  <c r="I406" i="1"/>
  <c r="N406" i="1"/>
  <c r="L406" i="1"/>
  <c r="S406" i="1"/>
  <c r="R406" i="1"/>
  <c r="M406" i="1"/>
  <c r="K406" i="1"/>
  <c r="N238" i="1"/>
  <c r="T238" i="1"/>
  <c r="M238" i="1"/>
  <c r="R238" i="1"/>
  <c r="J238" i="1"/>
  <c r="L238" i="1"/>
  <c r="S238" i="1"/>
  <c r="K238" i="1"/>
  <c r="Q238" i="1"/>
  <c r="I238" i="1"/>
  <c r="I519" i="1"/>
  <c r="Q519" i="1"/>
  <c r="N519" i="1"/>
  <c r="M519" i="1"/>
  <c r="J519" i="1"/>
  <c r="R519" i="1"/>
  <c r="K519" i="1"/>
  <c r="S519" i="1"/>
  <c r="L519" i="1"/>
  <c r="T519" i="1"/>
  <c r="Q474" i="1"/>
  <c r="T474" i="1"/>
  <c r="I474" i="1"/>
  <c r="J474" i="1"/>
  <c r="L474" i="1"/>
  <c r="K474" i="1"/>
  <c r="M474" i="1"/>
  <c r="S474" i="1"/>
  <c r="R474" i="1"/>
  <c r="N474" i="1"/>
  <c r="J418" i="1"/>
  <c r="L418" i="1"/>
  <c r="M418" i="1"/>
  <c r="R418" i="1"/>
  <c r="T418" i="1"/>
  <c r="I418" i="1"/>
  <c r="K418" i="1"/>
  <c r="S418" i="1"/>
  <c r="N418" i="1"/>
  <c r="Q418" i="1"/>
  <c r="I512" i="1"/>
  <c r="S512" i="1"/>
  <c r="L512" i="1"/>
  <c r="T512" i="1"/>
  <c r="M512" i="1"/>
  <c r="N512" i="1"/>
  <c r="R512" i="1"/>
  <c r="Q512" i="1"/>
  <c r="J512" i="1"/>
  <c r="K512" i="1"/>
  <c r="J445" i="1"/>
  <c r="S445" i="1"/>
  <c r="I445" i="1"/>
  <c r="K445" i="1"/>
  <c r="M445" i="1"/>
  <c r="N445" i="1"/>
  <c r="Q445" i="1"/>
  <c r="T445" i="1"/>
  <c r="L445" i="1"/>
  <c r="R445" i="1"/>
  <c r="J373" i="1"/>
  <c r="S373" i="1"/>
  <c r="K373" i="1"/>
  <c r="T373" i="1"/>
  <c r="L373" i="1"/>
  <c r="M373" i="1"/>
  <c r="N373" i="1"/>
  <c r="Q373" i="1"/>
  <c r="I373" i="1"/>
  <c r="R373" i="1"/>
  <c r="M212" i="1"/>
  <c r="J212" i="1"/>
  <c r="R212" i="1"/>
  <c r="K212" i="1"/>
  <c r="L212" i="1"/>
  <c r="I212" i="1"/>
  <c r="Q212" i="1"/>
  <c r="S212" i="1"/>
  <c r="T212" i="1"/>
  <c r="N212" i="1"/>
  <c r="L324" i="1"/>
  <c r="N324" i="1"/>
  <c r="R324" i="1"/>
  <c r="T324" i="1"/>
  <c r="J324" i="1"/>
  <c r="M324" i="1"/>
  <c r="S324" i="1"/>
  <c r="K324" i="1"/>
  <c r="I324" i="1"/>
  <c r="Q324" i="1"/>
  <c r="I282" i="1"/>
  <c r="R282" i="1"/>
  <c r="J282" i="1"/>
  <c r="S282" i="1"/>
  <c r="K282" i="1"/>
  <c r="T282" i="1"/>
  <c r="L282" i="1"/>
  <c r="M282" i="1"/>
  <c r="N282" i="1"/>
  <c r="Q282" i="1"/>
  <c r="L219" i="1"/>
  <c r="N219" i="1"/>
  <c r="T219" i="1"/>
  <c r="S219" i="1"/>
  <c r="R219" i="1"/>
  <c r="Q219" i="1"/>
  <c r="I219" i="1"/>
  <c r="M219" i="1"/>
  <c r="K219" i="1"/>
  <c r="J219" i="1"/>
  <c r="I391" i="1"/>
  <c r="M391" i="1"/>
  <c r="N391" i="1"/>
  <c r="Q391" i="1"/>
  <c r="T391" i="1"/>
  <c r="K391" i="1"/>
  <c r="L391" i="1"/>
  <c r="R391" i="1"/>
  <c r="S391" i="1"/>
  <c r="J391" i="1"/>
  <c r="N314" i="1"/>
  <c r="M314" i="1"/>
  <c r="R314" i="1"/>
  <c r="T314" i="1"/>
  <c r="J314" i="1"/>
  <c r="L314" i="1"/>
  <c r="S314" i="1"/>
  <c r="Q314" i="1"/>
  <c r="I314" i="1"/>
  <c r="K314" i="1"/>
  <c r="N270" i="1"/>
  <c r="R270" i="1"/>
  <c r="T270" i="1"/>
  <c r="L270" i="1"/>
  <c r="J270" i="1"/>
  <c r="M270" i="1"/>
  <c r="I270" i="1"/>
  <c r="Q270" i="1"/>
  <c r="K270" i="1"/>
  <c r="S270" i="1"/>
  <c r="N374" i="1"/>
  <c r="Q374" i="1"/>
  <c r="R374" i="1"/>
  <c r="S374" i="1"/>
  <c r="I374" i="1"/>
  <c r="T374" i="1"/>
  <c r="K374" i="1"/>
  <c r="J374" i="1"/>
  <c r="L374" i="1"/>
  <c r="M374" i="1"/>
  <c r="N322" i="1"/>
  <c r="R322" i="1"/>
  <c r="T322" i="1"/>
  <c r="L322" i="1"/>
  <c r="J322" i="1"/>
  <c r="M322" i="1"/>
  <c r="Q322" i="1"/>
  <c r="I322" i="1"/>
  <c r="S322" i="1"/>
  <c r="K322" i="1"/>
  <c r="N261" i="1"/>
  <c r="Q261" i="1"/>
  <c r="S261" i="1"/>
  <c r="T261" i="1"/>
  <c r="I261" i="1"/>
  <c r="L261" i="1"/>
  <c r="K261" i="1"/>
  <c r="M261" i="1"/>
  <c r="R261" i="1"/>
  <c r="J261" i="1"/>
  <c r="N369" i="1"/>
  <c r="Q369" i="1"/>
  <c r="R369" i="1"/>
  <c r="I369" i="1"/>
  <c r="T369" i="1"/>
  <c r="L369" i="1"/>
  <c r="J369" i="1"/>
  <c r="M369" i="1"/>
  <c r="S369" i="1"/>
  <c r="K369" i="1"/>
  <c r="M264" i="1"/>
  <c r="N264" i="1"/>
  <c r="Q264" i="1"/>
  <c r="I264" i="1"/>
  <c r="R264" i="1"/>
  <c r="K264" i="1"/>
  <c r="T264" i="1"/>
  <c r="J264" i="1"/>
  <c r="L264" i="1"/>
  <c r="S264" i="1"/>
  <c r="N388" i="1"/>
  <c r="Q388" i="1"/>
  <c r="I388" i="1"/>
  <c r="R388" i="1"/>
  <c r="J388" i="1"/>
  <c r="S388" i="1"/>
  <c r="L388" i="1"/>
  <c r="T388" i="1"/>
  <c r="K388" i="1"/>
  <c r="M388" i="1"/>
  <c r="I354" i="1"/>
  <c r="Q354" i="1"/>
  <c r="T354" i="1"/>
  <c r="J354" i="1"/>
  <c r="N354" i="1"/>
  <c r="R354" i="1"/>
  <c r="M354" i="1"/>
  <c r="S354" i="1"/>
  <c r="K354" i="1"/>
  <c r="L354" i="1"/>
  <c r="Q180" i="1"/>
  <c r="I180" i="1"/>
  <c r="R180" i="1"/>
  <c r="J180" i="1"/>
  <c r="S180" i="1"/>
  <c r="K180" i="1"/>
  <c r="T180" i="1"/>
  <c r="L180" i="1"/>
  <c r="N180" i="1"/>
  <c r="M180" i="1"/>
  <c r="S364" i="1"/>
  <c r="I364" i="1"/>
  <c r="T364" i="1"/>
  <c r="J364" i="1"/>
  <c r="K364" i="1"/>
  <c r="L364" i="1"/>
  <c r="Q364" i="1"/>
  <c r="N364" i="1"/>
  <c r="R364" i="1"/>
  <c r="M364" i="1"/>
  <c r="Q334" i="1"/>
  <c r="I334" i="1"/>
  <c r="R334" i="1"/>
  <c r="J334" i="1"/>
  <c r="S334" i="1"/>
  <c r="K334" i="1"/>
  <c r="T334" i="1"/>
  <c r="M334" i="1"/>
  <c r="L334" i="1"/>
  <c r="N334" i="1"/>
  <c r="L83" i="1"/>
  <c r="M83" i="1"/>
  <c r="N83" i="1"/>
  <c r="S83" i="1"/>
  <c r="K83" i="1"/>
  <c r="T83" i="1"/>
  <c r="Q83" i="1"/>
  <c r="I83" i="1"/>
  <c r="J83" i="1"/>
  <c r="R83" i="1"/>
  <c r="I193" i="1"/>
  <c r="R193" i="1"/>
  <c r="J193" i="1"/>
  <c r="S193" i="1"/>
  <c r="K193" i="1"/>
  <c r="T193" i="1"/>
  <c r="L193" i="1"/>
  <c r="M193" i="1"/>
  <c r="N193" i="1"/>
  <c r="Q193" i="1"/>
  <c r="N31" i="1"/>
  <c r="Q31" i="1"/>
  <c r="I31" i="1"/>
  <c r="R31" i="1"/>
  <c r="J31" i="1"/>
  <c r="S31" i="1"/>
  <c r="K31" i="1"/>
  <c r="T31" i="1"/>
  <c r="L31" i="1"/>
  <c r="M31" i="1"/>
  <c r="R187" i="1"/>
  <c r="L187" i="1"/>
  <c r="K187" i="1"/>
  <c r="T187" i="1"/>
  <c r="M187" i="1"/>
  <c r="N187" i="1"/>
  <c r="J187" i="1"/>
  <c r="S187" i="1"/>
  <c r="Q187" i="1"/>
  <c r="I187" i="1"/>
  <c r="L227" i="1"/>
  <c r="M227" i="1"/>
  <c r="N227" i="1"/>
  <c r="Q227" i="1"/>
  <c r="J227" i="1"/>
  <c r="S227" i="1"/>
  <c r="I227" i="1"/>
  <c r="K227" i="1"/>
  <c r="R227" i="1"/>
  <c r="T227" i="1"/>
  <c r="I207" i="1"/>
  <c r="N207" i="1"/>
  <c r="R207" i="1"/>
  <c r="S207" i="1"/>
  <c r="J207" i="1"/>
  <c r="T207" i="1"/>
  <c r="L207" i="1"/>
  <c r="K207" i="1"/>
  <c r="M207" i="1"/>
  <c r="Q207" i="1"/>
  <c r="M204" i="1"/>
  <c r="R204" i="1"/>
  <c r="K204" i="1"/>
  <c r="S204" i="1"/>
  <c r="T204" i="1"/>
  <c r="I204" i="1"/>
  <c r="Q204" i="1"/>
  <c r="J204" i="1"/>
  <c r="L204" i="1"/>
  <c r="N204" i="1"/>
  <c r="M170" i="1"/>
  <c r="S170" i="1"/>
  <c r="J170" i="1"/>
  <c r="L170" i="1"/>
  <c r="Q170" i="1"/>
  <c r="R170" i="1"/>
  <c r="I170" i="1"/>
  <c r="T170" i="1"/>
  <c r="N170" i="1"/>
  <c r="K170" i="1"/>
  <c r="I153" i="1"/>
  <c r="K153" i="1"/>
  <c r="N153" i="1"/>
  <c r="S153" i="1"/>
  <c r="J153" i="1"/>
  <c r="M153" i="1"/>
  <c r="R153" i="1"/>
  <c r="L153" i="1"/>
  <c r="T153" i="1"/>
  <c r="Q153" i="1"/>
  <c r="N109" i="1"/>
  <c r="J109" i="1"/>
  <c r="K109" i="1"/>
  <c r="L109" i="1"/>
  <c r="M109" i="1"/>
  <c r="Q109" i="1"/>
  <c r="S109" i="1"/>
  <c r="R109" i="1"/>
  <c r="T109" i="1"/>
  <c r="I109" i="1"/>
  <c r="I137" i="1"/>
  <c r="M137" i="1"/>
  <c r="N137" i="1"/>
  <c r="R137" i="1"/>
  <c r="S137" i="1"/>
  <c r="J137" i="1"/>
  <c r="K137" i="1"/>
  <c r="T137" i="1"/>
  <c r="L137" i="1"/>
  <c r="Q137" i="1"/>
  <c r="K71" i="1"/>
  <c r="J71" i="1"/>
  <c r="L71" i="1"/>
  <c r="M71" i="1"/>
  <c r="R71" i="1"/>
  <c r="N71" i="1"/>
  <c r="Q71" i="1"/>
  <c r="I71" i="1"/>
  <c r="S71" i="1"/>
  <c r="T71" i="1"/>
  <c r="L111" i="1"/>
  <c r="K111" i="1"/>
  <c r="N111" i="1"/>
  <c r="M111" i="1"/>
  <c r="I111" i="1"/>
  <c r="Q111" i="1"/>
  <c r="J111" i="1"/>
  <c r="S111" i="1"/>
  <c r="T111" i="1"/>
  <c r="R111" i="1"/>
  <c r="L134" i="1"/>
  <c r="S134" i="1"/>
  <c r="J134" i="1"/>
  <c r="K134" i="1"/>
  <c r="R134" i="1"/>
  <c r="N134" i="1"/>
  <c r="T134" i="1"/>
  <c r="M134" i="1"/>
  <c r="I134" i="1"/>
  <c r="Q134" i="1"/>
  <c r="J135" i="1"/>
  <c r="Q135" i="1"/>
  <c r="S135" i="1"/>
  <c r="I135" i="1"/>
  <c r="T135" i="1"/>
  <c r="K135" i="1"/>
  <c r="M135" i="1"/>
  <c r="L135" i="1"/>
  <c r="N135" i="1"/>
  <c r="R135" i="1"/>
  <c r="I106" i="1"/>
  <c r="N106" i="1"/>
  <c r="Q106" i="1"/>
  <c r="K106" i="1"/>
  <c r="T106" i="1"/>
  <c r="S106" i="1"/>
  <c r="L106" i="1"/>
  <c r="M106" i="1"/>
  <c r="J106" i="1"/>
  <c r="R106" i="1"/>
  <c r="N45" i="1"/>
  <c r="R45" i="1"/>
  <c r="J45" i="1"/>
  <c r="T45" i="1"/>
  <c r="K45" i="1"/>
  <c r="L45" i="1"/>
  <c r="M45" i="1"/>
  <c r="I45" i="1"/>
  <c r="Q45" i="1"/>
  <c r="S45" i="1"/>
  <c r="K67" i="1"/>
  <c r="J67" i="1"/>
  <c r="R67" i="1"/>
  <c r="S67" i="1"/>
  <c r="T67" i="1"/>
  <c r="I67" i="1"/>
  <c r="N67" i="1"/>
  <c r="Q67" i="1"/>
  <c r="M67" i="1"/>
  <c r="L67" i="1"/>
  <c r="L84" i="1"/>
  <c r="N84" i="1"/>
  <c r="S84" i="1"/>
  <c r="T84" i="1"/>
  <c r="J84" i="1"/>
  <c r="K84" i="1"/>
  <c r="M84" i="1"/>
  <c r="Q84" i="1"/>
  <c r="I84" i="1"/>
  <c r="R84" i="1"/>
  <c r="T15" i="1"/>
  <c r="L15" i="1"/>
  <c r="N15" i="1"/>
  <c r="R15" i="1"/>
  <c r="S15" i="1"/>
  <c r="J15" i="1"/>
  <c r="M15" i="1"/>
  <c r="K15" i="1"/>
  <c r="I15" i="1"/>
  <c r="Q15" i="1"/>
  <c r="K22" i="1"/>
  <c r="T22" i="1"/>
  <c r="M22" i="1"/>
  <c r="N22" i="1"/>
  <c r="Q22" i="1"/>
  <c r="I22" i="1"/>
  <c r="R22" i="1"/>
  <c r="S22" i="1"/>
  <c r="J22" i="1"/>
  <c r="L22" i="1"/>
  <c r="K63" i="1"/>
  <c r="S63" i="1"/>
  <c r="M63" i="1"/>
  <c r="N63" i="1"/>
  <c r="L63" i="1"/>
  <c r="T63" i="1"/>
  <c r="I63" i="1"/>
  <c r="J63" i="1"/>
  <c r="Q63" i="1"/>
  <c r="R63" i="1"/>
  <c r="N80" i="1"/>
  <c r="M80" i="1"/>
  <c r="Q80" i="1"/>
  <c r="R80" i="1"/>
  <c r="I80" i="1"/>
  <c r="S80" i="1"/>
  <c r="J80" i="1"/>
  <c r="T80" i="1"/>
  <c r="K80" i="1"/>
  <c r="L80" i="1"/>
  <c r="M28" i="1"/>
  <c r="R28" i="1"/>
  <c r="S28" i="1"/>
  <c r="I28" i="1"/>
  <c r="T28" i="1"/>
  <c r="J28" i="1"/>
  <c r="K28" i="1"/>
  <c r="L28" i="1"/>
  <c r="Q28" i="1"/>
  <c r="N28" i="1"/>
  <c r="Q72" i="1"/>
  <c r="M72" i="1"/>
  <c r="K72" i="1"/>
  <c r="L72" i="1"/>
  <c r="R72" i="1"/>
  <c r="J72" i="1"/>
  <c r="S72" i="1"/>
  <c r="I72" i="1"/>
  <c r="T72" i="1"/>
  <c r="N72" i="1"/>
  <c r="N21" i="1"/>
  <c r="Q21" i="1"/>
  <c r="I21" i="1"/>
  <c r="S21" i="1"/>
  <c r="J21" i="1"/>
  <c r="T21" i="1"/>
  <c r="K21" i="1"/>
  <c r="L21" i="1"/>
  <c r="M21" i="1"/>
  <c r="R21" i="1"/>
  <c r="L674" i="1"/>
  <c r="J674" i="1"/>
  <c r="R674" i="1"/>
  <c r="S674" i="1"/>
  <c r="M674" i="1"/>
  <c r="K674" i="1"/>
  <c r="N674" i="1"/>
  <c r="T674" i="1"/>
  <c r="Q674" i="1"/>
  <c r="I674" i="1"/>
  <c r="N606" i="1"/>
  <c r="Q606" i="1"/>
  <c r="T606" i="1"/>
  <c r="I606" i="1"/>
  <c r="L606" i="1"/>
  <c r="M606" i="1"/>
  <c r="S606" i="1"/>
  <c r="K606" i="1"/>
  <c r="J606" i="1"/>
  <c r="R606" i="1"/>
  <c r="L607" i="1"/>
  <c r="M607" i="1"/>
  <c r="S607" i="1"/>
  <c r="K607" i="1"/>
  <c r="R607" i="1"/>
  <c r="Q607" i="1"/>
  <c r="J607" i="1"/>
  <c r="N607" i="1"/>
  <c r="I607" i="1"/>
  <c r="T607" i="1"/>
  <c r="M580" i="1"/>
  <c r="J580" i="1"/>
  <c r="L580" i="1"/>
  <c r="R580" i="1"/>
  <c r="T580" i="1"/>
  <c r="Q580" i="1"/>
  <c r="I580" i="1"/>
  <c r="S580" i="1"/>
  <c r="K580" i="1"/>
  <c r="N580" i="1"/>
  <c r="I508" i="1"/>
  <c r="J508" i="1"/>
  <c r="K508" i="1"/>
  <c r="M508" i="1"/>
  <c r="Q508" i="1"/>
  <c r="S508" i="1"/>
  <c r="R508" i="1"/>
  <c r="T508" i="1"/>
  <c r="L508" i="1"/>
  <c r="N508" i="1"/>
  <c r="L392" i="1"/>
  <c r="N392" i="1"/>
  <c r="Q392" i="1"/>
  <c r="M392" i="1"/>
  <c r="K392" i="1"/>
  <c r="S392" i="1"/>
  <c r="J392" i="1"/>
  <c r="R392" i="1"/>
  <c r="T392" i="1"/>
  <c r="I392" i="1"/>
  <c r="K499" i="1"/>
  <c r="S499" i="1"/>
  <c r="I499" i="1"/>
  <c r="J499" i="1"/>
  <c r="Q499" i="1"/>
  <c r="L499" i="1"/>
  <c r="R499" i="1"/>
  <c r="N499" i="1"/>
  <c r="M499" i="1"/>
  <c r="T499" i="1"/>
  <c r="J421" i="1"/>
  <c r="N421" i="1"/>
  <c r="R421" i="1"/>
  <c r="L421" i="1"/>
  <c r="T421" i="1"/>
  <c r="S421" i="1"/>
  <c r="M421" i="1"/>
  <c r="K421" i="1"/>
  <c r="I421" i="1"/>
  <c r="Q421" i="1"/>
  <c r="L312" i="1"/>
  <c r="J312" i="1"/>
  <c r="K312" i="1"/>
  <c r="M312" i="1"/>
  <c r="N312" i="1"/>
  <c r="S312" i="1"/>
  <c r="R312" i="1"/>
  <c r="Q312" i="1"/>
  <c r="I312" i="1"/>
  <c r="T312" i="1"/>
  <c r="N191" i="1"/>
  <c r="R191" i="1"/>
  <c r="T191" i="1"/>
  <c r="J191" i="1"/>
  <c r="L191" i="1"/>
  <c r="M191" i="1"/>
  <c r="I191" i="1"/>
  <c r="Q191" i="1"/>
  <c r="K191" i="1"/>
  <c r="S191" i="1"/>
  <c r="L288" i="1"/>
  <c r="Q288" i="1"/>
  <c r="N288" i="1"/>
  <c r="I288" i="1"/>
  <c r="R288" i="1"/>
  <c r="J288" i="1"/>
  <c r="K288" i="1"/>
  <c r="S288" i="1"/>
  <c r="T288" i="1"/>
  <c r="M288" i="1"/>
  <c r="I383" i="1"/>
  <c r="R383" i="1"/>
  <c r="Q383" i="1"/>
  <c r="J383" i="1"/>
  <c r="K383" i="1"/>
  <c r="T383" i="1"/>
  <c r="S383" i="1"/>
  <c r="L383" i="1"/>
  <c r="N383" i="1"/>
  <c r="M383" i="1"/>
  <c r="J292" i="1"/>
  <c r="L292" i="1"/>
  <c r="N292" i="1"/>
  <c r="R292" i="1"/>
  <c r="T292" i="1"/>
  <c r="M292" i="1"/>
  <c r="Q292" i="1"/>
  <c r="I292" i="1"/>
  <c r="S292" i="1"/>
  <c r="K292" i="1"/>
  <c r="K177" i="1"/>
  <c r="N177" i="1"/>
  <c r="R177" i="1"/>
  <c r="I177" i="1"/>
  <c r="L177" i="1"/>
  <c r="S177" i="1"/>
  <c r="Q177" i="1"/>
  <c r="T177" i="1"/>
  <c r="J177" i="1"/>
  <c r="M177" i="1"/>
  <c r="J160" i="1"/>
  <c r="Q160" i="1"/>
  <c r="T160" i="1"/>
  <c r="I160" i="1"/>
  <c r="N160" i="1"/>
  <c r="L160" i="1"/>
  <c r="R160" i="1"/>
  <c r="M160" i="1"/>
  <c r="S160" i="1"/>
  <c r="K160" i="1"/>
  <c r="Q189" i="1"/>
  <c r="S189" i="1"/>
  <c r="J189" i="1"/>
  <c r="I189" i="1"/>
  <c r="K189" i="1"/>
  <c r="R189" i="1"/>
  <c r="T189" i="1"/>
  <c r="L189" i="1"/>
  <c r="M189" i="1"/>
  <c r="N189" i="1"/>
  <c r="M105" i="1"/>
  <c r="N105" i="1"/>
  <c r="J105" i="1"/>
  <c r="R105" i="1"/>
  <c r="S105" i="1"/>
  <c r="K105" i="1"/>
  <c r="L105" i="1"/>
  <c r="I105" i="1"/>
  <c r="Q105" i="1"/>
  <c r="T105" i="1"/>
  <c r="M37" i="1"/>
  <c r="S37" i="1"/>
  <c r="J37" i="1"/>
  <c r="K37" i="1"/>
  <c r="L37" i="1"/>
  <c r="Q37" i="1"/>
  <c r="R37" i="1"/>
  <c r="T37" i="1"/>
  <c r="I37" i="1"/>
  <c r="N37" i="1"/>
  <c r="J172" i="1"/>
  <c r="N172" i="1"/>
  <c r="Q172" i="1"/>
  <c r="R172" i="1"/>
  <c r="I172" i="1"/>
  <c r="S172" i="1"/>
  <c r="L172" i="1"/>
  <c r="K172" i="1"/>
  <c r="T172" i="1"/>
  <c r="M172" i="1"/>
  <c r="N123" i="1"/>
  <c r="Q123" i="1"/>
  <c r="I123" i="1"/>
  <c r="R123" i="1"/>
  <c r="J123" i="1"/>
  <c r="S123" i="1"/>
  <c r="L123" i="1"/>
  <c r="K123" i="1"/>
  <c r="M123" i="1"/>
  <c r="T123" i="1"/>
  <c r="R78" i="1"/>
  <c r="K78" i="1"/>
  <c r="S78" i="1"/>
  <c r="L78" i="1"/>
  <c r="T78" i="1"/>
  <c r="Q78" i="1"/>
  <c r="N78" i="1"/>
  <c r="M78" i="1"/>
  <c r="I78" i="1"/>
  <c r="J78" i="1"/>
  <c r="J88" i="1"/>
  <c r="N88" i="1"/>
  <c r="Q88" i="1"/>
  <c r="S88" i="1"/>
  <c r="I88" i="1"/>
  <c r="T88" i="1"/>
  <c r="K88" i="1"/>
  <c r="L88" i="1"/>
  <c r="M88" i="1"/>
  <c r="R88" i="1"/>
  <c r="L570" i="1"/>
  <c r="J570" i="1"/>
  <c r="K570" i="1"/>
  <c r="M570" i="1"/>
  <c r="S570" i="1"/>
  <c r="R570" i="1"/>
  <c r="N570" i="1"/>
  <c r="Q570" i="1"/>
  <c r="I570" i="1"/>
  <c r="T570" i="1"/>
  <c r="L645" i="1"/>
  <c r="R645" i="1"/>
  <c r="I645" i="1"/>
  <c r="S645" i="1"/>
  <c r="J645" i="1"/>
  <c r="K645" i="1"/>
  <c r="M645" i="1"/>
  <c r="N645" i="1"/>
  <c r="Q645" i="1"/>
  <c r="T645" i="1"/>
  <c r="N399" i="1"/>
  <c r="K399" i="1"/>
  <c r="M399" i="1"/>
  <c r="S399" i="1"/>
  <c r="T399" i="1"/>
  <c r="J399" i="1"/>
  <c r="L399" i="1"/>
  <c r="Q399" i="1"/>
  <c r="I399" i="1"/>
  <c r="R399" i="1"/>
  <c r="J657" i="1"/>
  <c r="Q657" i="1"/>
  <c r="I657" i="1"/>
  <c r="S657" i="1"/>
  <c r="K657" i="1"/>
  <c r="M657" i="1"/>
  <c r="N657" i="1"/>
  <c r="R657" i="1"/>
  <c r="T657" i="1"/>
  <c r="L657" i="1"/>
  <c r="N532" i="1"/>
  <c r="K532" i="1"/>
  <c r="T532" i="1"/>
  <c r="J532" i="1"/>
  <c r="L532" i="1"/>
  <c r="M532" i="1"/>
  <c r="Q532" i="1"/>
  <c r="S532" i="1"/>
  <c r="I532" i="1"/>
  <c r="R532" i="1"/>
  <c r="L669" i="1"/>
  <c r="K669" i="1"/>
  <c r="Q669" i="1"/>
  <c r="R669" i="1"/>
  <c r="S669" i="1"/>
  <c r="J669" i="1"/>
  <c r="I669" i="1"/>
  <c r="M669" i="1"/>
  <c r="N669" i="1"/>
  <c r="T669" i="1"/>
  <c r="M571" i="1"/>
  <c r="T571" i="1"/>
  <c r="I571" i="1"/>
  <c r="K571" i="1"/>
  <c r="L571" i="1"/>
  <c r="N571" i="1"/>
  <c r="Q571" i="1"/>
  <c r="S571" i="1"/>
  <c r="R571" i="1"/>
  <c r="J571" i="1"/>
  <c r="L690" i="1"/>
  <c r="J690" i="1"/>
  <c r="K690" i="1"/>
  <c r="M690" i="1"/>
  <c r="R690" i="1"/>
  <c r="S690" i="1"/>
  <c r="N690" i="1"/>
  <c r="I690" i="1"/>
  <c r="T690" i="1"/>
  <c r="Q690" i="1"/>
  <c r="L629" i="1"/>
  <c r="J629" i="1"/>
  <c r="K629" i="1"/>
  <c r="M629" i="1"/>
  <c r="N629" i="1"/>
  <c r="R629" i="1"/>
  <c r="I629" i="1"/>
  <c r="Q629" i="1"/>
  <c r="S629" i="1"/>
  <c r="T629" i="1"/>
  <c r="M627" i="1"/>
  <c r="I627" i="1"/>
  <c r="K627" i="1"/>
  <c r="L627" i="1"/>
  <c r="N627" i="1"/>
  <c r="S627" i="1"/>
  <c r="Q627" i="1"/>
  <c r="T627" i="1"/>
  <c r="R627" i="1"/>
  <c r="J627" i="1"/>
  <c r="L573" i="1"/>
  <c r="I573" i="1"/>
  <c r="S573" i="1"/>
  <c r="J573" i="1"/>
  <c r="K573" i="1"/>
  <c r="M573" i="1"/>
  <c r="N573" i="1"/>
  <c r="Q573" i="1"/>
  <c r="R573" i="1"/>
  <c r="T573" i="1"/>
  <c r="T662" i="1"/>
  <c r="L662" i="1"/>
  <c r="Q662" i="1"/>
  <c r="I662" i="1"/>
  <c r="N662" i="1"/>
  <c r="S662" i="1"/>
  <c r="K662" i="1"/>
  <c r="M662" i="1"/>
  <c r="J662" i="1"/>
  <c r="R662" i="1"/>
  <c r="Q598" i="1"/>
  <c r="T598" i="1"/>
  <c r="L598" i="1"/>
  <c r="I598" i="1"/>
  <c r="N598" i="1"/>
  <c r="S598" i="1"/>
  <c r="K598" i="1"/>
  <c r="M598" i="1"/>
  <c r="J598" i="1"/>
  <c r="R598" i="1"/>
  <c r="M472" i="1"/>
  <c r="L472" i="1"/>
  <c r="N472" i="1"/>
  <c r="Q472" i="1"/>
  <c r="S472" i="1"/>
  <c r="T472" i="1"/>
  <c r="I472" i="1"/>
  <c r="K472" i="1"/>
  <c r="R472" i="1"/>
  <c r="J472" i="1"/>
  <c r="J625" i="1"/>
  <c r="I625" i="1"/>
  <c r="Q625" i="1"/>
  <c r="N625" i="1"/>
  <c r="L625" i="1"/>
  <c r="M625" i="1"/>
  <c r="T625" i="1"/>
  <c r="S625" i="1"/>
  <c r="R625" i="1"/>
  <c r="K625" i="1"/>
  <c r="L559" i="1"/>
  <c r="M559" i="1"/>
  <c r="N559" i="1"/>
  <c r="Q559" i="1"/>
  <c r="J559" i="1"/>
  <c r="S559" i="1"/>
  <c r="K559" i="1"/>
  <c r="I559" i="1"/>
  <c r="R559" i="1"/>
  <c r="T559" i="1"/>
  <c r="I435" i="1"/>
  <c r="K435" i="1"/>
  <c r="Q435" i="1"/>
  <c r="S435" i="1"/>
  <c r="R435" i="1"/>
  <c r="N435" i="1"/>
  <c r="J435" i="1"/>
  <c r="T435" i="1"/>
  <c r="L435" i="1"/>
  <c r="M435" i="1"/>
  <c r="M595" i="1"/>
  <c r="Q595" i="1"/>
  <c r="S595" i="1"/>
  <c r="T595" i="1"/>
  <c r="I595" i="1"/>
  <c r="L595" i="1"/>
  <c r="K595" i="1"/>
  <c r="N595" i="1"/>
  <c r="J595" i="1"/>
  <c r="R595" i="1"/>
  <c r="M523" i="1"/>
  <c r="L523" i="1"/>
  <c r="Q523" i="1"/>
  <c r="R523" i="1"/>
  <c r="I523" i="1"/>
  <c r="J523" i="1"/>
  <c r="T523" i="1"/>
  <c r="K523" i="1"/>
  <c r="N523" i="1"/>
  <c r="S523" i="1"/>
  <c r="N648" i="1"/>
  <c r="Q648" i="1"/>
  <c r="I648" i="1"/>
  <c r="R648" i="1"/>
  <c r="J648" i="1"/>
  <c r="S648" i="1"/>
  <c r="L648" i="1"/>
  <c r="K648" i="1"/>
  <c r="M648" i="1"/>
  <c r="T648" i="1"/>
  <c r="N584" i="1"/>
  <c r="Q584" i="1"/>
  <c r="I584" i="1"/>
  <c r="R584" i="1"/>
  <c r="J584" i="1"/>
  <c r="S584" i="1"/>
  <c r="L584" i="1"/>
  <c r="K584" i="1"/>
  <c r="M584" i="1"/>
  <c r="T584" i="1"/>
  <c r="N557" i="1"/>
  <c r="R557" i="1"/>
  <c r="Q557" i="1"/>
  <c r="I557" i="1"/>
  <c r="L557" i="1"/>
  <c r="S557" i="1"/>
  <c r="J557" i="1"/>
  <c r="M557" i="1"/>
  <c r="T557" i="1"/>
  <c r="K557" i="1"/>
  <c r="J492" i="1"/>
  <c r="L492" i="1"/>
  <c r="M492" i="1"/>
  <c r="N492" i="1"/>
  <c r="R492" i="1"/>
  <c r="T492" i="1"/>
  <c r="I492" i="1"/>
  <c r="K492" i="1"/>
  <c r="Q492" i="1"/>
  <c r="S492" i="1"/>
  <c r="I630" i="1"/>
  <c r="L630" i="1"/>
  <c r="N630" i="1"/>
  <c r="Q630" i="1"/>
  <c r="T630" i="1"/>
  <c r="S630" i="1"/>
  <c r="J630" i="1"/>
  <c r="K630" i="1"/>
  <c r="M630" i="1"/>
  <c r="R630" i="1"/>
  <c r="Q487" i="1"/>
  <c r="J487" i="1"/>
  <c r="L487" i="1"/>
  <c r="T487" i="1"/>
  <c r="N487" i="1"/>
  <c r="K487" i="1"/>
  <c r="M487" i="1"/>
  <c r="R487" i="1"/>
  <c r="S487" i="1"/>
  <c r="I487" i="1"/>
  <c r="L515" i="1"/>
  <c r="I515" i="1"/>
  <c r="S515" i="1"/>
  <c r="J515" i="1"/>
  <c r="K515" i="1"/>
  <c r="M515" i="1"/>
  <c r="N515" i="1"/>
  <c r="Q515" i="1"/>
  <c r="R515" i="1"/>
  <c r="T515" i="1"/>
  <c r="J478" i="1"/>
  <c r="I478" i="1"/>
  <c r="K478" i="1"/>
  <c r="M478" i="1"/>
  <c r="N478" i="1"/>
  <c r="S478" i="1"/>
  <c r="Q478" i="1"/>
  <c r="R478" i="1"/>
  <c r="L478" i="1"/>
  <c r="T478" i="1"/>
  <c r="L424" i="1"/>
  <c r="I424" i="1"/>
  <c r="S424" i="1"/>
  <c r="J424" i="1"/>
  <c r="K424" i="1"/>
  <c r="M424" i="1"/>
  <c r="N424" i="1"/>
  <c r="Q424" i="1"/>
  <c r="R424" i="1"/>
  <c r="T424" i="1"/>
  <c r="L494" i="1"/>
  <c r="N494" i="1"/>
  <c r="Q494" i="1"/>
  <c r="R494" i="1"/>
  <c r="I494" i="1"/>
  <c r="T494" i="1"/>
  <c r="J494" i="1"/>
  <c r="K494" i="1"/>
  <c r="S494" i="1"/>
  <c r="M494" i="1"/>
  <c r="Q414" i="1"/>
  <c r="I414" i="1"/>
  <c r="T414" i="1"/>
  <c r="L414" i="1"/>
  <c r="K414" i="1"/>
  <c r="S414" i="1"/>
  <c r="M414" i="1"/>
  <c r="J414" i="1"/>
  <c r="N414" i="1"/>
  <c r="R414" i="1"/>
  <c r="J246" i="1"/>
  <c r="S246" i="1"/>
  <c r="K246" i="1"/>
  <c r="T246" i="1"/>
  <c r="L246" i="1"/>
  <c r="M246" i="1"/>
  <c r="N246" i="1"/>
  <c r="Q246" i="1"/>
  <c r="I246" i="1"/>
  <c r="R246" i="1"/>
  <c r="L477" i="1"/>
  <c r="M477" i="1"/>
  <c r="N477" i="1"/>
  <c r="Q477" i="1"/>
  <c r="J477" i="1"/>
  <c r="S477" i="1"/>
  <c r="I477" i="1"/>
  <c r="K477" i="1"/>
  <c r="R477" i="1"/>
  <c r="T477" i="1"/>
  <c r="M444" i="1"/>
  <c r="J444" i="1"/>
  <c r="R444" i="1"/>
  <c r="L444" i="1"/>
  <c r="T444" i="1"/>
  <c r="I444" i="1"/>
  <c r="S444" i="1"/>
  <c r="K444" i="1"/>
  <c r="Q444" i="1"/>
  <c r="N444" i="1"/>
  <c r="N436" i="1"/>
  <c r="J436" i="1"/>
  <c r="T436" i="1"/>
  <c r="L436" i="1"/>
  <c r="K436" i="1"/>
  <c r="R436" i="1"/>
  <c r="S436" i="1"/>
  <c r="M436" i="1"/>
  <c r="I436" i="1"/>
  <c r="Q436" i="1"/>
  <c r="L313" i="1"/>
  <c r="I313" i="1"/>
  <c r="K313" i="1"/>
  <c r="Q313" i="1"/>
  <c r="S313" i="1"/>
  <c r="R313" i="1"/>
  <c r="J313" i="1"/>
  <c r="N313" i="1"/>
  <c r="T313" i="1"/>
  <c r="M313" i="1"/>
  <c r="N505" i="1"/>
  <c r="M505" i="1"/>
  <c r="Q505" i="1"/>
  <c r="R505" i="1"/>
  <c r="I505" i="1"/>
  <c r="S505" i="1"/>
  <c r="K505" i="1"/>
  <c r="J505" i="1"/>
  <c r="L505" i="1"/>
  <c r="T505" i="1"/>
  <c r="M398" i="1"/>
  <c r="J398" i="1"/>
  <c r="L398" i="1"/>
  <c r="N398" i="1"/>
  <c r="T398" i="1"/>
  <c r="R398" i="1"/>
  <c r="Q398" i="1"/>
  <c r="S398" i="1"/>
  <c r="I398" i="1"/>
  <c r="K398" i="1"/>
  <c r="I215" i="1"/>
  <c r="J215" i="1"/>
  <c r="T215" i="1"/>
  <c r="K215" i="1"/>
  <c r="M215" i="1"/>
  <c r="N215" i="1"/>
  <c r="R215" i="1"/>
  <c r="S215" i="1"/>
  <c r="L215" i="1"/>
  <c r="Q215" i="1"/>
  <c r="S516" i="1"/>
  <c r="I516" i="1"/>
  <c r="J516" i="1"/>
  <c r="K516" i="1"/>
  <c r="N516" i="1"/>
  <c r="L516" i="1"/>
  <c r="Q516" i="1"/>
  <c r="R516" i="1"/>
  <c r="T516" i="1"/>
  <c r="M516" i="1"/>
  <c r="L468" i="1"/>
  <c r="J468" i="1"/>
  <c r="N468" i="1"/>
  <c r="T468" i="1"/>
  <c r="I468" i="1"/>
  <c r="Q468" i="1"/>
  <c r="S468" i="1"/>
  <c r="R468" i="1"/>
  <c r="K468" i="1"/>
  <c r="M468" i="1"/>
  <c r="L331" i="1"/>
  <c r="R331" i="1"/>
  <c r="I331" i="1"/>
  <c r="S331" i="1"/>
  <c r="J331" i="1"/>
  <c r="K331" i="1"/>
  <c r="M331" i="1"/>
  <c r="N331" i="1"/>
  <c r="Q331" i="1"/>
  <c r="T331" i="1"/>
  <c r="J485" i="1"/>
  <c r="S485" i="1"/>
  <c r="I485" i="1"/>
  <c r="K485" i="1"/>
  <c r="M485" i="1"/>
  <c r="N485" i="1"/>
  <c r="Q485" i="1"/>
  <c r="L485" i="1"/>
  <c r="T485" i="1"/>
  <c r="R485" i="1"/>
  <c r="I430" i="1"/>
  <c r="L430" i="1"/>
  <c r="M430" i="1"/>
  <c r="S430" i="1"/>
  <c r="Q430" i="1"/>
  <c r="T430" i="1"/>
  <c r="J430" i="1"/>
  <c r="K430" i="1"/>
  <c r="R430" i="1"/>
  <c r="N430" i="1"/>
  <c r="L363" i="1"/>
  <c r="J363" i="1"/>
  <c r="K363" i="1"/>
  <c r="M363" i="1"/>
  <c r="N363" i="1"/>
  <c r="R363" i="1"/>
  <c r="I363" i="1"/>
  <c r="Q363" i="1"/>
  <c r="S363" i="1"/>
  <c r="T363" i="1"/>
  <c r="I396" i="1"/>
  <c r="R396" i="1"/>
  <c r="J396" i="1"/>
  <c r="S396" i="1"/>
  <c r="K396" i="1"/>
  <c r="T396" i="1"/>
  <c r="L396" i="1"/>
  <c r="M396" i="1"/>
  <c r="N396" i="1"/>
  <c r="Q396" i="1"/>
  <c r="L321" i="1"/>
  <c r="K321" i="1"/>
  <c r="Q321" i="1"/>
  <c r="S321" i="1"/>
  <c r="I321" i="1"/>
  <c r="N321" i="1"/>
  <c r="R321" i="1"/>
  <c r="M321" i="1"/>
  <c r="J321" i="1"/>
  <c r="T321" i="1"/>
  <c r="N281" i="1"/>
  <c r="J281" i="1"/>
  <c r="L281" i="1"/>
  <c r="M281" i="1"/>
  <c r="Q281" i="1"/>
  <c r="S281" i="1"/>
  <c r="T281" i="1"/>
  <c r="K281" i="1"/>
  <c r="R281" i="1"/>
  <c r="I281" i="1"/>
  <c r="L208" i="1"/>
  <c r="M208" i="1"/>
  <c r="N208" i="1"/>
  <c r="Q208" i="1"/>
  <c r="S208" i="1"/>
  <c r="I208" i="1"/>
  <c r="T208" i="1"/>
  <c r="K208" i="1"/>
  <c r="R208" i="1"/>
  <c r="J208" i="1"/>
  <c r="I371" i="1"/>
  <c r="R371" i="1"/>
  <c r="T371" i="1"/>
  <c r="M371" i="1"/>
  <c r="J371" i="1"/>
  <c r="S371" i="1"/>
  <c r="K371" i="1"/>
  <c r="N371" i="1"/>
  <c r="L371" i="1"/>
  <c r="Q371" i="1"/>
  <c r="L307" i="1"/>
  <c r="K307" i="1"/>
  <c r="M307" i="1"/>
  <c r="N307" i="1"/>
  <c r="Q307" i="1"/>
  <c r="I307" i="1"/>
  <c r="S307" i="1"/>
  <c r="J307" i="1"/>
  <c r="R307" i="1"/>
  <c r="T307" i="1"/>
  <c r="I253" i="1"/>
  <c r="L253" i="1"/>
  <c r="M253" i="1"/>
  <c r="N253" i="1"/>
  <c r="R253" i="1"/>
  <c r="J253" i="1"/>
  <c r="T253" i="1"/>
  <c r="K253" i="1"/>
  <c r="S253" i="1"/>
  <c r="Q253" i="1"/>
  <c r="L366" i="1"/>
  <c r="M366" i="1"/>
  <c r="N366" i="1"/>
  <c r="Q366" i="1"/>
  <c r="J366" i="1"/>
  <c r="S366" i="1"/>
  <c r="I366" i="1"/>
  <c r="K366" i="1"/>
  <c r="R366" i="1"/>
  <c r="T366" i="1"/>
  <c r="I319" i="1"/>
  <c r="Q319" i="1"/>
  <c r="R319" i="1"/>
  <c r="K319" i="1"/>
  <c r="S319" i="1"/>
  <c r="L319" i="1"/>
  <c r="T319" i="1"/>
  <c r="M319" i="1"/>
  <c r="N319" i="1"/>
  <c r="J319" i="1"/>
  <c r="J259" i="1"/>
  <c r="I259" i="1"/>
  <c r="R259" i="1"/>
  <c r="L259" i="1"/>
  <c r="T259" i="1"/>
  <c r="N259" i="1"/>
  <c r="K259" i="1"/>
  <c r="S259" i="1"/>
  <c r="M259" i="1"/>
  <c r="Q259" i="1"/>
  <c r="R365" i="1"/>
  <c r="S365" i="1"/>
  <c r="T365" i="1"/>
  <c r="J365" i="1"/>
  <c r="L365" i="1"/>
  <c r="K365" i="1"/>
  <c r="I365" i="1"/>
  <c r="Q365" i="1"/>
  <c r="N365" i="1"/>
  <c r="M365" i="1"/>
  <c r="I256" i="1"/>
  <c r="N256" i="1"/>
  <c r="Q256" i="1"/>
  <c r="L256" i="1"/>
  <c r="J256" i="1"/>
  <c r="T256" i="1"/>
  <c r="R256" i="1"/>
  <c r="S256" i="1"/>
  <c r="M256" i="1"/>
  <c r="K256" i="1"/>
  <c r="M386" i="1"/>
  <c r="K386" i="1"/>
  <c r="N386" i="1"/>
  <c r="T386" i="1"/>
  <c r="R386" i="1"/>
  <c r="S386" i="1"/>
  <c r="I386" i="1"/>
  <c r="Q386" i="1"/>
  <c r="L386" i="1"/>
  <c r="J386" i="1"/>
  <c r="I337" i="1"/>
  <c r="K337" i="1"/>
  <c r="L337" i="1"/>
  <c r="S337" i="1"/>
  <c r="Q337" i="1"/>
  <c r="T337" i="1"/>
  <c r="N337" i="1"/>
  <c r="J337" i="1"/>
  <c r="R337" i="1"/>
  <c r="M337" i="1"/>
  <c r="N169" i="1"/>
  <c r="J169" i="1"/>
  <c r="T169" i="1"/>
  <c r="S169" i="1"/>
  <c r="L169" i="1"/>
  <c r="K169" i="1"/>
  <c r="M169" i="1"/>
  <c r="I169" i="1"/>
  <c r="R169" i="1"/>
  <c r="Q169" i="1"/>
  <c r="K357" i="1"/>
  <c r="R357" i="1"/>
  <c r="L357" i="1"/>
  <c r="N357" i="1"/>
  <c r="Q357" i="1"/>
  <c r="I357" i="1"/>
  <c r="T357" i="1"/>
  <c r="M357" i="1"/>
  <c r="S357" i="1"/>
  <c r="J357" i="1"/>
  <c r="J300" i="1"/>
  <c r="L300" i="1"/>
  <c r="N300" i="1"/>
  <c r="R300" i="1"/>
  <c r="T300" i="1"/>
  <c r="M300" i="1"/>
  <c r="S300" i="1"/>
  <c r="I300" i="1"/>
  <c r="K300" i="1"/>
  <c r="Q300" i="1"/>
  <c r="L237" i="1"/>
  <c r="M237" i="1"/>
  <c r="Q237" i="1"/>
  <c r="T237" i="1"/>
  <c r="I237" i="1"/>
  <c r="K237" i="1"/>
  <c r="N237" i="1"/>
  <c r="S237" i="1"/>
  <c r="R237" i="1"/>
  <c r="J237" i="1"/>
  <c r="J182" i="1"/>
  <c r="K182" i="1"/>
  <c r="M182" i="1"/>
  <c r="R182" i="1"/>
  <c r="T182" i="1"/>
  <c r="Q182" i="1"/>
  <c r="L182" i="1"/>
  <c r="I182" i="1"/>
  <c r="S182" i="1"/>
  <c r="N182" i="1"/>
  <c r="M220" i="1"/>
  <c r="S220" i="1"/>
  <c r="N220" i="1"/>
  <c r="J220" i="1"/>
  <c r="I220" i="1"/>
  <c r="Q220" i="1"/>
  <c r="R220" i="1"/>
  <c r="L220" i="1"/>
  <c r="T220" i="1"/>
  <c r="K220" i="1"/>
  <c r="L181" i="1"/>
  <c r="Q181" i="1"/>
  <c r="I181" i="1"/>
  <c r="K181" i="1"/>
  <c r="S181" i="1"/>
  <c r="R181" i="1"/>
  <c r="J181" i="1"/>
  <c r="T181" i="1"/>
  <c r="N181" i="1"/>
  <c r="M181" i="1"/>
  <c r="I190" i="1"/>
  <c r="N190" i="1"/>
  <c r="Q190" i="1"/>
  <c r="R190" i="1"/>
  <c r="S190" i="1"/>
  <c r="K190" i="1"/>
  <c r="J190" i="1"/>
  <c r="M190" i="1"/>
  <c r="T190" i="1"/>
  <c r="L190" i="1"/>
  <c r="N199" i="1"/>
  <c r="S199" i="1"/>
  <c r="K199" i="1"/>
  <c r="T199" i="1"/>
  <c r="R199" i="1"/>
  <c r="M199" i="1"/>
  <c r="Q199" i="1"/>
  <c r="I199" i="1"/>
  <c r="L199" i="1"/>
  <c r="J199" i="1"/>
  <c r="K197" i="1"/>
  <c r="Q197" i="1"/>
  <c r="R197" i="1"/>
  <c r="I197" i="1"/>
  <c r="T197" i="1"/>
  <c r="J197" i="1"/>
  <c r="M197" i="1"/>
  <c r="L197" i="1"/>
  <c r="N197" i="1"/>
  <c r="S197" i="1"/>
  <c r="N152" i="1"/>
  <c r="M152" i="1"/>
  <c r="I152" i="1"/>
  <c r="R152" i="1"/>
  <c r="J152" i="1"/>
  <c r="L152" i="1"/>
  <c r="Q152" i="1"/>
  <c r="K152" i="1"/>
  <c r="S152" i="1"/>
  <c r="T152" i="1"/>
  <c r="I149" i="1"/>
  <c r="Q149" i="1"/>
  <c r="T149" i="1"/>
  <c r="N149" i="1"/>
  <c r="M149" i="1"/>
  <c r="R149" i="1"/>
  <c r="J149" i="1"/>
  <c r="L149" i="1"/>
  <c r="K149" i="1"/>
  <c r="S149" i="1"/>
  <c r="R107" i="1"/>
  <c r="M107" i="1"/>
  <c r="N107" i="1"/>
  <c r="Q107" i="1"/>
  <c r="K107" i="1"/>
  <c r="L107" i="1"/>
  <c r="J107" i="1"/>
  <c r="I107" i="1"/>
  <c r="S107" i="1"/>
  <c r="T107" i="1"/>
  <c r="N136" i="1"/>
  <c r="M136" i="1"/>
  <c r="Q136" i="1"/>
  <c r="R136" i="1"/>
  <c r="T136" i="1"/>
  <c r="J136" i="1"/>
  <c r="I136" i="1"/>
  <c r="L136" i="1"/>
  <c r="K136" i="1"/>
  <c r="S136" i="1"/>
  <c r="J64" i="1"/>
  <c r="M64" i="1"/>
  <c r="Q64" i="1"/>
  <c r="R64" i="1"/>
  <c r="I64" i="1"/>
  <c r="K64" i="1"/>
  <c r="L64" i="1"/>
  <c r="S64" i="1"/>
  <c r="T64" i="1"/>
  <c r="N64" i="1"/>
  <c r="I77" i="1"/>
  <c r="M77" i="1"/>
  <c r="N77" i="1"/>
  <c r="K77" i="1"/>
  <c r="R77" i="1"/>
  <c r="J77" i="1"/>
  <c r="T77" i="1"/>
  <c r="L77" i="1"/>
  <c r="Q77" i="1"/>
  <c r="S77" i="1"/>
  <c r="M121" i="1"/>
  <c r="Q121" i="1"/>
  <c r="R121" i="1"/>
  <c r="T121" i="1"/>
  <c r="I121" i="1"/>
  <c r="L121" i="1"/>
  <c r="K121" i="1"/>
  <c r="N121" i="1"/>
  <c r="S121" i="1"/>
  <c r="J121" i="1"/>
  <c r="I133" i="1"/>
  <c r="Q133" i="1"/>
  <c r="N133" i="1"/>
  <c r="K133" i="1"/>
  <c r="J133" i="1"/>
  <c r="R133" i="1"/>
  <c r="S133" i="1"/>
  <c r="T133" i="1"/>
  <c r="M133" i="1"/>
  <c r="L133" i="1"/>
  <c r="N104" i="1"/>
  <c r="L104" i="1"/>
  <c r="M104" i="1"/>
  <c r="T104" i="1"/>
  <c r="Q104" i="1"/>
  <c r="I104" i="1"/>
  <c r="J104" i="1"/>
  <c r="K104" i="1"/>
  <c r="R104" i="1"/>
  <c r="S104" i="1"/>
  <c r="L32" i="1"/>
  <c r="I32" i="1"/>
  <c r="J32" i="1"/>
  <c r="Q32" i="1"/>
  <c r="N32" i="1"/>
  <c r="R32" i="1"/>
  <c r="S32" i="1"/>
  <c r="T32" i="1"/>
  <c r="K32" i="1"/>
  <c r="M32" i="1"/>
  <c r="I54" i="1"/>
  <c r="R54" i="1"/>
  <c r="K54" i="1"/>
  <c r="T54" i="1"/>
  <c r="L54" i="1"/>
  <c r="M54" i="1"/>
  <c r="N54" i="1"/>
  <c r="J54" i="1"/>
  <c r="Q54" i="1"/>
  <c r="S54" i="1"/>
  <c r="J93" i="1"/>
  <c r="S93" i="1"/>
  <c r="L93" i="1"/>
  <c r="M93" i="1"/>
  <c r="N93" i="1"/>
  <c r="Q93" i="1"/>
  <c r="I93" i="1"/>
  <c r="K93" i="1"/>
  <c r="R93" i="1"/>
  <c r="T93" i="1"/>
  <c r="N86" i="1"/>
  <c r="L86" i="1"/>
  <c r="R86" i="1"/>
  <c r="S86" i="1"/>
  <c r="I86" i="1"/>
  <c r="T86" i="1"/>
  <c r="J86" i="1"/>
  <c r="K86" i="1"/>
  <c r="M86" i="1"/>
  <c r="Q86" i="1"/>
  <c r="L19" i="1"/>
  <c r="K19" i="1"/>
  <c r="Q19" i="1"/>
  <c r="R19" i="1"/>
  <c r="S19" i="1"/>
  <c r="I19" i="1"/>
  <c r="J19" i="1"/>
  <c r="T19" i="1"/>
  <c r="M19" i="1"/>
  <c r="N19" i="1"/>
  <c r="N59" i="1"/>
  <c r="M59" i="1"/>
  <c r="R59" i="1"/>
  <c r="S59" i="1"/>
  <c r="T59" i="1"/>
  <c r="J59" i="1"/>
  <c r="K59" i="1"/>
  <c r="L59" i="1"/>
  <c r="I59" i="1"/>
  <c r="Q59" i="1"/>
  <c r="I97" i="1"/>
  <c r="S97" i="1"/>
  <c r="J97" i="1"/>
  <c r="K97" i="1"/>
  <c r="M97" i="1"/>
  <c r="N97" i="1"/>
  <c r="Q97" i="1"/>
  <c r="L97" i="1"/>
  <c r="T97" i="1"/>
  <c r="R97" i="1"/>
  <c r="L25" i="1"/>
  <c r="N25" i="1"/>
  <c r="T25" i="1"/>
  <c r="I25" i="1"/>
  <c r="M25" i="1"/>
  <c r="R25" i="1"/>
  <c r="J25" i="1"/>
  <c r="S25" i="1"/>
  <c r="K25" i="1"/>
  <c r="Q25" i="1"/>
  <c r="L69" i="1"/>
  <c r="J69" i="1"/>
  <c r="Q69" i="1"/>
  <c r="R69" i="1"/>
  <c r="T69" i="1"/>
  <c r="I69" i="1"/>
  <c r="K69" i="1"/>
  <c r="N69" i="1"/>
  <c r="S69" i="1"/>
  <c r="M69" i="1"/>
  <c r="M12" i="1"/>
  <c r="R12" i="1"/>
  <c r="S12" i="1"/>
  <c r="I12" i="1"/>
  <c r="T12" i="1"/>
  <c r="J12" i="1"/>
  <c r="K12" i="1"/>
  <c r="L12" i="1"/>
  <c r="Q12" i="1"/>
  <c r="N12" i="1"/>
  <c r="J641" i="1"/>
  <c r="I641" i="1"/>
  <c r="Q641" i="1"/>
  <c r="N641" i="1"/>
  <c r="M641" i="1"/>
  <c r="R641" i="1"/>
  <c r="T641" i="1"/>
  <c r="L641" i="1"/>
  <c r="S641" i="1"/>
  <c r="K641" i="1"/>
  <c r="L685" i="1"/>
  <c r="Q685" i="1"/>
  <c r="R685" i="1"/>
  <c r="I685" i="1"/>
  <c r="S685" i="1"/>
  <c r="M685" i="1"/>
  <c r="J685" i="1"/>
  <c r="K685" i="1"/>
  <c r="N685" i="1"/>
  <c r="T685" i="1"/>
  <c r="L296" i="1"/>
  <c r="J296" i="1"/>
  <c r="K296" i="1"/>
  <c r="M296" i="1"/>
  <c r="N296" i="1"/>
  <c r="R296" i="1"/>
  <c r="S296" i="1"/>
  <c r="T296" i="1"/>
  <c r="Q296" i="1"/>
  <c r="I296" i="1"/>
  <c r="N410" i="1"/>
  <c r="K410" i="1"/>
  <c r="L410" i="1"/>
  <c r="M410" i="1"/>
  <c r="R410" i="1"/>
  <c r="T410" i="1"/>
  <c r="J410" i="1"/>
  <c r="S410" i="1"/>
  <c r="Q410" i="1"/>
  <c r="I410" i="1"/>
  <c r="M412" i="1"/>
  <c r="N412" i="1"/>
  <c r="T412" i="1"/>
  <c r="J412" i="1"/>
  <c r="L412" i="1"/>
  <c r="I412" i="1"/>
  <c r="S412" i="1"/>
  <c r="K412" i="1"/>
  <c r="R412" i="1"/>
  <c r="Q412" i="1"/>
  <c r="L465" i="1"/>
  <c r="M465" i="1"/>
  <c r="N465" i="1"/>
  <c r="Q465" i="1"/>
  <c r="J465" i="1"/>
  <c r="S465" i="1"/>
  <c r="I465" i="1"/>
  <c r="R465" i="1"/>
  <c r="K465" i="1"/>
  <c r="T465" i="1"/>
  <c r="I462" i="1"/>
  <c r="L462" i="1"/>
  <c r="N462" i="1"/>
  <c r="T462" i="1"/>
  <c r="Q462" i="1"/>
  <c r="J462" i="1"/>
  <c r="S462" i="1"/>
  <c r="K462" i="1"/>
  <c r="R462" i="1"/>
  <c r="M462" i="1"/>
  <c r="J188" i="1"/>
  <c r="S188" i="1"/>
  <c r="K188" i="1"/>
  <c r="T188" i="1"/>
  <c r="L188" i="1"/>
  <c r="M188" i="1"/>
  <c r="N188" i="1"/>
  <c r="Q188" i="1"/>
  <c r="R188" i="1"/>
  <c r="I188" i="1"/>
  <c r="N274" i="1"/>
  <c r="Q274" i="1"/>
  <c r="I274" i="1"/>
  <c r="R274" i="1"/>
  <c r="J274" i="1"/>
  <c r="S274" i="1"/>
  <c r="L274" i="1"/>
  <c r="T274" i="1"/>
  <c r="K274" i="1"/>
  <c r="M274" i="1"/>
  <c r="M8" i="1"/>
  <c r="S8" i="1"/>
  <c r="L8" i="1"/>
  <c r="N8" i="1"/>
  <c r="T8" i="1"/>
  <c r="I8" i="1"/>
  <c r="Q8" i="1"/>
  <c r="R8" i="1"/>
  <c r="J8" i="1"/>
  <c r="K8" i="1"/>
  <c r="J441" i="1"/>
  <c r="M441" i="1"/>
  <c r="T441" i="1"/>
  <c r="Q441" i="1"/>
  <c r="N441" i="1"/>
  <c r="R441" i="1"/>
  <c r="I441" i="1"/>
  <c r="S441" i="1"/>
  <c r="K441" i="1"/>
  <c r="L441" i="1"/>
  <c r="L578" i="1"/>
  <c r="J578" i="1"/>
  <c r="K578" i="1"/>
  <c r="M578" i="1"/>
  <c r="S578" i="1"/>
  <c r="R578" i="1"/>
  <c r="I578" i="1"/>
  <c r="N578" i="1"/>
  <c r="T578" i="1"/>
  <c r="Q578" i="1"/>
  <c r="J689" i="1"/>
  <c r="Q689" i="1"/>
  <c r="I689" i="1"/>
  <c r="N689" i="1"/>
  <c r="M689" i="1"/>
  <c r="T689" i="1"/>
  <c r="S689" i="1"/>
  <c r="R689" i="1"/>
  <c r="L689" i="1"/>
  <c r="K689" i="1"/>
  <c r="Q639" i="1"/>
  <c r="I639" i="1"/>
  <c r="N639" i="1"/>
  <c r="T639" i="1"/>
  <c r="S639" i="1"/>
  <c r="L639" i="1"/>
  <c r="K639" i="1"/>
  <c r="J639" i="1"/>
  <c r="M639" i="1"/>
  <c r="R639" i="1"/>
  <c r="Q411" i="1"/>
  <c r="I411" i="1"/>
  <c r="R411" i="1"/>
  <c r="J411" i="1"/>
  <c r="S411" i="1"/>
  <c r="K411" i="1"/>
  <c r="T411" i="1"/>
  <c r="L411" i="1"/>
  <c r="N411" i="1"/>
  <c r="M411" i="1"/>
  <c r="J665" i="1"/>
  <c r="I665" i="1"/>
  <c r="Q665" i="1"/>
  <c r="S665" i="1"/>
  <c r="M665" i="1"/>
  <c r="K665" i="1"/>
  <c r="T665" i="1"/>
  <c r="L665" i="1"/>
  <c r="R665" i="1"/>
  <c r="N665" i="1"/>
  <c r="N556" i="1"/>
  <c r="I556" i="1"/>
  <c r="T556" i="1"/>
  <c r="J556" i="1"/>
  <c r="K556" i="1"/>
  <c r="L556" i="1"/>
  <c r="R556" i="1"/>
  <c r="Q556" i="1"/>
  <c r="S556" i="1"/>
  <c r="M556" i="1"/>
  <c r="Q688" i="1"/>
  <c r="I688" i="1"/>
  <c r="L688" i="1"/>
  <c r="R688" i="1"/>
  <c r="J688" i="1"/>
  <c r="S688" i="1"/>
  <c r="N688" i="1"/>
  <c r="K688" i="1"/>
  <c r="T688" i="1"/>
  <c r="M688" i="1"/>
  <c r="J616" i="1"/>
  <c r="S616" i="1"/>
  <c r="K616" i="1"/>
  <c r="T616" i="1"/>
  <c r="L616" i="1"/>
  <c r="M616" i="1"/>
  <c r="N616" i="1"/>
  <c r="Q616" i="1"/>
  <c r="I616" i="1"/>
  <c r="R616" i="1"/>
  <c r="L626" i="1"/>
  <c r="J626" i="1"/>
  <c r="K626" i="1"/>
  <c r="M626" i="1"/>
  <c r="R626" i="1"/>
  <c r="S626" i="1"/>
  <c r="N626" i="1"/>
  <c r="T626" i="1"/>
  <c r="I626" i="1"/>
  <c r="Q626" i="1"/>
  <c r="J569" i="1"/>
  <c r="N569" i="1"/>
  <c r="M569" i="1"/>
  <c r="Q569" i="1"/>
  <c r="R569" i="1"/>
  <c r="T569" i="1"/>
  <c r="K569" i="1"/>
  <c r="I569" i="1"/>
  <c r="S569" i="1"/>
  <c r="L569" i="1"/>
  <c r="M660" i="1"/>
  <c r="L660" i="1"/>
  <c r="T660" i="1"/>
  <c r="J660" i="1"/>
  <c r="R660" i="1"/>
  <c r="Q660" i="1"/>
  <c r="I660" i="1"/>
  <c r="K660" i="1"/>
  <c r="N660" i="1"/>
  <c r="S660" i="1"/>
  <c r="M596" i="1"/>
  <c r="T596" i="1"/>
  <c r="L596" i="1"/>
  <c r="J596" i="1"/>
  <c r="R596" i="1"/>
  <c r="Q596" i="1"/>
  <c r="I596" i="1"/>
  <c r="K596" i="1"/>
  <c r="N596" i="1"/>
  <c r="S596" i="1"/>
  <c r="J370" i="1"/>
  <c r="K370" i="1"/>
  <c r="M370" i="1"/>
  <c r="N370" i="1"/>
  <c r="R370" i="1"/>
  <c r="S370" i="1"/>
  <c r="L370" i="1"/>
  <c r="T370" i="1"/>
  <c r="I370" i="1"/>
  <c r="Q370" i="1"/>
  <c r="L613" i="1"/>
  <c r="M613" i="1"/>
  <c r="N613" i="1"/>
  <c r="Q613" i="1"/>
  <c r="R613" i="1"/>
  <c r="J613" i="1"/>
  <c r="I613" i="1"/>
  <c r="K613" i="1"/>
  <c r="S613" i="1"/>
  <c r="T613" i="1"/>
  <c r="M554" i="1"/>
  <c r="Q554" i="1"/>
  <c r="R554" i="1"/>
  <c r="T554" i="1"/>
  <c r="J554" i="1"/>
  <c r="L554" i="1"/>
  <c r="I554" i="1"/>
  <c r="N554" i="1"/>
  <c r="K554" i="1"/>
  <c r="S554" i="1"/>
  <c r="N330" i="1"/>
  <c r="J330" i="1"/>
  <c r="L330" i="1"/>
  <c r="M330" i="1"/>
  <c r="T330" i="1"/>
  <c r="R330" i="1"/>
  <c r="S330" i="1"/>
  <c r="Q330" i="1"/>
  <c r="K330" i="1"/>
  <c r="I330" i="1"/>
  <c r="L594" i="1"/>
  <c r="R594" i="1"/>
  <c r="S594" i="1"/>
  <c r="J594" i="1"/>
  <c r="M594" i="1"/>
  <c r="K594" i="1"/>
  <c r="Q594" i="1"/>
  <c r="N594" i="1"/>
  <c r="I594" i="1"/>
  <c r="T594" i="1"/>
  <c r="K476" i="1"/>
  <c r="M476" i="1"/>
  <c r="R476" i="1"/>
  <c r="S476" i="1"/>
  <c r="J476" i="1"/>
  <c r="I476" i="1"/>
  <c r="Q476" i="1"/>
  <c r="L476" i="1"/>
  <c r="N476" i="1"/>
  <c r="T476" i="1"/>
  <c r="I638" i="1"/>
  <c r="L638" i="1"/>
  <c r="N638" i="1"/>
  <c r="T638" i="1"/>
  <c r="Q638" i="1"/>
  <c r="M638" i="1"/>
  <c r="K638" i="1"/>
  <c r="J638" i="1"/>
  <c r="S638" i="1"/>
  <c r="R638" i="1"/>
  <c r="I582" i="1"/>
  <c r="L582" i="1"/>
  <c r="N582" i="1"/>
  <c r="T582" i="1"/>
  <c r="Q582" i="1"/>
  <c r="M582" i="1"/>
  <c r="S582" i="1"/>
  <c r="J582" i="1"/>
  <c r="R582" i="1"/>
  <c r="K582" i="1"/>
  <c r="Q553" i="1"/>
  <c r="S553" i="1"/>
  <c r="T553" i="1"/>
  <c r="I553" i="1"/>
  <c r="K553" i="1"/>
  <c r="N553" i="1"/>
  <c r="L553" i="1"/>
  <c r="M553" i="1"/>
  <c r="J553" i="1"/>
  <c r="R553" i="1"/>
  <c r="I473" i="1"/>
  <c r="J473" i="1"/>
  <c r="L473" i="1"/>
  <c r="N473" i="1"/>
  <c r="R473" i="1"/>
  <c r="T473" i="1"/>
  <c r="K473" i="1"/>
  <c r="S473" i="1"/>
  <c r="Q473" i="1"/>
  <c r="M473" i="1"/>
  <c r="M628" i="1"/>
  <c r="J628" i="1"/>
  <c r="L628" i="1"/>
  <c r="R628" i="1"/>
  <c r="T628" i="1"/>
  <c r="S628" i="1"/>
  <c r="K628" i="1"/>
  <c r="N628" i="1"/>
  <c r="Q628" i="1"/>
  <c r="I628" i="1"/>
  <c r="N422" i="1"/>
  <c r="Q422" i="1"/>
  <c r="T422" i="1"/>
  <c r="I422" i="1"/>
  <c r="L422" i="1"/>
  <c r="J422" i="1"/>
  <c r="K422" i="1"/>
  <c r="S422" i="1"/>
  <c r="R422" i="1"/>
  <c r="M422" i="1"/>
  <c r="L520" i="1"/>
  <c r="I520" i="1"/>
  <c r="K520" i="1"/>
  <c r="Q520" i="1"/>
  <c r="S520" i="1"/>
  <c r="T520" i="1"/>
  <c r="N520" i="1"/>
  <c r="M520" i="1"/>
  <c r="J520" i="1"/>
  <c r="R520" i="1"/>
  <c r="R483" i="1"/>
  <c r="K483" i="1"/>
  <c r="L483" i="1"/>
  <c r="S483" i="1"/>
  <c r="Q483" i="1"/>
  <c r="M483" i="1"/>
  <c r="T483" i="1"/>
  <c r="N483" i="1"/>
  <c r="I483" i="1"/>
  <c r="J483" i="1"/>
  <c r="K375" i="1"/>
  <c r="L375" i="1"/>
  <c r="M375" i="1"/>
  <c r="N375" i="1"/>
  <c r="S375" i="1"/>
  <c r="R375" i="1"/>
  <c r="T375" i="1"/>
  <c r="J375" i="1"/>
  <c r="I375" i="1"/>
  <c r="Q375" i="1"/>
  <c r="L469" i="1"/>
  <c r="N469" i="1"/>
  <c r="I469" i="1"/>
  <c r="Q469" i="1"/>
  <c r="J469" i="1"/>
  <c r="R469" i="1"/>
  <c r="K469" i="1"/>
  <c r="M469" i="1"/>
  <c r="S469" i="1"/>
  <c r="T469" i="1"/>
  <c r="L402" i="1"/>
  <c r="K402" i="1"/>
  <c r="M402" i="1"/>
  <c r="N402" i="1"/>
  <c r="Q402" i="1"/>
  <c r="I402" i="1"/>
  <c r="S402" i="1"/>
  <c r="J402" i="1"/>
  <c r="R402" i="1"/>
  <c r="T402" i="1"/>
  <c r="R538" i="1"/>
  <c r="M538" i="1"/>
  <c r="J538" i="1"/>
  <c r="N538" i="1"/>
  <c r="I538" i="1"/>
  <c r="Q538" i="1"/>
  <c r="K538" i="1"/>
  <c r="L538" i="1"/>
  <c r="S538" i="1"/>
  <c r="T538" i="1"/>
  <c r="J471" i="1"/>
  <c r="N471" i="1"/>
  <c r="Q471" i="1"/>
  <c r="S471" i="1"/>
  <c r="K471" i="1"/>
  <c r="I471" i="1"/>
  <c r="M471" i="1"/>
  <c r="T471" i="1"/>
  <c r="R471" i="1"/>
  <c r="L471" i="1"/>
  <c r="M443" i="1"/>
  <c r="Q443" i="1"/>
  <c r="S443" i="1"/>
  <c r="T443" i="1"/>
  <c r="I443" i="1"/>
  <c r="L443" i="1"/>
  <c r="K443" i="1"/>
  <c r="N443" i="1"/>
  <c r="J443" i="1"/>
  <c r="R443" i="1"/>
  <c r="N403" i="1"/>
  <c r="M403" i="1"/>
  <c r="R403" i="1"/>
  <c r="S403" i="1"/>
  <c r="T403" i="1"/>
  <c r="K403" i="1"/>
  <c r="J403" i="1"/>
  <c r="L403" i="1"/>
  <c r="I403" i="1"/>
  <c r="Q403" i="1"/>
  <c r="J308" i="1"/>
  <c r="L308" i="1"/>
  <c r="N308" i="1"/>
  <c r="R308" i="1"/>
  <c r="T308" i="1"/>
  <c r="M308" i="1"/>
  <c r="S308" i="1"/>
  <c r="Q308" i="1"/>
  <c r="I308" i="1"/>
  <c r="K308" i="1"/>
  <c r="L502" i="1"/>
  <c r="Q502" i="1"/>
  <c r="R502" i="1"/>
  <c r="T502" i="1"/>
  <c r="I502" i="1"/>
  <c r="M502" i="1"/>
  <c r="J502" i="1"/>
  <c r="S502" i="1"/>
  <c r="K502" i="1"/>
  <c r="N502" i="1"/>
  <c r="L356" i="1"/>
  <c r="J356" i="1"/>
  <c r="K356" i="1"/>
  <c r="M356" i="1"/>
  <c r="N356" i="1"/>
  <c r="R356" i="1"/>
  <c r="I356" i="1"/>
  <c r="Q356" i="1"/>
  <c r="S356" i="1"/>
  <c r="T356" i="1"/>
  <c r="R166" i="1"/>
  <c r="T166" i="1"/>
  <c r="J166" i="1"/>
  <c r="L166" i="1"/>
  <c r="K166" i="1"/>
  <c r="M166" i="1"/>
  <c r="S166" i="1"/>
  <c r="N166" i="1"/>
  <c r="I166" i="1"/>
  <c r="Q166" i="1"/>
  <c r="K513" i="1"/>
  <c r="J513" i="1"/>
  <c r="R513" i="1"/>
  <c r="I513" i="1"/>
  <c r="N513" i="1"/>
  <c r="L513" i="1"/>
  <c r="S513" i="1"/>
  <c r="M513" i="1"/>
  <c r="T513" i="1"/>
  <c r="Q513" i="1"/>
  <c r="M467" i="1"/>
  <c r="T467" i="1"/>
  <c r="I467" i="1"/>
  <c r="K467" i="1"/>
  <c r="L467" i="1"/>
  <c r="Q467" i="1"/>
  <c r="N467" i="1"/>
  <c r="S467" i="1"/>
  <c r="J467" i="1"/>
  <c r="R467" i="1"/>
  <c r="J316" i="1"/>
  <c r="L316" i="1"/>
  <c r="N316" i="1"/>
  <c r="R316" i="1"/>
  <c r="T316" i="1"/>
  <c r="M316" i="1"/>
  <c r="Q316" i="1"/>
  <c r="I316" i="1"/>
  <c r="S316" i="1"/>
  <c r="K316" i="1"/>
  <c r="Q480" i="1"/>
  <c r="T480" i="1"/>
  <c r="L480" i="1"/>
  <c r="M480" i="1"/>
  <c r="N480" i="1"/>
  <c r="S480" i="1"/>
  <c r="J480" i="1"/>
  <c r="I480" i="1"/>
  <c r="R480" i="1"/>
  <c r="K480" i="1"/>
  <c r="I428" i="1"/>
  <c r="J428" i="1"/>
  <c r="M428" i="1"/>
  <c r="N428" i="1"/>
  <c r="Q428" i="1"/>
  <c r="R428" i="1"/>
  <c r="L428" i="1"/>
  <c r="K428" i="1"/>
  <c r="T428" i="1"/>
  <c r="S428" i="1"/>
  <c r="Q353" i="1"/>
  <c r="K353" i="1"/>
  <c r="N353" i="1"/>
  <c r="R353" i="1"/>
  <c r="T353" i="1"/>
  <c r="L353" i="1"/>
  <c r="M353" i="1"/>
  <c r="I353" i="1"/>
  <c r="J353" i="1"/>
  <c r="S353" i="1"/>
  <c r="I389" i="1"/>
  <c r="M389" i="1"/>
  <c r="Q389" i="1"/>
  <c r="T389" i="1"/>
  <c r="K389" i="1"/>
  <c r="R389" i="1"/>
  <c r="S389" i="1"/>
  <c r="J389" i="1"/>
  <c r="L389" i="1"/>
  <c r="N389" i="1"/>
  <c r="I318" i="1"/>
  <c r="R318" i="1"/>
  <c r="J318" i="1"/>
  <c r="S318" i="1"/>
  <c r="K318" i="1"/>
  <c r="T318" i="1"/>
  <c r="L318" i="1"/>
  <c r="M318" i="1"/>
  <c r="N318" i="1"/>
  <c r="Q318" i="1"/>
  <c r="R275" i="1"/>
  <c r="T275" i="1"/>
  <c r="J275" i="1"/>
  <c r="Q275" i="1"/>
  <c r="I275" i="1"/>
  <c r="N275" i="1"/>
  <c r="S275" i="1"/>
  <c r="L275" i="1"/>
  <c r="K275" i="1"/>
  <c r="M275" i="1"/>
  <c r="T228" i="1"/>
  <c r="L228" i="1"/>
  <c r="N228" i="1"/>
  <c r="Q228" i="1"/>
  <c r="M228" i="1"/>
  <c r="K228" i="1"/>
  <c r="I228" i="1"/>
  <c r="S228" i="1"/>
  <c r="R228" i="1"/>
  <c r="J228" i="1"/>
  <c r="S361" i="1"/>
  <c r="J361" i="1"/>
  <c r="K361" i="1"/>
  <c r="L361" i="1"/>
  <c r="M361" i="1"/>
  <c r="I361" i="1"/>
  <c r="T361" i="1"/>
  <c r="N361" i="1"/>
  <c r="Q361" i="1"/>
  <c r="R361" i="1"/>
  <c r="N306" i="1"/>
  <c r="M306" i="1"/>
  <c r="R306" i="1"/>
  <c r="T306" i="1"/>
  <c r="J306" i="1"/>
  <c r="L306" i="1"/>
  <c r="S306" i="1"/>
  <c r="Q306" i="1"/>
  <c r="I306" i="1"/>
  <c r="K306" i="1"/>
  <c r="K234" i="1"/>
  <c r="T234" i="1"/>
  <c r="L234" i="1"/>
  <c r="N234" i="1"/>
  <c r="Q234" i="1"/>
  <c r="R234" i="1"/>
  <c r="S234" i="1"/>
  <c r="J234" i="1"/>
  <c r="I234" i="1"/>
  <c r="M234" i="1"/>
  <c r="M362" i="1"/>
  <c r="Q362" i="1"/>
  <c r="R362" i="1"/>
  <c r="T362" i="1"/>
  <c r="J362" i="1"/>
  <c r="I362" i="1"/>
  <c r="L362" i="1"/>
  <c r="N362" i="1"/>
  <c r="K362" i="1"/>
  <c r="S362" i="1"/>
  <c r="I311" i="1"/>
  <c r="Q311" i="1"/>
  <c r="K311" i="1"/>
  <c r="S311" i="1"/>
  <c r="L311" i="1"/>
  <c r="T311" i="1"/>
  <c r="M311" i="1"/>
  <c r="J311" i="1"/>
  <c r="N311" i="1"/>
  <c r="R311" i="1"/>
  <c r="I255" i="1"/>
  <c r="S255" i="1"/>
  <c r="M255" i="1"/>
  <c r="K255" i="1"/>
  <c r="N255" i="1"/>
  <c r="T255" i="1"/>
  <c r="R255" i="1"/>
  <c r="Q255" i="1"/>
  <c r="J255" i="1"/>
  <c r="L255" i="1"/>
  <c r="J359" i="1"/>
  <c r="N359" i="1"/>
  <c r="R359" i="1"/>
  <c r="L359" i="1"/>
  <c r="T359" i="1"/>
  <c r="S359" i="1"/>
  <c r="I359" i="1"/>
  <c r="K359" i="1"/>
  <c r="Q359" i="1"/>
  <c r="M359" i="1"/>
  <c r="I249" i="1"/>
  <c r="J249" i="1"/>
  <c r="L249" i="1"/>
  <c r="K249" i="1"/>
  <c r="S249" i="1"/>
  <c r="R249" i="1"/>
  <c r="M249" i="1"/>
  <c r="N249" i="1"/>
  <c r="T249" i="1"/>
  <c r="Q249" i="1"/>
  <c r="I286" i="1"/>
  <c r="K286" i="1"/>
  <c r="Q286" i="1"/>
  <c r="S286" i="1"/>
  <c r="T286" i="1"/>
  <c r="L286" i="1"/>
  <c r="M286" i="1"/>
  <c r="N286" i="1"/>
  <c r="R286" i="1"/>
  <c r="J286" i="1"/>
  <c r="I385" i="1"/>
  <c r="S385" i="1"/>
  <c r="J385" i="1"/>
  <c r="K385" i="1"/>
  <c r="M385" i="1"/>
  <c r="N385" i="1"/>
  <c r="Q385" i="1"/>
  <c r="T385" i="1"/>
  <c r="L385" i="1"/>
  <c r="R385" i="1"/>
  <c r="J349" i="1"/>
  <c r="K349" i="1"/>
  <c r="M349" i="1"/>
  <c r="S349" i="1"/>
  <c r="R349" i="1"/>
  <c r="I349" i="1"/>
  <c r="Q349" i="1"/>
  <c r="L349" i="1"/>
  <c r="N349" i="1"/>
  <c r="T349" i="1"/>
  <c r="L297" i="1"/>
  <c r="I297" i="1"/>
  <c r="K297" i="1"/>
  <c r="Q297" i="1"/>
  <c r="S297" i="1"/>
  <c r="N297" i="1"/>
  <c r="R297" i="1"/>
  <c r="J297" i="1"/>
  <c r="T297" i="1"/>
  <c r="M297" i="1"/>
  <c r="I223" i="1"/>
  <c r="K223" i="1"/>
  <c r="L223" i="1"/>
  <c r="N223" i="1"/>
  <c r="R223" i="1"/>
  <c r="J223" i="1"/>
  <c r="M223" i="1"/>
  <c r="T223" i="1"/>
  <c r="S223" i="1"/>
  <c r="Q223" i="1"/>
  <c r="N179" i="1"/>
  <c r="K179" i="1"/>
  <c r="J179" i="1"/>
  <c r="S179" i="1"/>
  <c r="I179" i="1"/>
  <c r="L179" i="1"/>
  <c r="R179" i="1"/>
  <c r="Q179" i="1"/>
  <c r="M179" i="1"/>
  <c r="T179" i="1"/>
  <c r="I210" i="1"/>
  <c r="N210" i="1"/>
  <c r="S210" i="1"/>
  <c r="K210" i="1"/>
  <c r="M210" i="1"/>
  <c r="T210" i="1"/>
  <c r="Q210" i="1"/>
  <c r="J210" i="1"/>
  <c r="L210" i="1"/>
  <c r="R210" i="1"/>
  <c r="M178" i="1"/>
  <c r="L178" i="1"/>
  <c r="N178" i="1"/>
  <c r="Q178" i="1"/>
  <c r="R178" i="1"/>
  <c r="I178" i="1"/>
  <c r="S178" i="1"/>
  <c r="J178" i="1"/>
  <c r="K178" i="1"/>
  <c r="T178" i="1"/>
  <c r="M186" i="1"/>
  <c r="Q186" i="1"/>
  <c r="S186" i="1"/>
  <c r="T186" i="1"/>
  <c r="K186" i="1"/>
  <c r="J186" i="1"/>
  <c r="L186" i="1"/>
  <c r="I186" i="1"/>
  <c r="N186" i="1"/>
  <c r="R186" i="1"/>
  <c r="N226" i="1"/>
  <c r="Q226" i="1"/>
  <c r="R226" i="1"/>
  <c r="T226" i="1"/>
  <c r="I226" i="1"/>
  <c r="M226" i="1"/>
  <c r="K226" i="1"/>
  <c r="L226" i="1"/>
  <c r="S226" i="1"/>
  <c r="J226" i="1"/>
  <c r="Q184" i="1"/>
  <c r="R184" i="1"/>
  <c r="T184" i="1"/>
  <c r="I184" i="1"/>
  <c r="J184" i="1"/>
  <c r="N184" i="1"/>
  <c r="M184" i="1"/>
  <c r="K184" i="1"/>
  <c r="S184" i="1"/>
  <c r="L184" i="1"/>
  <c r="J116" i="1"/>
  <c r="S116" i="1"/>
  <c r="K116" i="1"/>
  <c r="T116" i="1"/>
  <c r="L116" i="1"/>
  <c r="M116" i="1"/>
  <c r="N116" i="1"/>
  <c r="Q116" i="1"/>
  <c r="I116" i="1"/>
  <c r="R116" i="1"/>
  <c r="I145" i="1"/>
  <c r="J145" i="1"/>
  <c r="K145" i="1"/>
  <c r="M145" i="1"/>
  <c r="N145" i="1"/>
  <c r="S145" i="1"/>
  <c r="R145" i="1"/>
  <c r="Q145" i="1"/>
  <c r="T145" i="1"/>
  <c r="L145" i="1"/>
  <c r="Q65" i="1"/>
  <c r="J65" i="1"/>
  <c r="S65" i="1"/>
  <c r="K65" i="1"/>
  <c r="T65" i="1"/>
  <c r="L65" i="1"/>
  <c r="M65" i="1"/>
  <c r="N65" i="1"/>
  <c r="R65" i="1"/>
  <c r="I65" i="1"/>
  <c r="K132" i="1"/>
  <c r="T132" i="1"/>
  <c r="L132" i="1"/>
  <c r="M132" i="1"/>
  <c r="N132" i="1"/>
  <c r="I132" i="1"/>
  <c r="R132" i="1"/>
  <c r="J132" i="1"/>
  <c r="Q132" i="1"/>
  <c r="S132" i="1"/>
  <c r="J36" i="1"/>
  <c r="K36" i="1"/>
  <c r="Q36" i="1"/>
  <c r="R36" i="1"/>
  <c r="S36" i="1"/>
  <c r="I36" i="1"/>
  <c r="L36" i="1"/>
  <c r="N36" i="1"/>
  <c r="T36" i="1"/>
  <c r="M36" i="1"/>
  <c r="R75" i="1"/>
  <c r="I75" i="1"/>
  <c r="M75" i="1"/>
  <c r="S75" i="1"/>
  <c r="Q75" i="1"/>
  <c r="J75" i="1"/>
  <c r="K75" i="1"/>
  <c r="N75" i="1"/>
  <c r="T75" i="1"/>
  <c r="L75" i="1"/>
  <c r="J115" i="1"/>
  <c r="S115" i="1"/>
  <c r="I115" i="1"/>
  <c r="K115" i="1"/>
  <c r="Q115" i="1"/>
  <c r="L115" i="1"/>
  <c r="R115" i="1"/>
  <c r="N115" i="1"/>
  <c r="M115" i="1"/>
  <c r="T115" i="1"/>
  <c r="M128" i="1"/>
  <c r="S128" i="1"/>
  <c r="N128" i="1"/>
  <c r="J128" i="1"/>
  <c r="I128" i="1"/>
  <c r="L128" i="1"/>
  <c r="R128" i="1"/>
  <c r="K128" i="1"/>
  <c r="T128" i="1"/>
  <c r="Q128" i="1"/>
  <c r="N96" i="1"/>
  <c r="Q96" i="1"/>
  <c r="I96" i="1"/>
  <c r="R96" i="1"/>
  <c r="J96" i="1"/>
  <c r="K96" i="1"/>
  <c r="L96" i="1"/>
  <c r="S96" i="1"/>
  <c r="T96" i="1"/>
  <c r="M96" i="1"/>
  <c r="I79" i="1"/>
  <c r="J79" i="1"/>
  <c r="T79" i="1"/>
  <c r="M79" i="1"/>
  <c r="N79" i="1"/>
  <c r="R79" i="1"/>
  <c r="K79" i="1"/>
  <c r="S79" i="1"/>
  <c r="L79" i="1"/>
  <c r="Q79" i="1"/>
  <c r="N53" i="1"/>
  <c r="J53" i="1"/>
  <c r="R53" i="1"/>
  <c r="S53" i="1"/>
  <c r="T53" i="1"/>
  <c r="I53" i="1"/>
  <c r="K53" i="1"/>
  <c r="L53" i="1"/>
  <c r="Q53" i="1"/>
  <c r="M53" i="1"/>
  <c r="T89" i="1"/>
  <c r="J89" i="1"/>
  <c r="L89" i="1"/>
  <c r="M89" i="1"/>
  <c r="N89" i="1"/>
  <c r="S89" i="1"/>
  <c r="R89" i="1"/>
  <c r="I89" i="1"/>
  <c r="K89" i="1"/>
  <c r="Q89" i="1"/>
  <c r="L66" i="1"/>
  <c r="Q66" i="1"/>
  <c r="R66" i="1"/>
  <c r="S66" i="1"/>
  <c r="I66" i="1"/>
  <c r="T66" i="1"/>
  <c r="J66" i="1"/>
  <c r="K66" i="1"/>
  <c r="N66" i="1"/>
  <c r="M66" i="1"/>
  <c r="I10" i="1"/>
  <c r="Q10" i="1"/>
  <c r="L10" i="1"/>
  <c r="T10" i="1"/>
  <c r="M10" i="1"/>
  <c r="N10" i="1"/>
  <c r="J10" i="1"/>
  <c r="K10" i="1"/>
  <c r="R10" i="1"/>
  <c r="S10" i="1"/>
  <c r="N55" i="1"/>
  <c r="L55" i="1"/>
  <c r="Q55" i="1"/>
  <c r="T55" i="1"/>
  <c r="S55" i="1"/>
  <c r="M55" i="1"/>
  <c r="I55" i="1"/>
  <c r="R55" i="1"/>
  <c r="J55" i="1"/>
  <c r="K55" i="1"/>
  <c r="I94" i="1"/>
  <c r="N94" i="1"/>
  <c r="R94" i="1"/>
  <c r="Q94" i="1"/>
  <c r="K94" i="1"/>
  <c r="T94" i="1"/>
  <c r="M94" i="1"/>
  <c r="L94" i="1"/>
  <c r="J94" i="1"/>
  <c r="S94" i="1"/>
  <c r="I18" i="1"/>
  <c r="Q18" i="1"/>
  <c r="M18" i="1"/>
  <c r="N18" i="1"/>
  <c r="J18" i="1"/>
  <c r="R18" i="1"/>
  <c r="K18" i="1"/>
  <c r="L18" i="1"/>
  <c r="T18" i="1"/>
  <c r="S18" i="1"/>
  <c r="J61" i="1"/>
  <c r="T61" i="1"/>
  <c r="N61" i="1"/>
  <c r="S61" i="1"/>
  <c r="L61" i="1"/>
  <c r="M61" i="1"/>
  <c r="Q61" i="1"/>
  <c r="R61" i="1"/>
  <c r="I61" i="1"/>
  <c r="K61" i="1"/>
  <c r="L7" i="1"/>
  <c r="N7" i="1"/>
  <c r="T7" i="1"/>
  <c r="Q7" i="1"/>
  <c r="M7" i="1"/>
  <c r="S7" i="1"/>
  <c r="I7" i="1"/>
  <c r="J7" i="1"/>
  <c r="K7" i="1"/>
  <c r="R7" i="1"/>
  <c r="Q812" i="1"/>
  <c r="I812" i="1"/>
  <c r="R812" i="1"/>
  <c r="J812" i="1"/>
  <c r="S812" i="1"/>
  <c r="N812" i="1"/>
  <c r="K812" i="1"/>
  <c r="T812" i="1"/>
  <c r="L812" i="1"/>
  <c r="M812" i="1"/>
  <c r="J811" i="1"/>
  <c r="S811" i="1"/>
  <c r="K811" i="1"/>
  <c r="T811" i="1"/>
  <c r="R811" i="1"/>
  <c r="L811" i="1"/>
  <c r="M811" i="1"/>
  <c r="N811" i="1"/>
  <c r="I811" i="1"/>
  <c r="Q811" i="1"/>
  <c r="I1077" i="1"/>
  <c r="R1077" i="1"/>
  <c r="J1077" i="1"/>
  <c r="S1077" i="1"/>
  <c r="K1077" i="1"/>
  <c r="T1077" i="1"/>
  <c r="L1077" i="1"/>
  <c r="M1077" i="1"/>
  <c r="N1077" i="1"/>
  <c r="Q1077" i="1"/>
  <c r="M744" i="1"/>
  <c r="L744" i="1"/>
  <c r="N744" i="1"/>
  <c r="J744" i="1"/>
  <c r="Q744" i="1"/>
  <c r="I744" i="1"/>
  <c r="R744" i="1"/>
  <c r="S744" i="1"/>
  <c r="K744" i="1"/>
  <c r="T744" i="1"/>
  <c r="Q746" i="1"/>
  <c r="N746" i="1"/>
  <c r="I746" i="1"/>
  <c r="R746" i="1"/>
  <c r="L746" i="1"/>
  <c r="J746" i="1"/>
  <c r="S746" i="1"/>
  <c r="K746" i="1"/>
  <c r="T746" i="1"/>
  <c r="M746" i="1"/>
  <c r="J769" i="1"/>
  <c r="S769" i="1"/>
  <c r="K769" i="1"/>
  <c r="T769" i="1"/>
  <c r="R769" i="1"/>
  <c r="L769" i="1"/>
  <c r="I769" i="1"/>
  <c r="M769" i="1"/>
  <c r="N769" i="1"/>
  <c r="Q769" i="1"/>
  <c r="Q819" i="1"/>
  <c r="I819" i="1"/>
  <c r="R819" i="1"/>
  <c r="J819" i="1"/>
  <c r="S819" i="1"/>
  <c r="K819" i="1"/>
  <c r="T819" i="1"/>
  <c r="L819" i="1"/>
  <c r="M819" i="1"/>
  <c r="N819" i="1"/>
  <c r="N745" i="1"/>
  <c r="T745" i="1"/>
  <c r="Q745" i="1"/>
  <c r="I745" i="1"/>
  <c r="R745" i="1"/>
  <c r="K745" i="1"/>
  <c r="J745" i="1"/>
  <c r="S745" i="1"/>
  <c r="M745" i="1"/>
  <c r="L745" i="1"/>
  <c r="J749" i="1"/>
  <c r="S749" i="1"/>
  <c r="K749" i="1"/>
  <c r="T749" i="1"/>
  <c r="L749" i="1"/>
  <c r="N749" i="1"/>
  <c r="M749" i="1"/>
  <c r="Q749" i="1"/>
  <c r="R749" i="1"/>
  <c r="I749" i="1"/>
  <c r="M813" i="1"/>
  <c r="N813" i="1"/>
  <c r="J813" i="1"/>
  <c r="Q813" i="1"/>
  <c r="S813" i="1"/>
  <c r="L813" i="1"/>
  <c r="I813" i="1"/>
  <c r="R813" i="1"/>
  <c r="K813" i="1"/>
  <c r="T813" i="1"/>
  <c r="J750" i="1"/>
  <c r="S750" i="1"/>
  <c r="K750" i="1"/>
  <c r="T750" i="1"/>
  <c r="L750" i="1"/>
  <c r="N750" i="1"/>
  <c r="M750" i="1"/>
  <c r="Q750" i="1"/>
  <c r="R750" i="1"/>
  <c r="I750" i="1"/>
  <c r="U15" i="1" l="1"/>
  <c r="U474" i="1"/>
  <c r="U238" i="1"/>
  <c r="U341" i="1"/>
  <c r="U599" i="1"/>
  <c r="U74" i="1"/>
  <c r="O275" i="1"/>
  <c r="U553" i="1"/>
  <c r="U370" i="1"/>
  <c r="U259" i="1"/>
  <c r="U366" i="1"/>
  <c r="U516" i="1"/>
  <c r="O444" i="1"/>
  <c r="U312" i="1"/>
  <c r="U34" i="1"/>
  <c r="U241" i="1"/>
  <c r="U358" i="1"/>
  <c r="U417" i="1"/>
  <c r="U303" i="1"/>
  <c r="O7" i="1"/>
  <c r="U79" i="1"/>
  <c r="O116" i="1"/>
  <c r="U223" i="1"/>
  <c r="U297" i="1"/>
  <c r="O249" i="1"/>
  <c r="U361" i="1"/>
  <c r="O228" i="1"/>
  <c r="O389" i="1"/>
  <c r="U166" i="1"/>
  <c r="O502" i="1"/>
  <c r="U538" i="1"/>
  <c r="U375" i="1"/>
  <c r="U520" i="1"/>
  <c r="O422" i="1"/>
  <c r="U582" i="1"/>
  <c r="O476" i="1"/>
  <c r="U660" i="1"/>
  <c r="U626" i="1"/>
  <c r="O616" i="1"/>
  <c r="U665" i="1"/>
  <c r="O412" i="1"/>
  <c r="U59" i="1"/>
  <c r="O86" i="1"/>
  <c r="U133" i="1"/>
  <c r="O121" i="1"/>
  <c r="O77" i="1"/>
  <c r="U64" i="1"/>
  <c r="O149" i="1"/>
  <c r="U182" i="1"/>
  <c r="O337" i="1"/>
  <c r="O386" i="1"/>
  <c r="U386" i="1"/>
  <c r="U256" i="1"/>
  <c r="U319" i="1"/>
  <c r="U371" i="1"/>
  <c r="O371" i="1"/>
  <c r="U331" i="1"/>
  <c r="U523" i="1"/>
  <c r="U625" i="1"/>
  <c r="O625" i="1"/>
  <c r="U573" i="1"/>
  <c r="U629" i="1"/>
  <c r="O657" i="1"/>
  <c r="O399" i="1"/>
  <c r="U288" i="1"/>
  <c r="O674" i="1"/>
  <c r="O72" i="1"/>
  <c r="O80" i="1"/>
  <c r="O67" i="1"/>
  <c r="U106" i="1"/>
  <c r="U135" i="1"/>
  <c r="O135" i="1"/>
  <c r="O71" i="1"/>
  <c r="O204" i="1"/>
  <c r="U31" i="1"/>
  <c r="O264" i="1"/>
  <c r="U261" i="1"/>
  <c r="O314" i="1"/>
  <c r="U495" i="1"/>
  <c r="U429" i="1"/>
  <c r="U524" i="1"/>
  <c r="O650" i="1"/>
  <c r="O405" i="1"/>
  <c r="U588" i="1"/>
  <c r="U266" i="1"/>
  <c r="U575" i="1"/>
  <c r="O676" i="1"/>
  <c r="U663" i="1"/>
  <c r="U9" i="1"/>
  <c r="U110" i="1"/>
  <c r="O141" i="1"/>
  <c r="O124" i="1"/>
  <c r="U157" i="1"/>
  <c r="U232" i="1"/>
  <c r="U68" i="1"/>
  <c r="U465" i="1"/>
  <c r="U159" i="1"/>
  <c r="U248" i="1"/>
  <c r="O407" i="1"/>
  <c r="U452" i="1"/>
  <c r="U642" i="1"/>
  <c r="U605" i="1"/>
  <c r="U426" i="1"/>
  <c r="U497" i="1"/>
  <c r="O348" i="1"/>
  <c r="U11" i="1"/>
  <c r="U555" i="1"/>
  <c r="U390" i="1"/>
  <c r="U137" i="1"/>
  <c r="U439" i="1"/>
  <c r="U382" i="1"/>
  <c r="O571" i="1"/>
  <c r="U227" i="1"/>
  <c r="O410" i="1"/>
  <c r="U102" i="1"/>
  <c r="U403" i="1"/>
  <c r="O651" i="1"/>
  <c r="U623" i="1"/>
  <c r="U654" i="1"/>
  <c r="U637" i="1"/>
  <c r="U593" i="1"/>
  <c r="U692" i="1"/>
  <c r="O539" i="1"/>
  <c r="O583" i="1"/>
  <c r="U284" i="1"/>
  <c r="O33" i="1"/>
  <c r="U33" i="1"/>
  <c r="O38" i="1"/>
  <c r="O139" i="1"/>
  <c r="U161" i="1"/>
  <c r="U230" i="1"/>
  <c r="O194" i="1"/>
  <c r="O202" i="1"/>
  <c r="O338" i="1"/>
  <c r="O328" i="1"/>
  <c r="U355" i="1"/>
  <c r="O438" i="1"/>
  <c r="O378" i="1"/>
  <c r="U459" i="1"/>
  <c r="O507" i="1"/>
  <c r="O521" i="1"/>
  <c r="U433" i="1"/>
  <c r="U546" i="1"/>
  <c r="U545" i="1"/>
  <c r="U466" i="1"/>
  <c r="O611" i="1"/>
  <c r="O681" i="1"/>
  <c r="U620" i="1"/>
  <c r="U687" i="1"/>
  <c r="O687" i="1"/>
  <c r="U562" i="1"/>
  <c r="O679" i="1"/>
  <c r="U294" i="1"/>
  <c r="U565" i="1"/>
  <c r="U87" i="1"/>
  <c r="O42" i="1"/>
  <c r="U40" i="1"/>
  <c r="O85" i="1"/>
  <c r="U117" i="1"/>
  <c r="O117" i="1"/>
  <c r="O156" i="1"/>
  <c r="O131" i="1"/>
  <c r="O209" i="1"/>
  <c r="O340" i="1"/>
  <c r="U329" i="1"/>
  <c r="O304" i="1"/>
  <c r="U456" i="1"/>
  <c r="U247" i="1"/>
  <c r="O265" i="1"/>
  <c r="U460" i="1"/>
  <c r="U347" i="1"/>
  <c r="U560" i="1"/>
  <c r="U597" i="1"/>
  <c r="O597" i="1"/>
  <c r="U561" i="1"/>
  <c r="U509" i="1"/>
  <c r="O666" i="1"/>
  <c r="O420" i="1"/>
  <c r="U694" i="1"/>
  <c r="U103" i="1"/>
  <c r="U185" i="1"/>
  <c r="U343" i="1"/>
  <c r="U165" i="1"/>
  <c r="O101" i="1"/>
  <c r="U174" i="1"/>
  <c r="U125" i="1"/>
  <c r="U173" i="1"/>
  <c r="U273" i="1"/>
  <c r="O327" i="1"/>
  <c r="O397" i="1"/>
  <c r="O326" i="1"/>
  <c r="O501" i="1"/>
  <c r="O272" i="1"/>
  <c r="O449" i="1"/>
  <c r="O450" i="1"/>
  <c r="U673" i="1"/>
  <c r="O564" i="1"/>
  <c r="O603" i="1"/>
  <c r="U302" i="1"/>
  <c r="U668" i="1"/>
  <c r="U632" i="1"/>
  <c r="O540" i="1"/>
  <c r="U601" i="1"/>
  <c r="O427" i="1"/>
  <c r="U438" i="1"/>
  <c r="U655" i="1"/>
  <c r="U661" i="1"/>
  <c r="U168" i="1"/>
  <c r="U155" i="1"/>
  <c r="U236" i="1"/>
  <c r="O454" i="1"/>
  <c r="U153" i="1"/>
  <c r="U653" i="1"/>
  <c r="U508" i="1"/>
  <c r="U254" i="1"/>
  <c r="O481" i="1"/>
  <c r="U420" i="1"/>
  <c r="O330" i="1"/>
  <c r="U69" i="1"/>
  <c r="U237" i="1"/>
  <c r="U645" i="1"/>
  <c r="O383" i="1"/>
  <c r="O109" i="1"/>
  <c r="O147" i="1"/>
  <c r="U367" i="1"/>
  <c r="U636" i="1"/>
  <c r="O463" i="1"/>
  <c r="U42" i="1"/>
  <c r="U268" i="1"/>
  <c r="O500" i="1"/>
  <c r="U395" i="1"/>
  <c r="O320" i="1"/>
  <c r="U198" i="1"/>
  <c r="U461" i="1"/>
  <c r="U628" i="1"/>
  <c r="U145" i="1"/>
  <c r="U141" i="1"/>
  <c r="U293" i="1"/>
  <c r="O417" i="1"/>
  <c r="U517" i="1"/>
  <c r="U56" i="1"/>
  <c r="O90" i="1"/>
  <c r="O10" i="1"/>
  <c r="O297" i="1"/>
  <c r="U385" i="1"/>
  <c r="U480" i="1"/>
  <c r="O469" i="1"/>
  <c r="U473" i="1"/>
  <c r="U613" i="1"/>
  <c r="O689" i="1"/>
  <c r="O246" i="1"/>
  <c r="U487" i="1"/>
  <c r="U472" i="1"/>
  <c r="U669" i="1"/>
  <c r="U88" i="1"/>
  <c r="O177" i="1"/>
  <c r="O392" i="1"/>
  <c r="U580" i="1"/>
  <c r="U21" i="1"/>
  <c r="O137" i="1"/>
  <c r="U354" i="1"/>
  <c r="O373" i="1"/>
  <c r="U445" i="1"/>
  <c r="O341" i="1"/>
  <c r="U652" i="1"/>
  <c r="U672" i="1"/>
  <c r="O439" i="1"/>
  <c r="U346" i="1"/>
  <c r="U336" i="1"/>
  <c r="U323" i="1"/>
  <c r="U283" i="1"/>
  <c r="U677" i="1"/>
  <c r="O351" i="1"/>
  <c r="O635" i="1"/>
  <c r="U211" i="1"/>
  <c r="O138" i="1"/>
  <c r="O251" i="1"/>
  <c r="U537" i="1"/>
  <c r="U585" i="1"/>
  <c r="U49" i="1"/>
  <c r="U260" i="1"/>
  <c r="U372" i="1"/>
  <c r="U340" i="1"/>
  <c r="U416" i="1"/>
  <c r="O167" i="1"/>
  <c r="U501" i="1"/>
  <c r="U589" i="1"/>
  <c r="U547" i="1"/>
  <c r="U609" i="1"/>
  <c r="U685" i="1"/>
  <c r="O691" i="1"/>
  <c r="U339" i="1"/>
  <c r="O360" i="1"/>
  <c r="U534" i="1"/>
  <c r="U374" i="1"/>
  <c r="U205" i="1"/>
  <c r="U529" i="1"/>
  <c r="O432" i="1"/>
  <c r="O523" i="1"/>
  <c r="O179" i="1"/>
  <c r="U286" i="1"/>
  <c r="U348" i="1"/>
  <c r="O381" i="1"/>
  <c r="U549" i="1"/>
  <c r="O18" i="1"/>
  <c r="O55" i="1"/>
  <c r="O89" i="1"/>
  <c r="U210" i="1"/>
  <c r="O286" i="1"/>
  <c r="O255" i="1"/>
  <c r="U234" i="1"/>
  <c r="O306" i="1"/>
  <c r="U228" i="1"/>
  <c r="U467" i="1"/>
  <c r="O166" i="1"/>
  <c r="O356" i="1"/>
  <c r="O403" i="1"/>
  <c r="U471" i="1"/>
  <c r="O375" i="1"/>
  <c r="O520" i="1"/>
  <c r="O473" i="1"/>
  <c r="O553" i="1"/>
  <c r="O594" i="1"/>
  <c r="O554" i="1"/>
  <c r="U556" i="1"/>
  <c r="O639" i="1"/>
  <c r="U578" i="1"/>
  <c r="O8" i="1"/>
  <c r="O462" i="1"/>
  <c r="U410" i="1"/>
  <c r="O685" i="1"/>
  <c r="O12" i="1"/>
  <c r="O59" i="1"/>
  <c r="U86" i="1"/>
  <c r="O93" i="1"/>
  <c r="U107" i="1"/>
  <c r="U152" i="1"/>
  <c r="U181" i="1"/>
  <c r="U300" i="1"/>
  <c r="U357" i="1"/>
  <c r="O256" i="1"/>
  <c r="O259" i="1"/>
  <c r="U281" i="1"/>
  <c r="U321" i="1"/>
  <c r="O396" i="1"/>
  <c r="O363" i="1"/>
  <c r="U485" i="1"/>
  <c r="O516" i="1"/>
  <c r="U444" i="1"/>
  <c r="U494" i="1"/>
  <c r="O478" i="1"/>
  <c r="U630" i="1"/>
  <c r="U492" i="1"/>
  <c r="O584" i="1"/>
  <c r="U598" i="1"/>
  <c r="U571" i="1"/>
  <c r="O669" i="1"/>
  <c r="U657" i="1"/>
  <c r="O570" i="1"/>
  <c r="O78" i="1"/>
  <c r="U172" i="1"/>
  <c r="U37" i="1"/>
  <c r="U105" i="1"/>
  <c r="U160" i="1"/>
  <c r="O508" i="1"/>
  <c r="O580" i="1"/>
  <c r="O607" i="1"/>
  <c r="U674" i="1"/>
  <c r="U80" i="1"/>
  <c r="U187" i="1"/>
  <c r="U364" i="1"/>
  <c r="U264" i="1"/>
  <c r="O374" i="1"/>
  <c r="O324" i="1"/>
  <c r="U212" i="1"/>
  <c r="U373" i="1"/>
  <c r="O238" i="1"/>
  <c r="O495" i="1"/>
  <c r="U423" i="1"/>
  <c r="O524" i="1"/>
  <c r="U541" i="1"/>
  <c r="U650" i="1"/>
  <c r="O652" i="1"/>
  <c r="U631" i="1"/>
  <c r="U691" i="1"/>
  <c r="U670" i="1"/>
  <c r="O346" i="1"/>
  <c r="O74" i="1"/>
  <c r="O9" i="1"/>
  <c r="O70" i="1"/>
  <c r="O110" i="1"/>
  <c r="U147" i="1"/>
  <c r="O126" i="1"/>
  <c r="O358" i="1"/>
  <c r="U262" i="1"/>
  <c r="O159" i="1"/>
  <c r="O291" i="1"/>
  <c r="U431" i="1"/>
  <c r="U491" i="1"/>
  <c r="O568" i="1"/>
  <c r="U651" i="1"/>
  <c r="O610" i="1"/>
  <c r="O637" i="1"/>
  <c r="O693" i="1"/>
  <c r="O683" i="1"/>
  <c r="U543" i="1"/>
  <c r="U583" i="1"/>
  <c r="O455" i="1"/>
  <c r="U38" i="1"/>
  <c r="O76" i="1"/>
  <c r="U90" i="1"/>
  <c r="U150" i="1"/>
  <c r="O130" i="1"/>
  <c r="U263" i="1"/>
  <c r="U328" i="1"/>
  <c r="O390" i="1"/>
  <c r="O325" i="1"/>
  <c r="U279" i="1"/>
  <c r="O453" i="1"/>
  <c r="U525" i="1"/>
  <c r="U482" i="1"/>
  <c r="O537" i="1"/>
  <c r="O572" i="1"/>
  <c r="U591" i="1"/>
  <c r="O617" i="1"/>
  <c r="O466" i="1"/>
  <c r="U611" i="1"/>
  <c r="O408" i="1"/>
  <c r="U686" i="1"/>
  <c r="U16" i="1"/>
  <c r="O239" i="1"/>
  <c r="O458" i="1"/>
  <c r="O636" i="1"/>
  <c r="O87" i="1"/>
  <c r="O40" i="1"/>
  <c r="O49" i="1"/>
  <c r="U26" i="1"/>
  <c r="U151" i="1"/>
  <c r="U118" i="1"/>
  <c r="O224" i="1"/>
  <c r="O339" i="1"/>
  <c r="U171" i="1"/>
  <c r="O289" i="1"/>
  <c r="O329" i="1"/>
  <c r="U304" i="1"/>
  <c r="O298" i="1"/>
  <c r="O456" i="1"/>
  <c r="O299" i="1"/>
  <c r="O497" i="1"/>
  <c r="O560" i="1"/>
  <c r="U574" i="1"/>
  <c r="O661" i="1"/>
  <c r="O561" i="1"/>
  <c r="O644" i="1"/>
  <c r="O509" i="1"/>
  <c r="U551" i="1"/>
  <c r="U612" i="1"/>
  <c r="U671" i="1"/>
  <c r="O634" i="1"/>
  <c r="U622" i="1"/>
  <c r="U604" i="1"/>
  <c r="O619" i="1"/>
  <c r="O62" i="1"/>
  <c r="O129" i="1"/>
  <c r="O303" i="1"/>
  <c r="O510" i="1"/>
  <c r="O558" i="1"/>
  <c r="O658" i="1"/>
  <c r="U43" i="1"/>
  <c r="O60" i="1"/>
  <c r="U158" i="1"/>
  <c r="O158" i="1"/>
  <c r="U167" i="1"/>
  <c r="U101" i="1"/>
  <c r="O174" i="1"/>
  <c r="U327" i="1"/>
  <c r="U397" i="1"/>
  <c r="O295" i="1"/>
  <c r="U384" i="1"/>
  <c r="O317" i="1"/>
  <c r="O517" i="1"/>
  <c r="O653" i="1"/>
  <c r="O576" i="1"/>
  <c r="O673" i="1"/>
  <c r="U603" i="1"/>
  <c r="O549" i="1"/>
  <c r="O623" i="1"/>
  <c r="U245" i="1"/>
  <c r="U387" i="1"/>
  <c r="O633" i="1"/>
  <c r="O695" i="1"/>
  <c r="U224" i="1"/>
  <c r="U55" i="1"/>
  <c r="U10" i="1"/>
  <c r="O184" i="1"/>
  <c r="O186" i="1"/>
  <c r="U186" i="1"/>
  <c r="U179" i="1"/>
  <c r="O359" i="1"/>
  <c r="U255" i="1"/>
  <c r="U362" i="1"/>
  <c r="O318" i="1"/>
  <c r="O467" i="1"/>
  <c r="U502" i="1"/>
  <c r="U469" i="1"/>
  <c r="O638" i="1"/>
  <c r="U554" i="1"/>
  <c r="O613" i="1"/>
  <c r="O596" i="1"/>
  <c r="O688" i="1"/>
  <c r="U441" i="1"/>
  <c r="U188" i="1"/>
  <c r="U12" i="1"/>
  <c r="U54" i="1"/>
  <c r="O133" i="1"/>
  <c r="U121" i="1"/>
  <c r="O181" i="1"/>
  <c r="O182" i="1"/>
  <c r="U169" i="1"/>
  <c r="U365" i="1"/>
  <c r="U363" i="1"/>
  <c r="O331" i="1"/>
  <c r="U468" i="1"/>
  <c r="U215" i="1"/>
  <c r="U246" i="1"/>
  <c r="U414" i="1"/>
  <c r="O494" i="1"/>
  <c r="O487" i="1"/>
  <c r="O557" i="1"/>
  <c r="U584" i="1"/>
  <c r="O598" i="1"/>
  <c r="U532" i="1"/>
  <c r="U399" i="1"/>
  <c r="O105" i="1"/>
  <c r="U292" i="1"/>
  <c r="U383" i="1"/>
  <c r="O288" i="1"/>
  <c r="U499" i="1"/>
  <c r="U72" i="1"/>
  <c r="O45" i="1"/>
  <c r="O153" i="1"/>
  <c r="U170" i="1"/>
  <c r="O31" i="1"/>
  <c r="O364" i="1"/>
  <c r="U314" i="1"/>
  <c r="U324" i="1"/>
  <c r="O512" i="1"/>
  <c r="U418" i="1"/>
  <c r="O474" i="1"/>
  <c r="O423" i="1"/>
  <c r="O429" i="1"/>
  <c r="O640" i="1"/>
  <c r="U608" i="1"/>
  <c r="O266" i="1"/>
  <c r="O631" i="1"/>
  <c r="U675" i="1"/>
  <c r="U142" i="1"/>
  <c r="U119" i="1"/>
  <c r="O157" i="1"/>
  <c r="O213" i="1"/>
  <c r="U368" i="1"/>
  <c r="O232" i="1"/>
  <c r="O262" i="1"/>
  <c r="O323" i="1"/>
  <c r="O315" i="1"/>
  <c r="U231" i="1"/>
  <c r="O231" i="1"/>
  <c r="O257" i="1"/>
  <c r="U568" i="1"/>
  <c r="U447" i="1"/>
  <c r="O590" i="1"/>
  <c r="U514" i="1"/>
  <c r="U404" i="1"/>
  <c r="U351" i="1"/>
  <c r="U496" i="1"/>
  <c r="O92" i="1"/>
  <c r="U114" i="1"/>
  <c r="O98" i="1"/>
  <c r="U98" i="1"/>
  <c r="U130" i="1"/>
  <c r="O230" i="1"/>
  <c r="U338" i="1"/>
  <c r="O459" i="1"/>
  <c r="U521" i="1"/>
  <c r="O546" i="1"/>
  <c r="O545" i="1"/>
  <c r="U664" i="1"/>
  <c r="O585" i="1"/>
  <c r="O680" i="1"/>
  <c r="U681" i="1"/>
  <c r="U528" i="1"/>
  <c r="O562" i="1"/>
  <c r="U463" i="1"/>
  <c r="U95" i="1"/>
  <c r="O143" i="1"/>
  <c r="O164" i="1"/>
  <c r="O171" i="1"/>
  <c r="U280" i="1"/>
  <c r="U233" i="1"/>
  <c r="O268" i="1"/>
  <c r="U289" i="1"/>
  <c r="U298" i="1"/>
  <c r="U500" i="1"/>
  <c r="O395" i="1"/>
  <c r="U240" i="1"/>
  <c r="O551" i="1"/>
  <c r="O682" i="1"/>
  <c r="O30" i="1"/>
  <c r="U62" i="1"/>
  <c r="O144" i="1"/>
  <c r="O185" i="1"/>
  <c r="O434" i="1"/>
  <c r="O343" i="1"/>
  <c r="U552" i="1"/>
  <c r="O99" i="1"/>
  <c r="U52" i="1"/>
  <c r="U39" i="1"/>
  <c r="O11" i="1"/>
  <c r="O165" i="1"/>
  <c r="U58" i="1"/>
  <c r="O173" i="1"/>
  <c r="U377" i="1"/>
  <c r="U381" i="1"/>
  <c r="O258" i="1"/>
  <c r="O419" i="1"/>
  <c r="U269" i="1"/>
  <c r="O534" i="1"/>
  <c r="O464" i="1"/>
  <c r="O305" i="1"/>
  <c r="U576" i="1"/>
  <c r="O646" i="1"/>
  <c r="O555" i="1"/>
  <c r="U540" i="1"/>
  <c r="U526" i="1"/>
  <c r="U84" i="1"/>
  <c r="U693" i="1"/>
  <c r="O544" i="1"/>
  <c r="O46" i="1"/>
  <c r="U18" i="1"/>
  <c r="O94" i="1"/>
  <c r="U128" i="1"/>
  <c r="O132" i="1"/>
  <c r="U184" i="1"/>
  <c r="O234" i="1"/>
  <c r="U306" i="1"/>
  <c r="U318" i="1"/>
  <c r="U353" i="1"/>
  <c r="O402" i="1"/>
  <c r="U594" i="1"/>
  <c r="O370" i="1"/>
  <c r="U569" i="1"/>
  <c r="U688" i="1"/>
  <c r="O578" i="1"/>
  <c r="O641" i="1"/>
  <c r="O25" i="1"/>
  <c r="O54" i="1"/>
  <c r="U77" i="1"/>
  <c r="U199" i="1"/>
  <c r="O300" i="1"/>
  <c r="O169" i="1"/>
  <c r="O365" i="1"/>
  <c r="O319" i="1"/>
  <c r="O366" i="1"/>
  <c r="O253" i="1"/>
  <c r="U307" i="1"/>
  <c r="U396" i="1"/>
  <c r="O430" i="1"/>
  <c r="O398" i="1"/>
  <c r="O505" i="1"/>
  <c r="O477" i="1"/>
  <c r="O492" i="1"/>
  <c r="O559" i="1"/>
  <c r="O573" i="1"/>
  <c r="O532" i="1"/>
  <c r="O292" i="1"/>
  <c r="O84" i="1"/>
  <c r="O207" i="1"/>
  <c r="O83" i="1"/>
  <c r="O354" i="1"/>
  <c r="O261" i="1"/>
  <c r="O219" i="1"/>
  <c r="O212" i="1"/>
  <c r="U113" i="1"/>
  <c r="U640" i="1"/>
  <c r="O566" i="1"/>
  <c r="O527" i="1"/>
  <c r="O599" i="1"/>
  <c r="O672" i="1"/>
  <c r="O670" i="1"/>
  <c r="U51" i="1"/>
  <c r="O663" i="1"/>
  <c r="U73" i="1"/>
  <c r="O34" i="1"/>
  <c r="U20" i="1"/>
  <c r="U213" i="1"/>
  <c r="O241" i="1"/>
  <c r="O368" i="1"/>
  <c r="U176" i="1"/>
  <c r="U409" i="1"/>
  <c r="U243" i="1"/>
  <c r="U503" i="1"/>
  <c r="O437" i="1"/>
  <c r="O431" i="1"/>
  <c r="O491" i="1"/>
  <c r="O642" i="1"/>
  <c r="U536" i="1"/>
  <c r="O543" i="1"/>
  <c r="O284" i="1"/>
  <c r="U76" i="1"/>
  <c r="U29" i="1"/>
  <c r="O23" i="1"/>
  <c r="O114" i="1"/>
  <c r="O162" i="1"/>
  <c r="U203" i="1"/>
  <c r="O254" i="1"/>
  <c r="O276" i="1"/>
  <c r="O285" i="1"/>
  <c r="U301" i="1"/>
  <c r="O279" i="1"/>
  <c r="O525" i="1"/>
  <c r="O426" i="1"/>
  <c r="U309" i="1"/>
  <c r="O493" i="1"/>
  <c r="U533" i="1"/>
  <c r="O655" i="1"/>
  <c r="U617" i="1"/>
  <c r="O600" i="1"/>
  <c r="U680" i="1"/>
  <c r="O528" i="1"/>
  <c r="O294" i="1"/>
  <c r="U458" i="1"/>
  <c r="U47" i="1"/>
  <c r="O118" i="1"/>
  <c r="U131" i="1"/>
  <c r="O244" i="1"/>
  <c r="O233" i="1"/>
  <c r="U380" i="1"/>
  <c r="U446" i="1"/>
  <c r="O460" i="1"/>
  <c r="O511" i="1"/>
  <c r="O240" i="1"/>
  <c r="U647" i="1"/>
  <c r="O615" i="1"/>
  <c r="U682" i="1"/>
  <c r="O550" i="1"/>
  <c r="U144" i="1"/>
  <c r="U200" i="1"/>
  <c r="U658" i="1"/>
  <c r="O39" i="1"/>
  <c r="U122" i="1"/>
  <c r="U214" i="1"/>
  <c r="O377" i="1"/>
  <c r="U287" i="1"/>
  <c r="U258" i="1"/>
  <c r="O384" i="1"/>
  <c r="U419" i="1"/>
  <c r="O269" i="1"/>
  <c r="U320" i="1"/>
  <c r="U450" i="1"/>
  <c r="U564" i="1"/>
  <c r="O302" i="1"/>
  <c r="O632" i="1"/>
  <c r="O245" i="1"/>
  <c r="O66" i="1"/>
  <c r="O349" i="1"/>
  <c r="U513" i="1"/>
  <c r="U356" i="1"/>
  <c r="U411" i="1"/>
  <c r="U689" i="1"/>
  <c r="O188" i="1"/>
  <c r="U641" i="1"/>
  <c r="O19" i="1"/>
  <c r="O64" i="1"/>
  <c r="O136" i="1"/>
  <c r="O197" i="1"/>
  <c r="O199" i="1"/>
  <c r="O190" i="1"/>
  <c r="U208" i="1"/>
  <c r="O468" i="1"/>
  <c r="U424" i="1"/>
  <c r="U515" i="1"/>
  <c r="U557" i="1"/>
  <c r="U435" i="1"/>
  <c r="O627" i="1"/>
  <c r="U690" i="1"/>
  <c r="O88" i="1"/>
  <c r="U123" i="1"/>
  <c r="U189" i="1"/>
  <c r="O160" i="1"/>
  <c r="O312" i="1"/>
  <c r="U421" i="1"/>
  <c r="O499" i="1"/>
  <c r="O28" i="1"/>
  <c r="U207" i="1"/>
  <c r="O187" i="1"/>
  <c r="U83" i="1"/>
  <c r="U180" i="1"/>
  <c r="O369" i="1"/>
  <c r="U270" i="1"/>
  <c r="O391" i="1"/>
  <c r="U219" i="1"/>
  <c r="U512" i="1"/>
  <c r="U519" i="1"/>
  <c r="O451" i="1"/>
  <c r="U277" i="1"/>
  <c r="O586" i="1"/>
  <c r="O479" i="1"/>
  <c r="O577" i="1"/>
  <c r="O575" i="1"/>
  <c r="U470" i="1"/>
  <c r="U579" i="1"/>
  <c r="U35" i="1"/>
  <c r="O73" i="1"/>
  <c r="O20" i="1"/>
  <c r="O142" i="1"/>
  <c r="O119" i="1"/>
  <c r="U216" i="1"/>
  <c r="O192" i="1"/>
  <c r="O393" i="1"/>
  <c r="U271" i="1"/>
  <c r="O293" i="1"/>
  <c r="U448" i="1"/>
  <c r="O425" i="1"/>
  <c r="U350" i="1"/>
  <c r="U291" i="1"/>
  <c r="U531" i="1"/>
  <c r="O587" i="1"/>
  <c r="O447" i="1"/>
  <c r="U590" i="1"/>
  <c r="O404" i="1"/>
  <c r="U581" i="1"/>
  <c r="O692" i="1"/>
  <c r="U683" i="1"/>
  <c r="O457" i="1"/>
  <c r="O656" i="1"/>
  <c r="O496" i="1"/>
  <c r="O44" i="1"/>
  <c r="O29" i="1"/>
  <c r="U23" i="1"/>
  <c r="U162" i="1"/>
  <c r="O203" i="1"/>
  <c r="U218" i="1"/>
  <c r="U194" i="1"/>
  <c r="U250" i="1"/>
  <c r="U352" i="1"/>
  <c r="U276" i="1"/>
  <c r="O242" i="1"/>
  <c r="U222" i="1"/>
  <c r="U643" i="1"/>
  <c r="O533" i="1"/>
  <c r="U600" i="1"/>
  <c r="U408" i="1"/>
  <c r="U401" i="1"/>
  <c r="O47" i="1"/>
  <c r="O48" i="1"/>
  <c r="O26" i="1"/>
  <c r="U143" i="1"/>
  <c r="U14" i="1"/>
  <c r="O201" i="1"/>
  <c r="U229" i="1"/>
  <c r="U27" i="1"/>
  <c r="U209" i="1"/>
  <c r="U376" i="1"/>
  <c r="O280" i="1"/>
  <c r="U394" i="1"/>
  <c r="O446" i="1"/>
  <c r="U299" i="1"/>
  <c r="U481" i="1"/>
  <c r="U427" i="1"/>
  <c r="U511" i="1"/>
  <c r="U217" i="1"/>
  <c r="O647" i="1"/>
  <c r="U644" i="1"/>
  <c r="O602" i="1"/>
  <c r="U666" i="1"/>
  <c r="U196" i="1"/>
  <c r="U41" i="1"/>
  <c r="U30" i="1"/>
  <c r="U360" i="1"/>
  <c r="O624" i="1"/>
  <c r="U99" i="1"/>
  <c r="O100" i="1"/>
  <c r="O52" i="1"/>
  <c r="U60" i="1"/>
  <c r="U81" i="1"/>
  <c r="O236" i="1"/>
  <c r="O344" i="1"/>
  <c r="O461" i="1"/>
  <c r="U464" i="1"/>
  <c r="U305" i="1"/>
  <c r="O547" i="1"/>
  <c r="U646" i="1"/>
  <c r="U530" i="1"/>
  <c r="O667" i="1"/>
  <c r="U621" i="1"/>
  <c r="U614" i="1"/>
  <c r="O684" i="1"/>
  <c r="U659" i="1"/>
  <c r="O387" i="1"/>
  <c r="O592" i="1"/>
  <c r="U695" i="1"/>
  <c r="O150" i="1"/>
  <c r="U94" i="1"/>
  <c r="O79" i="1"/>
  <c r="O145" i="1"/>
  <c r="U178" i="1"/>
  <c r="U61" i="1"/>
  <c r="O53" i="1"/>
  <c r="O128" i="1"/>
  <c r="O75" i="1"/>
  <c r="U36" i="1"/>
  <c r="U116" i="1"/>
  <c r="O178" i="1"/>
  <c r="O385" i="1"/>
  <c r="U311" i="1"/>
  <c r="O428" i="1"/>
  <c r="O308" i="1"/>
  <c r="O443" i="1"/>
  <c r="U483" i="1"/>
  <c r="U422" i="1"/>
  <c r="U638" i="1"/>
  <c r="U596" i="1"/>
  <c r="O626" i="1"/>
  <c r="U616" i="1"/>
  <c r="O556" i="1"/>
  <c r="U639" i="1"/>
  <c r="O274" i="1"/>
  <c r="U462" i="1"/>
  <c r="O69" i="1"/>
  <c r="U19" i="1"/>
  <c r="U136" i="1"/>
  <c r="O152" i="1"/>
  <c r="U190" i="1"/>
  <c r="U220" i="1"/>
  <c r="O237" i="1"/>
  <c r="O208" i="1"/>
  <c r="O281" i="1"/>
  <c r="O485" i="1"/>
  <c r="U398" i="1"/>
  <c r="U505" i="1"/>
  <c r="O313" i="1"/>
  <c r="U436" i="1"/>
  <c r="U477" i="1"/>
  <c r="O515" i="1"/>
  <c r="O648" i="1"/>
  <c r="O595" i="1"/>
  <c r="U559" i="1"/>
  <c r="U662" i="1"/>
  <c r="U627" i="1"/>
  <c r="O629" i="1"/>
  <c r="O123" i="1"/>
  <c r="U191" i="1"/>
  <c r="O421" i="1"/>
  <c r="U606" i="1"/>
  <c r="O21" i="1"/>
  <c r="U63" i="1"/>
  <c r="O63" i="1"/>
  <c r="O15" i="1"/>
  <c r="O134" i="1"/>
  <c r="U109" i="1"/>
  <c r="O388" i="1"/>
  <c r="U369" i="1"/>
  <c r="O270" i="1"/>
  <c r="O282" i="1"/>
  <c r="O445" i="1"/>
  <c r="O406" i="1"/>
  <c r="U413" i="1"/>
  <c r="U451" i="1"/>
  <c r="O277" i="1"/>
  <c r="U504" i="1"/>
  <c r="U488" i="1"/>
  <c r="U566" i="1"/>
  <c r="U405" i="1"/>
  <c r="O588" i="1"/>
  <c r="U479" i="1"/>
  <c r="O675" i="1"/>
  <c r="U676" i="1"/>
  <c r="U24" i="1"/>
  <c r="U13" i="1"/>
  <c r="O108" i="1"/>
  <c r="U195" i="1"/>
  <c r="U192" i="1"/>
  <c r="O225" i="1"/>
  <c r="O336" i="1"/>
  <c r="O283" i="1"/>
  <c r="U91" i="1"/>
  <c r="U257" i="1"/>
  <c r="O409" i="1"/>
  <c r="O448" i="1"/>
  <c r="U425" i="1"/>
  <c r="O248" i="1"/>
  <c r="O243" i="1"/>
  <c r="O503" i="1"/>
  <c r="O518" i="1"/>
  <c r="U518" i="1"/>
  <c r="O531" i="1"/>
  <c r="O536" i="1"/>
  <c r="U587" i="1"/>
  <c r="O514" i="1"/>
  <c r="U610" i="1"/>
  <c r="O677" i="1"/>
  <c r="U379" i="1"/>
  <c r="U656" i="1"/>
  <c r="U635" i="1"/>
  <c r="U44" i="1"/>
  <c r="O112" i="1"/>
  <c r="O148" i="1"/>
  <c r="O211" i="1"/>
  <c r="O352" i="1"/>
  <c r="O154" i="1"/>
  <c r="U206" i="1"/>
  <c r="U285" i="1"/>
  <c r="U415" i="1"/>
  <c r="U453" i="1"/>
  <c r="O222" i="1"/>
  <c r="O490" i="1"/>
  <c r="U290" i="1"/>
  <c r="U507" i="1"/>
  <c r="U440" i="1"/>
  <c r="U493" i="1"/>
  <c r="O643" i="1"/>
  <c r="O664" i="1"/>
  <c r="O548" i="1"/>
  <c r="O649" i="1"/>
  <c r="O563" i="1"/>
  <c r="U239" i="1"/>
  <c r="U267" i="1"/>
  <c r="O565" i="1"/>
  <c r="U48" i="1"/>
  <c r="U127" i="1"/>
  <c r="O127" i="1"/>
  <c r="U164" i="1"/>
  <c r="U201" i="1"/>
  <c r="O27" i="1"/>
  <c r="O163" i="1"/>
  <c r="O260" i="1"/>
  <c r="O372" i="1"/>
  <c r="U244" i="1"/>
  <c r="O252" i="1"/>
  <c r="O380" i="1"/>
  <c r="O416" i="1"/>
  <c r="O529" i="1"/>
  <c r="O347" i="1"/>
  <c r="U602" i="1"/>
  <c r="O612" i="1"/>
  <c r="O622" i="1"/>
  <c r="U619" i="1"/>
  <c r="O68" i="1"/>
  <c r="O41" i="1"/>
  <c r="U129" i="1"/>
  <c r="O168" i="1"/>
  <c r="O221" i="1"/>
  <c r="U335" i="1"/>
  <c r="U558" i="1"/>
  <c r="O50" i="1"/>
  <c r="O58" i="1"/>
  <c r="O122" i="1"/>
  <c r="O125" i="1"/>
  <c r="O214" i="1"/>
  <c r="U278" i="1"/>
  <c r="U175" i="1"/>
  <c r="U345" i="1"/>
  <c r="O183" i="1"/>
  <c r="O310" i="1"/>
  <c r="U326" i="1"/>
  <c r="U454" i="1"/>
  <c r="U489" i="1"/>
  <c r="O506" i="1"/>
  <c r="O589" i="1"/>
  <c r="O530" i="1"/>
  <c r="U667" i="1"/>
  <c r="O475" i="1"/>
  <c r="U684" i="1"/>
  <c r="O659" i="1"/>
  <c r="U567" i="1"/>
  <c r="O56" i="1"/>
  <c r="U592" i="1"/>
  <c r="U633" i="1"/>
  <c r="O226" i="1"/>
  <c r="U359" i="1"/>
  <c r="O353" i="1"/>
  <c r="U7" i="1"/>
  <c r="O61" i="1"/>
  <c r="U66" i="1"/>
  <c r="U89" i="1"/>
  <c r="U53" i="1"/>
  <c r="U96" i="1"/>
  <c r="O96" i="1"/>
  <c r="U115" i="1"/>
  <c r="U75" i="1"/>
  <c r="U132" i="1"/>
  <c r="U65" i="1"/>
  <c r="O210" i="1"/>
  <c r="O223" i="1"/>
  <c r="U349" i="1"/>
  <c r="U389" i="1"/>
  <c r="U428" i="1"/>
  <c r="O480" i="1"/>
  <c r="O316" i="1"/>
  <c r="O513" i="1"/>
  <c r="U308" i="1"/>
  <c r="U443" i="1"/>
  <c r="O471" i="1"/>
  <c r="O628" i="1"/>
  <c r="O582" i="1"/>
  <c r="U330" i="1"/>
  <c r="O660" i="1"/>
  <c r="O569" i="1"/>
  <c r="U8" i="1"/>
  <c r="U274" i="1"/>
  <c r="U296" i="1"/>
  <c r="O296" i="1"/>
  <c r="U25" i="1"/>
  <c r="O97" i="1"/>
  <c r="U97" i="1"/>
  <c r="U93" i="1"/>
  <c r="U32" i="1"/>
  <c r="U104" i="1"/>
  <c r="U197" i="1"/>
  <c r="O220" i="1"/>
  <c r="O215" i="1"/>
  <c r="U313" i="1"/>
  <c r="O414" i="1"/>
  <c r="O424" i="1"/>
  <c r="U478" i="1"/>
  <c r="U648" i="1"/>
  <c r="U595" i="1"/>
  <c r="O435" i="1"/>
  <c r="O472" i="1"/>
  <c r="O662" i="1"/>
  <c r="O690" i="1"/>
  <c r="O645" i="1"/>
  <c r="U570" i="1"/>
  <c r="U78" i="1"/>
  <c r="O37" i="1"/>
  <c r="O189" i="1"/>
  <c r="U392" i="1"/>
  <c r="O606" i="1"/>
  <c r="U28" i="1"/>
  <c r="O22" i="1"/>
  <c r="U67" i="1"/>
  <c r="O106" i="1"/>
  <c r="U111" i="1"/>
  <c r="U71" i="1"/>
  <c r="O193" i="1"/>
  <c r="O334" i="1"/>
  <c r="U388" i="1"/>
  <c r="O322" i="1"/>
  <c r="U391" i="1"/>
  <c r="O519" i="1"/>
  <c r="U406" i="1"/>
  <c r="O504" i="1"/>
  <c r="O488" i="1"/>
  <c r="U498" i="1"/>
  <c r="O498" i="1"/>
  <c r="U586" i="1"/>
  <c r="U527" i="1"/>
  <c r="O608" i="1"/>
  <c r="U577" i="1"/>
  <c r="O470" i="1"/>
  <c r="O579" i="1"/>
  <c r="O13" i="1"/>
  <c r="U108" i="1"/>
  <c r="U82" i="1"/>
  <c r="U124" i="1"/>
  <c r="O205" i="1"/>
  <c r="U225" i="1"/>
  <c r="O271" i="1"/>
  <c r="O333" i="1"/>
  <c r="U486" i="1"/>
  <c r="U522" i="1"/>
  <c r="O452" i="1"/>
  <c r="U437" i="1"/>
  <c r="O542" i="1"/>
  <c r="U535" i="1"/>
  <c r="O654" i="1"/>
  <c r="O581" i="1"/>
  <c r="O593" i="1"/>
  <c r="U678" i="1"/>
  <c r="O57" i="1"/>
  <c r="O379" i="1"/>
  <c r="O484" i="1"/>
  <c r="O17" i="1"/>
  <c r="U112" i="1"/>
  <c r="U148" i="1"/>
  <c r="O218" i="1"/>
  <c r="U138" i="1"/>
  <c r="O367" i="1"/>
  <c r="O250" i="1"/>
  <c r="O263" i="1"/>
  <c r="O355" i="1"/>
  <c r="O415" i="1"/>
  <c r="U490" i="1"/>
  <c r="O290" i="1"/>
  <c r="U251" i="1"/>
  <c r="O309" i="1"/>
  <c r="U572" i="1"/>
  <c r="U548" i="1"/>
  <c r="O620" i="1"/>
  <c r="O401" i="1"/>
  <c r="U85" i="1"/>
  <c r="O95" i="1"/>
  <c r="U235" i="1"/>
  <c r="U163" i="1"/>
  <c r="O376" i="1"/>
  <c r="O394" i="1"/>
  <c r="U146" i="1"/>
  <c r="U252" i="1"/>
  <c r="O247" i="1"/>
  <c r="O442" i="1"/>
  <c r="U544" i="1"/>
  <c r="O574" i="1"/>
  <c r="U615" i="1"/>
  <c r="O196" i="1"/>
  <c r="U634" i="1"/>
  <c r="U550" i="1"/>
  <c r="O604" i="1"/>
  <c r="O103" i="1"/>
  <c r="U221" i="1"/>
  <c r="U332" i="1"/>
  <c r="O335" i="1"/>
  <c r="O552" i="1"/>
  <c r="O43" i="1"/>
  <c r="U100" i="1"/>
  <c r="X100" i="1" s="1"/>
  <c r="X101" i="1" s="1"/>
  <c r="O120" i="1"/>
  <c r="O140" i="1"/>
  <c r="O102" i="1"/>
  <c r="O278" i="1"/>
  <c r="O342" i="1"/>
  <c r="O175" i="1"/>
  <c r="U344" i="1"/>
  <c r="U400" i="1"/>
  <c r="U432" i="1"/>
  <c r="U449" i="1"/>
  <c r="O609" i="1"/>
  <c r="U475" i="1"/>
  <c r="O668" i="1"/>
  <c r="O618" i="1"/>
  <c r="U154" i="1"/>
  <c r="O235" i="1"/>
  <c r="O115" i="1"/>
  <c r="O36" i="1"/>
  <c r="O65" i="1"/>
  <c r="U226" i="1"/>
  <c r="U249" i="1"/>
  <c r="O311" i="1"/>
  <c r="O362" i="1"/>
  <c r="O361" i="1"/>
  <c r="U275" i="1"/>
  <c r="U316" i="1"/>
  <c r="O538" i="1"/>
  <c r="U402" i="1"/>
  <c r="O483" i="1"/>
  <c r="U476" i="1"/>
  <c r="O665" i="1"/>
  <c r="O411" i="1"/>
  <c r="O441" i="1"/>
  <c r="O465" i="1"/>
  <c r="U412" i="1"/>
  <c r="O32" i="1"/>
  <c r="O104" i="1"/>
  <c r="O107" i="1"/>
  <c r="U149" i="1"/>
  <c r="O357" i="1"/>
  <c r="U337" i="1"/>
  <c r="U253" i="1"/>
  <c r="O307" i="1"/>
  <c r="O321" i="1"/>
  <c r="U430" i="1"/>
  <c r="O436" i="1"/>
  <c r="O630" i="1"/>
  <c r="O172" i="1"/>
  <c r="U177" i="1"/>
  <c r="O191" i="1"/>
  <c r="U607" i="1"/>
  <c r="U22" i="1"/>
  <c r="U45" i="1"/>
  <c r="U134" i="1"/>
  <c r="O111" i="1"/>
  <c r="O170" i="1"/>
  <c r="U204" i="1"/>
  <c r="O227" i="1"/>
  <c r="U193" i="1"/>
  <c r="O180" i="1"/>
  <c r="U322" i="1"/>
  <c r="U282" i="1"/>
  <c r="O418" i="1"/>
  <c r="O113" i="1"/>
  <c r="O413" i="1"/>
  <c r="O541" i="1"/>
  <c r="O51" i="1"/>
  <c r="O24" i="1"/>
  <c r="O35" i="1"/>
  <c r="U70" i="1"/>
  <c r="O82" i="1"/>
  <c r="O195" i="1"/>
  <c r="O216" i="1"/>
  <c r="U126" i="1"/>
  <c r="U393" i="1"/>
  <c r="O176" i="1"/>
  <c r="O382" i="1"/>
  <c r="U315" i="1"/>
  <c r="O91" i="1"/>
  <c r="U333" i="1"/>
  <c r="O486" i="1"/>
  <c r="O522" i="1"/>
  <c r="U407" i="1"/>
  <c r="O350" i="1"/>
  <c r="U542" i="1"/>
  <c r="O535" i="1"/>
  <c r="O605" i="1"/>
  <c r="O678" i="1"/>
  <c r="U539" i="1"/>
  <c r="U57" i="1"/>
  <c r="U484" i="1"/>
  <c r="U457" i="1"/>
  <c r="U455" i="1"/>
  <c r="U92" i="1"/>
  <c r="U17" i="1"/>
  <c r="U139" i="1"/>
  <c r="O161" i="1"/>
  <c r="U202" i="1"/>
  <c r="O206" i="1"/>
  <c r="U325" i="1"/>
  <c r="U242" i="1"/>
  <c r="O301" i="1"/>
  <c r="O482" i="1"/>
  <c r="U378" i="1"/>
  <c r="O440" i="1"/>
  <c r="O433" i="1"/>
  <c r="O591" i="1"/>
  <c r="U649" i="1"/>
  <c r="O686" i="1"/>
  <c r="U563" i="1"/>
  <c r="U679" i="1"/>
  <c r="O16" i="1"/>
  <c r="O267" i="1"/>
  <c r="U156" i="1"/>
  <c r="O151" i="1"/>
  <c r="O14" i="1"/>
  <c r="O229" i="1"/>
  <c r="O146" i="1"/>
  <c r="U265" i="1"/>
  <c r="U442" i="1"/>
  <c r="O217" i="1"/>
  <c r="O671" i="1"/>
  <c r="O694" i="1"/>
  <c r="O200" i="1"/>
  <c r="O332" i="1"/>
  <c r="U510" i="1"/>
  <c r="U434" i="1"/>
  <c r="U624" i="1"/>
  <c r="U50" i="1"/>
  <c r="U46" i="1"/>
  <c r="O81" i="1"/>
  <c r="U120" i="1"/>
  <c r="U140" i="1"/>
  <c r="O155" i="1"/>
  <c r="O198" i="1"/>
  <c r="U342" i="1"/>
  <c r="O273" i="1"/>
  <c r="O287" i="1"/>
  <c r="U295" i="1"/>
  <c r="O345" i="1"/>
  <c r="U183" i="1"/>
  <c r="U310" i="1"/>
  <c r="U317" i="1"/>
  <c r="O489" i="1"/>
  <c r="U272" i="1"/>
  <c r="O400" i="1"/>
  <c r="U506" i="1"/>
  <c r="O621" i="1"/>
  <c r="O614" i="1"/>
  <c r="O567" i="1"/>
  <c r="U618" i="1"/>
  <c r="O526" i="1"/>
  <c r="O601" i="1"/>
  <c r="O769" i="1"/>
  <c r="U1077" i="1"/>
  <c r="U769" i="1"/>
  <c r="U811" i="1"/>
  <c r="U746" i="1"/>
  <c r="J836" i="1"/>
  <c r="S836" i="1"/>
  <c r="K836" i="1"/>
  <c r="T836" i="1"/>
  <c r="L836" i="1"/>
  <c r="N836" i="1"/>
  <c r="M836" i="1"/>
  <c r="Q836" i="1"/>
  <c r="R836" i="1"/>
  <c r="I836" i="1"/>
  <c r="L1048" i="1"/>
  <c r="M1048" i="1"/>
  <c r="N1048" i="1"/>
  <c r="Q1048" i="1"/>
  <c r="J1048" i="1"/>
  <c r="S1048" i="1"/>
  <c r="I1048" i="1"/>
  <c r="K1048" i="1"/>
  <c r="R1048" i="1"/>
  <c r="T1048" i="1"/>
  <c r="N1064" i="1"/>
  <c r="Q1064" i="1"/>
  <c r="I1064" i="1"/>
  <c r="R1064" i="1"/>
  <c r="J1064" i="1"/>
  <c r="S1064" i="1"/>
  <c r="L1064" i="1"/>
  <c r="K1064" i="1"/>
  <c r="M1064" i="1"/>
  <c r="T1064" i="1"/>
  <c r="L1086" i="1"/>
  <c r="M1086" i="1"/>
  <c r="N1086" i="1"/>
  <c r="Q1086" i="1"/>
  <c r="J1086" i="1"/>
  <c r="S1086" i="1"/>
  <c r="T1086" i="1"/>
  <c r="I1086" i="1"/>
  <c r="K1086" i="1"/>
  <c r="R1086" i="1"/>
  <c r="J1057" i="1"/>
  <c r="S1057" i="1"/>
  <c r="K1057" i="1"/>
  <c r="T1057" i="1"/>
  <c r="L1057" i="1"/>
  <c r="M1057" i="1"/>
  <c r="N1057" i="1"/>
  <c r="Q1057" i="1"/>
  <c r="I1057" i="1"/>
  <c r="R1057" i="1"/>
  <c r="J699" i="1"/>
  <c r="S699" i="1"/>
  <c r="K699" i="1"/>
  <c r="T699" i="1"/>
  <c r="M699" i="1"/>
  <c r="N699" i="1"/>
  <c r="L699" i="1"/>
  <c r="I699" i="1"/>
  <c r="Q699" i="1"/>
  <c r="R699" i="1"/>
  <c r="J1207" i="1"/>
  <c r="S1207" i="1"/>
  <c r="K1207" i="1"/>
  <c r="T1207" i="1"/>
  <c r="L1207" i="1"/>
  <c r="M1207" i="1"/>
  <c r="N1207" i="1"/>
  <c r="Q1207" i="1"/>
  <c r="I1207" i="1"/>
  <c r="R1207" i="1"/>
  <c r="Q984" i="1"/>
  <c r="I984" i="1"/>
  <c r="R984" i="1"/>
  <c r="J984" i="1"/>
  <c r="S984" i="1"/>
  <c r="K984" i="1"/>
  <c r="T984" i="1"/>
  <c r="M984" i="1"/>
  <c r="N984" i="1"/>
  <c r="L984" i="1"/>
  <c r="J790" i="1"/>
  <c r="S790" i="1"/>
  <c r="K790" i="1"/>
  <c r="T790" i="1"/>
  <c r="L790" i="1"/>
  <c r="N790" i="1"/>
  <c r="M790" i="1"/>
  <c r="Q790" i="1"/>
  <c r="R790" i="1"/>
  <c r="I790" i="1"/>
  <c r="J798" i="1"/>
  <c r="S798" i="1"/>
  <c r="K798" i="1"/>
  <c r="T798" i="1"/>
  <c r="L798" i="1"/>
  <c r="N798" i="1"/>
  <c r="I798" i="1"/>
  <c r="M798" i="1"/>
  <c r="Q798" i="1"/>
  <c r="R798" i="1"/>
  <c r="I1001" i="1"/>
  <c r="R1001" i="1"/>
  <c r="J1001" i="1"/>
  <c r="S1001" i="1"/>
  <c r="K1001" i="1"/>
  <c r="T1001" i="1"/>
  <c r="L1001" i="1"/>
  <c r="M1001" i="1"/>
  <c r="N1001" i="1"/>
  <c r="Q1001" i="1"/>
  <c r="K831" i="1"/>
  <c r="T831" i="1"/>
  <c r="L831" i="1"/>
  <c r="M831" i="1"/>
  <c r="N831" i="1"/>
  <c r="I831" i="1"/>
  <c r="R831" i="1"/>
  <c r="J831" i="1"/>
  <c r="Q831" i="1"/>
  <c r="S831" i="1"/>
  <c r="U812" i="1"/>
  <c r="J721" i="1"/>
  <c r="S721" i="1"/>
  <c r="K721" i="1"/>
  <c r="T721" i="1"/>
  <c r="L721" i="1"/>
  <c r="M721" i="1"/>
  <c r="N721" i="1"/>
  <c r="I721" i="1"/>
  <c r="Q721" i="1"/>
  <c r="R721" i="1"/>
  <c r="M1113" i="1"/>
  <c r="N1113" i="1"/>
  <c r="Q1113" i="1"/>
  <c r="I1113" i="1"/>
  <c r="R1113" i="1"/>
  <c r="K1113" i="1"/>
  <c r="T1113" i="1"/>
  <c r="J1113" i="1"/>
  <c r="L1113" i="1"/>
  <c r="S1113" i="1"/>
  <c r="K1193" i="1"/>
  <c r="T1193" i="1"/>
  <c r="M1193" i="1"/>
  <c r="N1193" i="1"/>
  <c r="I1193" i="1"/>
  <c r="R1193" i="1"/>
  <c r="S1193" i="1"/>
  <c r="J1193" i="1"/>
  <c r="Q1193" i="1"/>
  <c r="L1193" i="1"/>
  <c r="N776" i="1"/>
  <c r="Q776" i="1"/>
  <c r="J776" i="1"/>
  <c r="S776" i="1"/>
  <c r="R776" i="1"/>
  <c r="T776" i="1"/>
  <c r="L776" i="1"/>
  <c r="M776" i="1"/>
  <c r="I776" i="1"/>
  <c r="K776" i="1"/>
  <c r="L921" i="1"/>
  <c r="M921" i="1"/>
  <c r="N921" i="1"/>
  <c r="I921" i="1"/>
  <c r="R921" i="1"/>
  <c r="J921" i="1"/>
  <c r="S921" i="1"/>
  <c r="K921" i="1"/>
  <c r="Q921" i="1"/>
  <c r="T921" i="1"/>
  <c r="J1095" i="1"/>
  <c r="S1095" i="1"/>
  <c r="K1095" i="1"/>
  <c r="T1095" i="1"/>
  <c r="L1095" i="1"/>
  <c r="M1095" i="1"/>
  <c r="N1095" i="1"/>
  <c r="Q1095" i="1"/>
  <c r="I1095" i="1"/>
  <c r="R1095" i="1"/>
  <c r="J1045" i="1"/>
  <c r="R1045" i="1"/>
  <c r="K1045" i="1"/>
  <c r="S1045" i="1"/>
  <c r="L1045" i="1"/>
  <c r="T1045" i="1"/>
  <c r="M1045" i="1"/>
  <c r="N1045" i="1"/>
  <c r="I1045" i="1"/>
  <c r="Q1045" i="1"/>
  <c r="Q1244" i="1"/>
  <c r="I1244" i="1"/>
  <c r="R1244" i="1"/>
  <c r="J1244" i="1"/>
  <c r="S1244" i="1"/>
  <c r="K1244" i="1"/>
  <c r="T1244" i="1"/>
  <c r="M1244" i="1"/>
  <c r="L1244" i="1"/>
  <c r="N1244" i="1"/>
  <c r="L979" i="1"/>
  <c r="M979" i="1"/>
  <c r="N979" i="1"/>
  <c r="Q979" i="1"/>
  <c r="I979" i="1"/>
  <c r="J979" i="1"/>
  <c r="K979" i="1"/>
  <c r="R979" i="1"/>
  <c r="T979" i="1"/>
  <c r="S979" i="1"/>
  <c r="M1058" i="1"/>
  <c r="N1058" i="1"/>
  <c r="Q1058" i="1"/>
  <c r="I1058" i="1"/>
  <c r="R1058" i="1"/>
  <c r="K1058" i="1"/>
  <c r="T1058" i="1"/>
  <c r="J1058" i="1"/>
  <c r="L1058" i="1"/>
  <c r="S1058" i="1"/>
  <c r="Q1195" i="1"/>
  <c r="I1195" i="1"/>
  <c r="R1195" i="1"/>
  <c r="J1195" i="1"/>
  <c r="S1195" i="1"/>
  <c r="K1195" i="1"/>
  <c r="T1195" i="1"/>
  <c r="L1195" i="1"/>
  <c r="N1195" i="1"/>
  <c r="M1195" i="1"/>
  <c r="M775" i="1"/>
  <c r="N775" i="1"/>
  <c r="I775" i="1"/>
  <c r="R775" i="1"/>
  <c r="Q775" i="1"/>
  <c r="S775" i="1"/>
  <c r="T775" i="1"/>
  <c r="J775" i="1"/>
  <c r="K775" i="1"/>
  <c r="L775" i="1"/>
  <c r="J1085" i="1"/>
  <c r="S1085" i="1"/>
  <c r="K1085" i="1"/>
  <c r="T1085" i="1"/>
  <c r="L1085" i="1"/>
  <c r="M1085" i="1"/>
  <c r="N1085" i="1"/>
  <c r="Q1085" i="1"/>
  <c r="R1085" i="1"/>
  <c r="I1085" i="1"/>
  <c r="J1139" i="1"/>
  <c r="S1139" i="1"/>
  <c r="K1139" i="1"/>
  <c r="T1139" i="1"/>
  <c r="L1139" i="1"/>
  <c r="M1139" i="1"/>
  <c r="N1139" i="1"/>
  <c r="Q1139" i="1"/>
  <c r="I1139" i="1"/>
  <c r="R1139" i="1"/>
  <c r="M839" i="1"/>
  <c r="I839" i="1"/>
  <c r="R839" i="1"/>
  <c r="J839" i="1"/>
  <c r="K839" i="1"/>
  <c r="L839" i="1"/>
  <c r="N839" i="1"/>
  <c r="Q839" i="1"/>
  <c r="S839" i="1"/>
  <c r="T839" i="1"/>
  <c r="J1109" i="1"/>
  <c r="S1109" i="1"/>
  <c r="K1109" i="1"/>
  <c r="T1109" i="1"/>
  <c r="L1109" i="1"/>
  <c r="M1109" i="1"/>
  <c r="N1109" i="1"/>
  <c r="Q1109" i="1"/>
  <c r="R1109" i="1"/>
  <c r="I1109" i="1"/>
  <c r="K1060" i="1"/>
  <c r="S1060" i="1"/>
  <c r="L1060" i="1"/>
  <c r="T1060" i="1"/>
  <c r="M1060" i="1"/>
  <c r="N1060" i="1"/>
  <c r="I1060" i="1"/>
  <c r="Q1060" i="1"/>
  <c r="J1060" i="1"/>
  <c r="R1060" i="1"/>
  <c r="K909" i="1"/>
  <c r="T909" i="1"/>
  <c r="L909" i="1"/>
  <c r="M909" i="1"/>
  <c r="N909" i="1"/>
  <c r="R909" i="1"/>
  <c r="S909" i="1"/>
  <c r="I909" i="1"/>
  <c r="J909" i="1"/>
  <c r="Q909" i="1"/>
  <c r="Q1055" i="1"/>
  <c r="I1055" i="1"/>
  <c r="R1055" i="1"/>
  <c r="J1055" i="1"/>
  <c r="S1055" i="1"/>
  <c r="K1055" i="1"/>
  <c r="T1055" i="1"/>
  <c r="L1055" i="1"/>
  <c r="N1055" i="1"/>
  <c r="M1055" i="1"/>
  <c r="I1181" i="1"/>
  <c r="Q1181" i="1"/>
  <c r="J1181" i="1"/>
  <c r="R1181" i="1"/>
  <c r="K1181" i="1"/>
  <c r="S1181" i="1"/>
  <c r="L1181" i="1"/>
  <c r="T1181" i="1"/>
  <c r="N1181" i="1"/>
  <c r="M1181" i="1"/>
  <c r="M821" i="1"/>
  <c r="N821" i="1"/>
  <c r="Q821" i="1"/>
  <c r="J821" i="1"/>
  <c r="S821" i="1"/>
  <c r="I821" i="1"/>
  <c r="K821" i="1"/>
  <c r="L821" i="1"/>
  <c r="R821" i="1"/>
  <c r="T821" i="1"/>
  <c r="J1052" i="1"/>
  <c r="S1052" i="1"/>
  <c r="K1052" i="1"/>
  <c r="T1052" i="1"/>
  <c r="L1052" i="1"/>
  <c r="M1052" i="1"/>
  <c r="N1052" i="1"/>
  <c r="Q1052" i="1"/>
  <c r="I1052" i="1"/>
  <c r="R1052" i="1"/>
  <c r="L1206" i="1"/>
  <c r="T1206" i="1"/>
  <c r="M1206" i="1"/>
  <c r="N1206" i="1"/>
  <c r="I1206" i="1"/>
  <c r="J1206" i="1"/>
  <c r="K1206" i="1"/>
  <c r="R1206" i="1"/>
  <c r="S1206" i="1"/>
  <c r="Q1206" i="1"/>
  <c r="J1063" i="1"/>
  <c r="S1063" i="1"/>
  <c r="K1063" i="1"/>
  <c r="T1063" i="1"/>
  <c r="L1063" i="1"/>
  <c r="M1063" i="1"/>
  <c r="N1063" i="1"/>
  <c r="Q1063" i="1"/>
  <c r="I1063" i="1"/>
  <c r="R1063" i="1"/>
  <c r="Q1054" i="1"/>
  <c r="I1054" i="1"/>
  <c r="R1054" i="1"/>
  <c r="J1054" i="1"/>
  <c r="S1054" i="1"/>
  <c r="K1054" i="1"/>
  <c r="T1054" i="1"/>
  <c r="M1054" i="1"/>
  <c r="L1054" i="1"/>
  <c r="N1054" i="1"/>
  <c r="I1133" i="1"/>
  <c r="Q1133" i="1"/>
  <c r="J1133" i="1"/>
  <c r="R1133" i="1"/>
  <c r="K1133" i="1"/>
  <c r="S1133" i="1"/>
  <c r="M1133" i="1"/>
  <c r="L1133" i="1"/>
  <c r="N1133" i="1"/>
  <c r="T1133" i="1"/>
  <c r="N1115" i="1"/>
  <c r="Q1115" i="1"/>
  <c r="I1115" i="1"/>
  <c r="R1115" i="1"/>
  <c r="J1115" i="1"/>
  <c r="S1115" i="1"/>
  <c r="L1115" i="1"/>
  <c r="K1115" i="1"/>
  <c r="M1115" i="1"/>
  <c r="T1115" i="1"/>
  <c r="J1097" i="1"/>
  <c r="S1097" i="1"/>
  <c r="K1097" i="1"/>
  <c r="T1097" i="1"/>
  <c r="L1097" i="1"/>
  <c r="M1097" i="1"/>
  <c r="N1097" i="1"/>
  <c r="Q1097" i="1"/>
  <c r="R1097" i="1"/>
  <c r="I1097" i="1"/>
  <c r="I1051" i="1"/>
  <c r="R1051" i="1"/>
  <c r="J1051" i="1"/>
  <c r="S1051" i="1"/>
  <c r="K1051" i="1"/>
  <c r="T1051" i="1"/>
  <c r="L1051" i="1"/>
  <c r="M1051" i="1"/>
  <c r="Q1051" i="1"/>
  <c r="N1051" i="1"/>
  <c r="J911" i="1"/>
  <c r="S911" i="1"/>
  <c r="K911" i="1"/>
  <c r="T911" i="1"/>
  <c r="L911" i="1"/>
  <c r="N911" i="1"/>
  <c r="I911" i="1"/>
  <c r="Q911" i="1"/>
  <c r="R911" i="1"/>
  <c r="M911" i="1"/>
  <c r="N1156" i="1"/>
  <c r="Q1156" i="1"/>
  <c r="I1156" i="1"/>
  <c r="R1156" i="1"/>
  <c r="K1156" i="1"/>
  <c r="T1156" i="1"/>
  <c r="L1156" i="1"/>
  <c r="J1156" i="1"/>
  <c r="M1156" i="1"/>
  <c r="S1156" i="1"/>
  <c r="Q780" i="1"/>
  <c r="I780" i="1"/>
  <c r="R780" i="1"/>
  <c r="K780" i="1"/>
  <c r="T780" i="1"/>
  <c r="J780" i="1"/>
  <c r="L780" i="1"/>
  <c r="M780" i="1"/>
  <c r="N780" i="1"/>
  <c r="S780" i="1"/>
  <c r="K1218" i="1"/>
  <c r="S1218" i="1"/>
  <c r="L1218" i="1"/>
  <c r="T1218" i="1"/>
  <c r="M1218" i="1"/>
  <c r="N1218" i="1"/>
  <c r="R1218" i="1"/>
  <c r="I1218" i="1"/>
  <c r="J1218" i="1"/>
  <c r="Q1218" i="1"/>
  <c r="Q1171" i="1"/>
  <c r="I1171" i="1"/>
  <c r="R1171" i="1"/>
  <c r="J1171" i="1"/>
  <c r="S1171" i="1"/>
  <c r="L1171" i="1"/>
  <c r="M1171" i="1"/>
  <c r="K1171" i="1"/>
  <c r="T1171" i="1"/>
  <c r="N1171" i="1"/>
  <c r="M1101" i="1"/>
  <c r="N1101" i="1"/>
  <c r="Q1101" i="1"/>
  <c r="I1101" i="1"/>
  <c r="R1101" i="1"/>
  <c r="K1101" i="1"/>
  <c r="T1101" i="1"/>
  <c r="L1101" i="1"/>
  <c r="S1101" i="1"/>
  <c r="J1101" i="1"/>
  <c r="L947" i="1"/>
  <c r="N947" i="1"/>
  <c r="Q947" i="1"/>
  <c r="R947" i="1"/>
  <c r="I947" i="1"/>
  <c r="S947" i="1"/>
  <c r="J947" i="1"/>
  <c r="M947" i="1"/>
  <c r="T947" i="1"/>
  <c r="K947" i="1"/>
  <c r="K1010" i="1"/>
  <c r="T1010" i="1"/>
  <c r="L1010" i="1"/>
  <c r="M1010" i="1"/>
  <c r="N1010" i="1"/>
  <c r="J1010" i="1"/>
  <c r="Q1010" i="1"/>
  <c r="R1010" i="1"/>
  <c r="S1010" i="1"/>
  <c r="I1010" i="1"/>
  <c r="J977" i="1"/>
  <c r="S977" i="1"/>
  <c r="K977" i="1"/>
  <c r="T977" i="1"/>
  <c r="L977" i="1"/>
  <c r="M977" i="1"/>
  <c r="N977" i="1"/>
  <c r="Q977" i="1"/>
  <c r="R977" i="1"/>
  <c r="I977" i="1"/>
  <c r="N916" i="1"/>
  <c r="Q916" i="1"/>
  <c r="I916" i="1"/>
  <c r="R916" i="1"/>
  <c r="J916" i="1"/>
  <c r="K916" i="1"/>
  <c r="L916" i="1"/>
  <c r="M916" i="1"/>
  <c r="S916" i="1"/>
  <c r="T916" i="1"/>
  <c r="K859" i="1"/>
  <c r="T859" i="1"/>
  <c r="L859" i="1"/>
  <c r="M859" i="1"/>
  <c r="N859" i="1"/>
  <c r="R859" i="1"/>
  <c r="S859" i="1"/>
  <c r="I859" i="1"/>
  <c r="J859" i="1"/>
  <c r="Q859" i="1"/>
  <c r="N804" i="1"/>
  <c r="Q804" i="1"/>
  <c r="J804" i="1"/>
  <c r="S804" i="1"/>
  <c r="I804" i="1"/>
  <c r="K804" i="1"/>
  <c r="L804" i="1"/>
  <c r="M804" i="1"/>
  <c r="R804" i="1"/>
  <c r="T804" i="1"/>
  <c r="N815" i="1"/>
  <c r="Q815" i="1"/>
  <c r="I815" i="1"/>
  <c r="R815" i="1"/>
  <c r="L815" i="1"/>
  <c r="S815" i="1"/>
  <c r="T815" i="1"/>
  <c r="K815" i="1"/>
  <c r="J815" i="1"/>
  <c r="M815" i="1"/>
  <c r="J1002" i="1"/>
  <c r="S1002" i="1"/>
  <c r="K1002" i="1"/>
  <c r="T1002" i="1"/>
  <c r="L1002" i="1"/>
  <c r="M1002" i="1"/>
  <c r="N1002" i="1"/>
  <c r="Q1002" i="1"/>
  <c r="R1002" i="1"/>
  <c r="I1002" i="1"/>
  <c r="K954" i="1"/>
  <c r="T954" i="1"/>
  <c r="L954" i="1"/>
  <c r="M954" i="1"/>
  <c r="N954" i="1"/>
  <c r="I954" i="1"/>
  <c r="J954" i="1"/>
  <c r="Q954" i="1"/>
  <c r="S954" i="1"/>
  <c r="R954" i="1"/>
  <c r="I880" i="1"/>
  <c r="R880" i="1"/>
  <c r="J880" i="1"/>
  <c r="S880" i="1"/>
  <c r="K880" i="1"/>
  <c r="T880" i="1"/>
  <c r="L880" i="1"/>
  <c r="Q880" i="1"/>
  <c r="M880" i="1"/>
  <c r="N880" i="1"/>
  <c r="L1222" i="1"/>
  <c r="M1222" i="1"/>
  <c r="N1222" i="1"/>
  <c r="Q1222" i="1"/>
  <c r="I1222" i="1"/>
  <c r="J1222" i="1"/>
  <c r="K1222" i="1"/>
  <c r="R1222" i="1"/>
  <c r="S1222" i="1"/>
  <c r="T1222" i="1"/>
  <c r="M784" i="1"/>
  <c r="N784" i="1"/>
  <c r="I784" i="1"/>
  <c r="R784" i="1"/>
  <c r="J784" i="1"/>
  <c r="K784" i="1"/>
  <c r="L784" i="1"/>
  <c r="T784" i="1"/>
  <c r="Q784" i="1"/>
  <c r="S784" i="1"/>
  <c r="J712" i="1"/>
  <c r="S712" i="1"/>
  <c r="K712" i="1"/>
  <c r="T712" i="1"/>
  <c r="M712" i="1"/>
  <c r="N712" i="1"/>
  <c r="L712" i="1"/>
  <c r="Q712" i="1"/>
  <c r="R712" i="1"/>
  <c r="I712" i="1"/>
  <c r="N1141" i="1"/>
  <c r="Q1141" i="1"/>
  <c r="I1141" i="1"/>
  <c r="R1141" i="1"/>
  <c r="L1141" i="1"/>
  <c r="M1141" i="1"/>
  <c r="S1141" i="1"/>
  <c r="T1141" i="1"/>
  <c r="K1141" i="1"/>
  <c r="J1141" i="1"/>
  <c r="I905" i="1"/>
  <c r="Q905" i="1"/>
  <c r="J905" i="1"/>
  <c r="R905" i="1"/>
  <c r="K905" i="1"/>
  <c r="S905" i="1"/>
  <c r="L905" i="1"/>
  <c r="T905" i="1"/>
  <c r="M905" i="1"/>
  <c r="N905" i="1"/>
  <c r="Q795" i="1"/>
  <c r="I795" i="1"/>
  <c r="R795" i="1"/>
  <c r="K795" i="1"/>
  <c r="T795" i="1"/>
  <c r="S795" i="1"/>
  <c r="M795" i="1"/>
  <c r="N795" i="1"/>
  <c r="L795" i="1"/>
  <c r="J795" i="1"/>
  <c r="Q1025" i="1"/>
  <c r="I1025" i="1"/>
  <c r="R1025" i="1"/>
  <c r="J1025" i="1"/>
  <c r="S1025" i="1"/>
  <c r="K1025" i="1"/>
  <c r="T1025" i="1"/>
  <c r="L1025" i="1"/>
  <c r="M1025" i="1"/>
  <c r="N1025" i="1"/>
  <c r="Q950" i="1"/>
  <c r="I950" i="1"/>
  <c r="R950" i="1"/>
  <c r="J950" i="1"/>
  <c r="S950" i="1"/>
  <c r="K950" i="1"/>
  <c r="T950" i="1"/>
  <c r="L950" i="1"/>
  <c r="M950" i="1"/>
  <c r="N950" i="1"/>
  <c r="N919" i="1"/>
  <c r="Q919" i="1"/>
  <c r="I919" i="1"/>
  <c r="R919" i="1"/>
  <c r="J919" i="1"/>
  <c r="K919" i="1"/>
  <c r="L919" i="1"/>
  <c r="S919" i="1"/>
  <c r="M919" i="1"/>
  <c r="T919" i="1"/>
  <c r="J853" i="1"/>
  <c r="S853" i="1"/>
  <c r="K853" i="1"/>
  <c r="T853" i="1"/>
  <c r="L853" i="1"/>
  <c r="N853" i="1"/>
  <c r="I853" i="1"/>
  <c r="Q853" i="1"/>
  <c r="R853" i="1"/>
  <c r="M853" i="1"/>
  <c r="N706" i="1"/>
  <c r="I706" i="1"/>
  <c r="R706" i="1"/>
  <c r="J706" i="1"/>
  <c r="S706" i="1"/>
  <c r="K706" i="1"/>
  <c r="L706" i="1"/>
  <c r="Q706" i="1"/>
  <c r="M706" i="1"/>
  <c r="T706" i="1"/>
  <c r="I1047" i="1"/>
  <c r="R1047" i="1"/>
  <c r="J1047" i="1"/>
  <c r="S1047" i="1"/>
  <c r="K1047" i="1"/>
  <c r="T1047" i="1"/>
  <c r="L1047" i="1"/>
  <c r="M1047" i="1"/>
  <c r="N1047" i="1"/>
  <c r="Q1047" i="1"/>
  <c r="I982" i="1"/>
  <c r="Q982" i="1"/>
  <c r="J982" i="1"/>
  <c r="R982" i="1"/>
  <c r="K982" i="1"/>
  <c r="S982" i="1"/>
  <c r="L982" i="1"/>
  <c r="M982" i="1"/>
  <c r="T982" i="1"/>
  <c r="N982" i="1"/>
  <c r="I907" i="1"/>
  <c r="R907" i="1"/>
  <c r="J907" i="1"/>
  <c r="S907" i="1"/>
  <c r="K907" i="1"/>
  <c r="T907" i="1"/>
  <c r="L907" i="1"/>
  <c r="Q907" i="1"/>
  <c r="M907" i="1"/>
  <c r="N907" i="1"/>
  <c r="L773" i="1"/>
  <c r="M773" i="1"/>
  <c r="N773" i="1"/>
  <c r="Q773" i="1"/>
  <c r="I773" i="1"/>
  <c r="J773" i="1"/>
  <c r="K773" i="1"/>
  <c r="R773" i="1"/>
  <c r="S773" i="1"/>
  <c r="T773" i="1"/>
  <c r="M1023" i="1"/>
  <c r="N1023" i="1"/>
  <c r="Q1023" i="1"/>
  <c r="I1023" i="1"/>
  <c r="R1023" i="1"/>
  <c r="J1023" i="1"/>
  <c r="K1023" i="1"/>
  <c r="L1023" i="1"/>
  <c r="S1023" i="1"/>
  <c r="T1023" i="1"/>
  <c r="K969" i="1"/>
  <c r="T969" i="1"/>
  <c r="L969" i="1"/>
  <c r="M969" i="1"/>
  <c r="N969" i="1"/>
  <c r="J969" i="1"/>
  <c r="Q969" i="1"/>
  <c r="R969" i="1"/>
  <c r="S969" i="1"/>
  <c r="I969" i="1"/>
  <c r="K1224" i="1"/>
  <c r="T1224" i="1"/>
  <c r="L1224" i="1"/>
  <c r="M1224" i="1"/>
  <c r="N1224" i="1"/>
  <c r="R1224" i="1"/>
  <c r="S1224" i="1"/>
  <c r="I1224" i="1"/>
  <c r="J1224" i="1"/>
  <c r="Q1224" i="1"/>
  <c r="L783" i="1"/>
  <c r="M783" i="1"/>
  <c r="N783" i="1"/>
  <c r="Q783" i="1"/>
  <c r="I783" i="1"/>
  <c r="J783" i="1"/>
  <c r="K783" i="1"/>
  <c r="R783" i="1"/>
  <c r="S783" i="1"/>
  <c r="T783" i="1"/>
  <c r="Q738" i="1"/>
  <c r="J738" i="1"/>
  <c r="K738" i="1"/>
  <c r="R738" i="1"/>
  <c r="S738" i="1"/>
  <c r="T738" i="1"/>
  <c r="I738" i="1"/>
  <c r="M738" i="1"/>
  <c r="N738" i="1"/>
  <c r="L738" i="1"/>
  <c r="L848" i="1"/>
  <c r="M848" i="1"/>
  <c r="N848" i="1"/>
  <c r="J848" i="1"/>
  <c r="K848" i="1"/>
  <c r="Q848" i="1"/>
  <c r="R848" i="1"/>
  <c r="S848" i="1"/>
  <c r="I848" i="1"/>
  <c r="T848" i="1"/>
  <c r="Q1142" i="1"/>
  <c r="I1142" i="1"/>
  <c r="R1142" i="1"/>
  <c r="J1142" i="1"/>
  <c r="S1142" i="1"/>
  <c r="M1142" i="1"/>
  <c r="N1142" i="1"/>
  <c r="T1142" i="1"/>
  <c r="K1142" i="1"/>
  <c r="L1142" i="1"/>
  <c r="K1140" i="1"/>
  <c r="T1140" i="1"/>
  <c r="L1140" i="1"/>
  <c r="M1140" i="1"/>
  <c r="N1140" i="1"/>
  <c r="I1140" i="1"/>
  <c r="R1140" i="1"/>
  <c r="J1140" i="1"/>
  <c r="Q1140" i="1"/>
  <c r="S1140" i="1"/>
  <c r="J829" i="1"/>
  <c r="S829" i="1"/>
  <c r="K829" i="1"/>
  <c r="T829" i="1"/>
  <c r="L829" i="1"/>
  <c r="M829" i="1"/>
  <c r="Q829" i="1"/>
  <c r="R829" i="1"/>
  <c r="I829" i="1"/>
  <c r="N829" i="1"/>
  <c r="K1100" i="1"/>
  <c r="T1100" i="1"/>
  <c r="L1100" i="1"/>
  <c r="M1100" i="1"/>
  <c r="N1100" i="1"/>
  <c r="I1100" i="1"/>
  <c r="R1100" i="1"/>
  <c r="J1100" i="1"/>
  <c r="Q1100" i="1"/>
  <c r="S1100" i="1"/>
  <c r="U813" i="1"/>
  <c r="U744" i="1"/>
  <c r="M1099" i="1"/>
  <c r="N1099" i="1"/>
  <c r="Q1099" i="1"/>
  <c r="I1099" i="1"/>
  <c r="R1099" i="1"/>
  <c r="K1099" i="1"/>
  <c r="T1099" i="1"/>
  <c r="L1099" i="1"/>
  <c r="S1099" i="1"/>
  <c r="J1099" i="1"/>
  <c r="K1153" i="1"/>
  <c r="T1153" i="1"/>
  <c r="L1153" i="1"/>
  <c r="M1153" i="1"/>
  <c r="N1153" i="1"/>
  <c r="Q1153" i="1"/>
  <c r="I1153" i="1"/>
  <c r="R1153" i="1"/>
  <c r="S1153" i="1"/>
  <c r="J1153" i="1"/>
  <c r="I933" i="1"/>
  <c r="R933" i="1"/>
  <c r="K933" i="1"/>
  <c r="T933" i="1"/>
  <c r="L933" i="1"/>
  <c r="J933" i="1"/>
  <c r="M933" i="1"/>
  <c r="N933" i="1"/>
  <c r="Q933" i="1"/>
  <c r="S933" i="1"/>
  <c r="J1242" i="1"/>
  <c r="S1242" i="1"/>
  <c r="K1242" i="1"/>
  <c r="T1242" i="1"/>
  <c r="L1242" i="1"/>
  <c r="M1242" i="1"/>
  <c r="N1242" i="1"/>
  <c r="Q1242" i="1"/>
  <c r="I1242" i="1"/>
  <c r="R1242" i="1"/>
  <c r="N888" i="1"/>
  <c r="Q888" i="1"/>
  <c r="I888" i="1"/>
  <c r="R888" i="1"/>
  <c r="J888" i="1"/>
  <c r="K888" i="1"/>
  <c r="L888" i="1"/>
  <c r="M888" i="1"/>
  <c r="S888" i="1"/>
  <c r="T888" i="1"/>
  <c r="K1240" i="1"/>
  <c r="S1240" i="1"/>
  <c r="L1240" i="1"/>
  <c r="T1240" i="1"/>
  <c r="M1240" i="1"/>
  <c r="N1240" i="1"/>
  <c r="I1240" i="1"/>
  <c r="J1240" i="1"/>
  <c r="Q1240" i="1"/>
  <c r="R1240" i="1"/>
  <c r="Q1022" i="1"/>
  <c r="I1022" i="1"/>
  <c r="R1022" i="1"/>
  <c r="J1022" i="1"/>
  <c r="S1022" i="1"/>
  <c r="K1022" i="1"/>
  <c r="T1022" i="1"/>
  <c r="L1022" i="1"/>
  <c r="M1022" i="1"/>
  <c r="N1022" i="1"/>
  <c r="L1114" i="1"/>
  <c r="M1114" i="1"/>
  <c r="N1114" i="1"/>
  <c r="Q1114" i="1"/>
  <c r="J1114" i="1"/>
  <c r="S1114" i="1"/>
  <c r="I1114" i="1"/>
  <c r="K1114" i="1"/>
  <c r="R1114" i="1"/>
  <c r="T1114" i="1"/>
  <c r="I906" i="1"/>
  <c r="R906" i="1"/>
  <c r="J906" i="1"/>
  <c r="S906" i="1"/>
  <c r="K906" i="1"/>
  <c r="T906" i="1"/>
  <c r="L906" i="1"/>
  <c r="Q906" i="1"/>
  <c r="M906" i="1"/>
  <c r="N906" i="1"/>
  <c r="M873" i="1"/>
  <c r="N873" i="1"/>
  <c r="K873" i="1"/>
  <c r="L873" i="1"/>
  <c r="Q873" i="1"/>
  <c r="R873" i="1"/>
  <c r="S873" i="1"/>
  <c r="T873" i="1"/>
  <c r="I873" i="1"/>
  <c r="J873" i="1"/>
  <c r="L782" i="1"/>
  <c r="T782" i="1"/>
  <c r="M782" i="1"/>
  <c r="N782" i="1"/>
  <c r="I782" i="1"/>
  <c r="J782" i="1"/>
  <c r="K782" i="1"/>
  <c r="R782" i="1"/>
  <c r="S782" i="1"/>
  <c r="Q782" i="1"/>
  <c r="J1152" i="1"/>
  <c r="S1152" i="1"/>
  <c r="K1152" i="1"/>
  <c r="T1152" i="1"/>
  <c r="L1152" i="1"/>
  <c r="M1152" i="1"/>
  <c r="Q1152" i="1"/>
  <c r="I1152" i="1"/>
  <c r="N1152" i="1"/>
  <c r="R1152" i="1"/>
  <c r="M1037" i="1"/>
  <c r="N1037" i="1"/>
  <c r="Q1037" i="1"/>
  <c r="I1037" i="1"/>
  <c r="R1037" i="1"/>
  <c r="K1037" i="1"/>
  <c r="T1037" i="1"/>
  <c r="J1037" i="1"/>
  <c r="L1037" i="1"/>
  <c r="S1037" i="1"/>
  <c r="J976" i="1"/>
  <c r="S976" i="1"/>
  <c r="K976" i="1"/>
  <c r="T976" i="1"/>
  <c r="L976" i="1"/>
  <c r="M976" i="1"/>
  <c r="N976" i="1"/>
  <c r="I976" i="1"/>
  <c r="Q976" i="1"/>
  <c r="R976" i="1"/>
  <c r="M1190" i="1"/>
  <c r="N1190" i="1"/>
  <c r="Q1190" i="1"/>
  <c r="I1190" i="1"/>
  <c r="R1190" i="1"/>
  <c r="K1190" i="1"/>
  <c r="T1190" i="1"/>
  <c r="L1190" i="1"/>
  <c r="J1190" i="1"/>
  <c r="S1190" i="1"/>
  <c r="J881" i="1"/>
  <c r="R881" i="1"/>
  <c r="K881" i="1"/>
  <c r="S881" i="1"/>
  <c r="L881" i="1"/>
  <c r="T881" i="1"/>
  <c r="M881" i="1"/>
  <c r="Q881" i="1"/>
  <c r="N881" i="1"/>
  <c r="I881" i="1"/>
  <c r="L723" i="1"/>
  <c r="T723" i="1"/>
  <c r="M723" i="1"/>
  <c r="I723" i="1"/>
  <c r="J723" i="1"/>
  <c r="N723" i="1"/>
  <c r="K723" i="1"/>
  <c r="Q723" i="1"/>
  <c r="R723" i="1"/>
  <c r="S723" i="1"/>
  <c r="Q1123" i="1"/>
  <c r="I1123" i="1"/>
  <c r="R1123" i="1"/>
  <c r="J1123" i="1"/>
  <c r="S1123" i="1"/>
  <c r="M1123" i="1"/>
  <c r="N1123" i="1"/>
  <c r="T1123" i="1"/>
  <c r="K1123" i="1"/>
  <c r="L1123" i="1"/>
  <c r="I1126" i="1"/>
  <c r="Q1126" i="1"/>
  <c r="J1126" i="1"/>
  <c r="R1126" i="1"/>
  <c r="K1126" i="1"/>
  <c r="S1126" i="1"/>
  <c r="M1126" i="1"/>
  <c r="L1126" i="1"/>
  <c r="N1126" i="1"/>
  <c r="T1126" i="1"/>
  <c r="L1073" i="1"/>
  <c r="T1073" i="1"/>
  <c r="M1073" i="1"/>
  <c r="N1073" i="1"/>
  <c r="J1073" i="1"/>
  <c r="R1073" i="1"/>
  <c r="S1073" i="1"/>
  <c r="I1073" i="1"/>
  <c r="K1073" i="1"/>
  <c r="Q1073" i="1"/>
  <c r="L928" i="1"/>
  <c r="M928" i="1"/>
  <c r="N928" i="1"/>
  <c r="I928" i="1"/>
  <c r="R928" i="1"/>
  <c r="S928" i="1"/>
  <c r="T928" i="1"/>
  <c r="J928" i="1"/>
  <c r="K928" i="1"/>
  <c r="Q928" i="1"/>
  <c r="J1230" i="1"/>
  <c r="S1230" i="1"/>
  <c r="K1230" i="1"/>
  <c r="T1230" i="1"/>
  <c r="L1230" i="1"/>
  <c r="M1230" i="1"/>
  <c r="I1230" i="1"/>
  <c r="N1230" i="1"/>
  <c r="Q1230" i="1"/>
  <c r="R1230" i="1"/>
  <c r="K920" i="1"/>
  <c r="T920" i="1"/>
  <c r="L920" i="1"/>
  <c r="M920" i="1"/>
  <c r="N920" i="1"/>
  <c r="Q920" i="1"/>
  <c r="I920" i="1"/>
  <c r="R920" i="1"/>
  <c r="J920" i="1"/>
  <c r="S920" i="1"/>
  <c r="M1179" i="1"/>
  <c r="N1179" i="1"/>
  <c r="Q1179" i="1"/>
  <c r="J1179" i="1"/>
  <c r="S1179" i="1"/>
  <c r="K1179" i="1"/>
  <c r="T1179" i="1"/>
  <c r="R1179" i="1"/>
  <c r="I1179" i="1"/>
  <c r="L1179" i="1"/>
  <c r="K1208" i="1"/>
  <c r="T1208" i="1"/>
  <c r="L1208" i="1"/>
  <c r="M1208" i="1"/>
  <c r="N1208" i="1"/>
  <c r="I1208" i="1"/>
  <c r="R1208" i="1"/>
  <c r="J1208" i="1"/>
  <c r="S1208" i="1"/>
  <c r="Q1208" i="1"/>
  <c r="I1174" i="1"/>
  <c r="R1174" i="1"/>
  <c r="J1174" i="1"/>
  <c r="S1174" i="1"/>
  <c r="K1174" i="1"/>
  <c r="T1174" i="1"/>
  <c r="L1174" i="1"/>
  <c r="N1174" i="1"/>
  <c r="M1174" i="1"/>
  <c r="Q1174" i="1"/>
  <c r="U750" i="1"/>
  <c r="O813" i="1"/>
  <c r="O811" i="1"/>
  <c r="L1178" i="1"/>
  <c r="M1178" i="1"/>
  <c r="N1178" i="1"/>
  <c r="I1178" i="1"/>
  <c r="R1178" i="1"/>
  <c r="J1178" i="1"/>
  <c r="S1178" i="1"/>
  <c r="K1178" i="1"/>
  <c r="Q1178" i="1"/>
  <c r="T1178" i="1"/>
  <c r="Q1089" i="1"/>
  <c r="I1089" i="1"/>
  <c r="R1089" i="1"/>
  <c r="J1089" i="1"/>
  <c r="S1089" i="1"/>
  <c r="K1089" i="1"/>
  <c r="T1089" i="1"/>
  <c r="L1089" i="1"/>
  <c r="N1089" i="1"/>
  <c r="M1089" i="1"/>
  <c r="I1202" i="1"/>
  <c r="R1202" i="1"/>
  <c r="J1202" i="1"/>
  <c r="S1202" i="1"/>
  <c r="K1202" i="1"/>
  <c r="T1202" i="1"/>
  <c r="L1202" i="1"/>
  <c r="M1202" i="1"/>
  <c r="Q1202" i="1"/>
  <c r="N1202" i="1"/>
  <c r="N1050" i="1"/>
  <c r="Q1050" i="1"/>
  <c r="I1050" i="1"/>
  <c r="R1050" i="1"/>
  <c r="J1050" i="1"/>
  <c r="S1050" i="1"/>
  <c r="L1050" i="1"/>
  <c r="K1050" i="1"/>
  <c r="M1050" i="1"/>
  <c r="T1050" i="1"/>
  <c r="N927" i="1"/>
  <c r="Q927" i="1"/>
  <c r="I927" i="1"/>
  <c r="R927" i="1"/>
  <c r="L927" i="1"/>
  <c r="M927" i="1"/>
  <c r="S927" i="1"/>
  <c r="T927" i="1"/>
  <c r="J927" i="1"/>
  <c r="K927" i="1"/>
  <c r="M1029" i="1"/>
  <c r="I1029" i="1"/>
  <c r="Q1029" i="1"/>
  <c r="T1029" i="1"/>
  <c r="J1029" i="1"/>
  <c r="K1029" i="1"/>
  <c r="L1029" i="1"/>
  <c r="R1029" i="1"/>
  <c r="N1029" i="1"/>
  <c r="S1029" i="1"/>
  <c r="N1009" i="1"/>
  <c r="Q1009" i="1"/>
  <c r="I1009" i="1"/>
  <c r="R1009" i="1"/>
  <c r="J1009" i="1"/>
  <c r="S1009" i="1"/>
  <c r="M1009" i="1"/>
  <c r="T1009" i="1"/>
  <c r="K1009" i="1"/>
  <c r="L1009" i="1"/>
  <c r="K1059" i="1"/>
  <c r="T1059" i="1"/>
  <c r="L1059" i="1"/>
  <c r="M1059" i="1"/>
  <c r="N1059" i="1"/>
  <c r="I1059" i="1"/>
  <c r="R1059" i="1"/>
  <c r="S1059" i="1"/>
  <c r="J1059" i="1"/>
  <c r="Q1059" i="1"/>
  <c r="L1112" i="1"/>
  <c r="M1112" i="1"/>
  <c r="N1112" i="1"/>
  <c r="Q1112" i="1"/>
  <c r="J1112" i="1"/>
  <c r="S1112" i="1"/>
  <c r="I1112" i="1"/>
  <c r="K1112" i="1"/>
  <c r="R1112" i="1"/>
  <c r="T1112" i="1"/>
  <c r="Q1043" i="1"/>
  <c r="I1043" i="1"/>
  <c r="R1043" i="1"/>
  <c r="J1043" i="1"/>
  <c r="S1043" i="1"/>
  <c r="K1043" i="1"/>
  <c r="T1043" i="1"/>
  <c r="L1043" i="1"/>
  <c r="N1043" i="1"/>
  <c r="M1043" i="1"/>
  <c r="L714" i="1"/>
  <c r="M714" i="1"/>
  <c r="Q714" i="1"/>
  <c r="N714" i="1"/>
  <c r="R714" i="1"/>
  <c r="S714" i="1"/>
  <c r="T714" i="1"/>
  <c r="J714" i="1"/>
  <c r="K714" i="1"/>
  <c r="I714" i="1"/>
  <c r="N785" i="1"/>
  <c r="Q785" i="1"/>
  <c r="J785" i="1"/>
  <c r="S785" i="1"/>
  <c r="I785" i="1"/>
  <c r="K785" i="1"/>
  <c r="L785" i="1"/>
  <c r="M785" i="1"/>
  <c r="R785" i="1"/>
  <c r="T785" i="1"/>
  <c r="M994" i="1"/>
  <c r="N994" i="1"/>
  <c r="Q994" i="1"/>
  <c r="I994" i="1"/>
  <c r="R994" i="1"/>
  <c r="J994" i="1"/>
  <c r="K994" i="1"/>
  <c r="L994" i="1"/>
  <c r="S994" i="1"/>
  <c r="T994" i="1"/>
  <c r="L704" i="1"/>
  <c r="M704" i="1"/>
  <c r="Q704" i="1"/>
  <c r="I704" i="1"/>
  <c r="J704" i="1"/>
  <c r="N704" i="1"/>
  <c r="K704" i="1"/>
  <c r="R704" i="1"/>
  <c r="S704" i="1"/>
  <c r="T704" i="1"/>
  <c r="L946" i="1"/>
  <c r="T946" i="1"/>
  <c r="M946" i="1"/>
  <c r="J946" i="1"/>
  <c r="K946" i="1"/>
  <c r="N946" i="1"/>
  <c r="I946" i="1"/>
  <c r="Q946" i="1"/>
  <c r="R946" i="1"/>
  <c r="S946" i="1"/>
  <c r="M958" i="1"/>
  <c r="N958" i="1"/>
  <c r="Q958" i="1"/>
  <c r="I958" i="1"/>
  <c r="R958" i="1"/>
  <c r="J958" i="1"/>
  <c r="K958" i="1"/>
  <c r="L958" i="1"/>
  <c r="S958" i="1"/>
  <c r="T958" i="1"/>
  <c r="M1145" i="1"/>
  <c r="N1145" i="1"/>
  <c r="Q1145" i="1"/>
  <c r="J1145" i="1"/>
  <c r="S1145" i="1"/>
  <c r="K1145" i="1"/>
  <c r="T1145" i="1"/>
  <c r="I1145" i="1"/>
  <c r="R1145" i="1"/>
  <c r="L1145" i="1"/>
  <c r="L731" i="1"/>
  <c r="M731" i="1"/>
  <c r="N731" i="1"/>
  <c r="Q731" i="1"/>
  <c r="I731" i="1"/>
  <c r="R731" i="1"/>
  <c r="J731" i="1"/>
  <c r="K731" i="1"/>
  <c r="S731" i="1"/>
  <c r="T731" i="1"/>
  <c r="L1154" i="1"/>
  <c r="M1154" i="1"/>
  <c r="N1154" i="1"/>
  <c r="I1154" i="1"/>
  <c r="R1154" i="1"/>
  <c r="J1154" i="1"/>
  <c r="S1154" i="1"/>
  <c r="K1154" i="1"/>
  <c r="Q1154" i="1"/>
  <c r="T1154" i="1"/>
  <c r="Q1159" i="1"/>
  <c r="I1159" i="1"/>
  <c r="R1159" i="1"/>
  <c r="J1159" i="1"/>
  <c r="S1159" i="1"/>
  <c r="L1159" i="1"/>
  <c r="M1159" i="1"/>
  <c r="T1159" i="1"/>
  <c r="K1159" i="1"/>
  <c r="N1159" i="1"/>
  <c r="L1118" i="1"/>
  <c r="M1118" i="1"/>
  <c r="N1118" i="1"/>
  <c r="Q1118" i="1"/>
  <c r="J1118" i="1"/>
  <c r="S1118" i="1"/>
  <c r="T1118" i="1"/>
  <c r="I1118" i="1"/>
  <c r="K1118" i="1"/>
  <c r="R1118" i="1"/>
  <c r="L993" i="1"/>
  <c r="M993" i="1"/>
  <c r="N993" i="1"/>
  <c r="Q993" i="1"/>
  <c r="I993" i="1"/>
  <c r="J993" i="1"/>
  <c r="K993" i="1"/>
  <c r="S993" i="1"/>
  <c r="R993" i="1"/>
  <c r="T993" i="1"/>
  <c r="K807" i="1"/>
  <c r="T807" i="1"/>
  <c r="L807" i="1"/>
  <c r="M807" i="1"/>
  <c r="N807" i="1"/>
  <c r="I807" i="1"/>
  <c r="R807" i="1"/>
  <c r="J807" i="1"/>
  <c r="S807" i="1"/>
  <c r="Q807" i="1"/>
  <c r="L884" i="1"/>
  <c r="M884" i="1"/>
  <c r="N884" i="1"/>
  <c r="Q884" i="1"/>
  <c r="I884" i="1"/>
  <c r="R884" i="1"/>
  <c r="J884" i="1"/>
  <c r="K884" i="1"/>
  <c r="S884" i="1"/>
  <c r="T884" i="1"/>
  <c r="M1144" i="1"/>
  <c r="N1144" i="1"/>
  <c r="Q1144" i="1"/>
  <c r="J1144" i="1"/>
  <c r="S1144" i="1"/>
  <c r="K1144" i="1"/>
  <c r="T1144" i="1"/>
  <c r="I1144" i="1"/>
  <c r="L1144" i="1"/>
  <c r="R1144" i="1"/>
  <c r="I1044" i="1"/>
  <c r="R1044" i="1"/>
  <c r="J1044" i="1"/>
  <c r="S1044" i="1"/>
  <c r="K1044" i="1"/>
  <c r="T1044" i="1"/>
  <c r="L1044" i="1"/>
  <c r="M1044" i="1"/>
  <c r="Q1044" i="1"/>
  <c r="N1044" i="1"/>
  <c r="L774" i="1"/>
  <c r="M774" i="1"/>
  <c r="N774" i="1"/>
  <c r="Q774" i="1"/>
  <c r="R774" i="1"/>
  <c r="S774" i="1"/>
  <c r="T774" i="1"/>
  <c r="J774" i="1"/>
  <c r="K774" i="1"/>
  <c r="I774" i="1"/>
  <c r="J1177" i="1"/>
  <c r="S1177" i="1"/>
  <c r="K1177" i="1"/>
  <c r="T1177" i="1"/>
  <c r="L1177" i="1"/>
  <c r="M1177" i="1"/>
  <c r="Q1177" i="1"/>
  <c r="I1177" i="1"/>
  <c r="N1177" i="1"/>
  <c r="R1177" i="1"/>
  <c r="L1122" i="1"/>
  <c r="M1122" i="1"/>
  <c r="N1122" i="1"/>
  <c r="Q1122" i="1"/>
  <c r="J1122" i="1"/>
  <c r="S1122" i="1"/>
  <c r="K1122" i="1"/>
  <c r="R1122" i="1"/>
  <c r="T1122" i="1"/>
  <c r="I1122" i="1"/>
  <c r="K1015" i="1"/>
  <c r="T1015" i="1"/>
  <c r="L1015" i="1"/>
  <c r="M1015" i="1"/>
  <c r="N1015" i="1"/>
  <c r="R1015" i="1"/>
  <c r="S1015" i="1"/>
  <c r="J1015" i="1"/>
  <c r="I1015" i="1"/>
  <c r="Q1015" i="1"/>
  <c r="K1121" i="1"/>
  <c r="T1121" i="1"/>
  <c r="L1121" i="1"/>
  <c r="M1121" i="1"/>
  <c r="N1121" i="1"/>
  <c r="I1121" i="1"/>
  <c r="R1121" i="1"/>
  <c r="J1121" i="1"/>
  <c r="Q1121" i="1"/>
  <c r="S1121" i="1"/>
  <c r="L710" i="1"/>
  <c r="M710" i="1"/>
  <c r="N710" i="1"/>
  <c r="I710" i="1"/>
  <c r="R710" i="1"/>
  <c r="T710" i="1"/>
  <c r="J710" i="1"/>
  <c r="K710" i="1"/>
  <c r="Q710" i="1"/>
  <c r="S710" i="1"/>
  <c r="I998" i="1"/>
  <c r="Q998" i="1"/>
  <c r="J998" i="1"/>
  <c r="R998" i="1"/>
  <c r="K998" i="1"/>
  <c r="S998" i="1"/>
  <c r="L998" i="1"/>
  <c r="T998" i="1"/>
  <c r="M998" i="1"/>
  <c r="N998" i="1"/>
  <c r="M726" i="1"/>
  <c r="N726" i="1"/>
  <c r="Q726" i="1"/>
  <c r="I726" i="1"/>
  <c r="R726" i="1"/>
  <c r="J726" i="1"/>
  <c r="K726" i="1"/>
  <c r="L726" i="1"/>
  <c r="S726" i="1"/>
  <c r="T726" i="1"/>
  <c r="K1210" i="1"/>
  <c r="T1210" i="1"/>
  <c r="L1210" i="1"/>
  <c r="M1210" i="1"/>
  <c r="N1210" i="1"/>
  <c r="Q1210" i="1"/>
  <c r="I1210" i="1"/>
  <c r="J1210" i="1"/>
  <c r="R1210" i="1"/>
  <c r="S1210" i="1"/>
  <c r="Q890" i="1"/>
  <c r="I890" i="1"/>
  <c r="R890" i="1"/>
  <c r="J890" i="1"/>
  <c r="S890" i="1"/>
  <c r="K890" i="1"/>
  <c r="L890" i="1"/>
  <c r="M890" i="1"/>
  <c r="N890" i="1"/>
  <c r="T890" i="1"/>
  <c r="J1151" i="1"/>
  <c r="S1151" i="1"/>
  <c r="K1151" i="1"/>
  <c r="T1151" i="1"/>
  <c r="L1151" i="1"/>
  <c r="M1151" i="1"/>
  <c r="Q1151" i="1"/>
  <c r="N1151" i="1"/>
  <c r="R1151" i="1"/>
  <c r="I1151" i="1"/>
  <c r="Q1124" i="1"/>
  <c r="I1124" i="1"/>
  <c r="R1124" i="1"/>
  <c r="J1124" i="1"/>
  <c r="S1124" i="1"/>
  <c r="K1124" i="1"/>
  <c r="T1124" i="1"/>
  <c r="L1124" i="1"/>
  <c r="N1124" i="1"/>
  <c r="M1124" i="1"/>
  <c r="I1019" i="1"/>
  <c r="Q1019" i="1"/>
  <c r="J1019" i="1"/>
  <c r="R1019" i="1"/>
  <c r="K1019" i="1"/>
  <c r="S1019" i="1"/>
  <c r="L1019" i="1"/>
  <c r="T1019" i="1"/>
  <c r="M1019" i="1"/>
  <c r="N1019" i="1"/>
  <c r="Q778" i="1"/>
  <c r="I778" i="1"/>
  <c r="R778" i="1"/>
  <c r="J778" i="1"/>
  <c r="S778" i="1"/>
  <c r="L778" i="1"/>
  <c r="T778" i="1"/>
  <c r="N778" i="1"/>
  <c r="M778" i="1"/>
  <c r="K778" i="1"/>
  <c r="N1212" i="1"/>
  <c r="Q1212" i="1"/>
  <c r="I1212" i="1"/>
  <c r="R1212" i="1"/>
  <c r="J1212" i="1"/>
  <c r="S1212" i="1"/>
  <c r="L1212" i="1"/>
  <c r="M1212" i="1"/>
  <c r="K1212" i="1"/>
  <c r="T1212" i="1"/>
  <c r="I1094" i="1"/>
  <c r="R1094" i="1"/>
  <c r="J1094" i="1"/>
  <c r="S1094" i="1"/>
  <c r="K1094" i="1"/>
  <c r="T1094" i="1"/>
  <c r="L1094" i="1"/>
  <c r="M1094" i="1"/>
  <c r="N1094" i="1"/>
  <c r="Q1094" i="1"/>
  <c r="N1049" i="1"/>
  <c r="Q1049" i="1"/>
  <c r="I1049" i="1"/>
  <c r="R1049" i="1"/>
  <c r="J1049" i="1"/>
  <c r="S1049" i="1"/>
  <c r="L1049" i="1"/>
  <c r="K1049" i="1"/>
  <c r="M1049" i="1"/>
  <c r="T1049" i="1"/>
  <c r="K924" i="1"/>
  <c r="T924" i="1"/>
  <c r="L924" i="1"/>
  <c r="M924" i="1"/>
  <c r="N924" i="1"/>
  <c r="I924" i="1"/>
  <c r="J924" i="1"/>
  <c r="Q924" i="1"/>
  <c r="R924" i="1"/>
  <c r="S924" i="1"/>
  <c r="N1017" i="1"/>
  <c r="Q1017" i="1"/>
  <c r="I1017" i="1"/>
  <c r="R1017" i="1"/>
  <c r="J1017" i="1"/>
  <c r="S1017" i="1"/>
  <c r="K1017" i="1"/>
  <c r="L1017" i="1"/>
  <c r="M1017" i="1"/>
  <c r="T1017" i="1"/>
  <c r="L964" i="1"/>
  <c r="M964" i="1"/>
  <c r="N964" i="1"/>
  <c r="Q964" i="1"/>
  <c r="I964" i="1"/>
  <c r="J964" i="1"/>
  <c r="K964" i="1"/>
  <c r="R964" i="1"/>
  <c r="S964" i="1"/>
  <c r="T964" i="1"/>
  <c r="Q903" i="1"/>
  <c r="I903" i="1"/>
  <c r="R903" i="1"/>
  <c r="J903" i="1"/>
  <c r="S903" i="1"/>
  <c r="M903" i="1"/>
  <c r="N903" i="1"/>
  <c r="T903" i="1"/>
  <c r="L903" i="1"/>
  <c r="K903" i="1"/>
  <c r="Q728" i="1"/>
  <c r="J728" i="1"/>
  <c r="S728" i="1"/>
  <c r="K728" i="1"/>
  <c r="T728" i="1"/>
  <c r="I728" i="1"/>
  <c r="L728" i="1"/>
  <c r="M728" i="1"/>
  <c r="R728" i="1"/>
  <c r="N728" i="1"/>
  <c r="M1039" i="1"/>
  <c r="N1039" i="1"/>
  <c r="Q1039" i="1"/>
  <c r="I1039" i="1"/>
  <c r="R1039" i="1"/>
  <c r="K1039" i="1"/>
  <c r="T1039" i="1"/>
  <c r="J1039" i="1"/>
  <c r="L1039" i="1"/>
  <c r="S1039" i="1"/>
  <c r="L991" i="1"/>
  <c r="M991" i="1"/>
  <c r="N991" i="1"/>
  <c r="Q991" i="1"/>
  <c r="K991" i="1"/>
  <c r="R991" i="1"/>
  <c r="S991" i="1"/>
  <c r="T991" i="1"/>
  <c r="I991" i="1"/>
  <c r="J991" i="1"/>
  <c r="N945" i="1"/>
  <c r="Q945" i="1"/>
  <c r="I945" i="1"/>
  <c r="R945" i="1"/>
  <c r="J945" i="1"/>
  <c r="S945" i="1"/>
  <c r="K945" i="1"/>
  <c r="L945" i="1"/>
  <c r="M945" i="1"/>
  <c r="T945" i="1"/>
  <c r="M763" i="1"/>
  <c r="N763" i="1"/>
  <c r="I763" i="1"/>
  <c r="Q763" i="1"/>
  <c r="J763" i="1"/>
  <c r="K763" i="1"/>
  <c r="L763" i="1"/>
  <c r="S763" i="1"/>
  <c r="T763" i="1"/>
  <c r="R763" i="1"/>
  <c r="L1239" i="1"/>
  <c r="T1239" i="1"/>
  <c r="M1239" i="1"/>
  <c r="N1239" i="1"/>
  <c r="J1239" i="1"/>
  <c r="K1239" i="1"/>
  <c r="Q1239" i="1"/>
  <c r="R1239" i="1"/>
  <c r="I1239" i="1"/>
  <c r="S1239" i="1"/>
  <c r="M725" i="1"/>
  <c r="N725" i="1"/>
  <c r="Q725" i="1"/>
  <c r="I725" i="1"/>
  <c r="R725" i="1"/>
  <c r="J725" i="1"/>
  <c r="K725" i="1"/>
  <c r="T725" i="1"/>
  <c r="L725" i="1"/>
  <c r="S725" i="1"/>
  <c r="N1116" i="1"/>
  <c r="Q1116" i="1"/>
  <c r="I1116" i="1"/>
  <c r="R1116" i="1"/>
  <c r="L1116" i="1"/>
  <c r="J1116" i="1"/>
  <c r="K1116" i="1"/>
  <c r="M1116" i="1"/>
  <c r="S1116" i="1"/>
  <c r="T1116" i="1"/>
  <c r="Q1013" i="1"/>
  <c r="I1013" i="1"/>
  <c r="R1013" i="1"/>
  <c r="J1013" i="1"/>
  <c r="S1013" i="1"/>
  <c r="K1013" i="1"/>
  <c r="T1013" i="1"/>
  <c r="M1013" i="1"/>
  <c r="L1013" i="1"/>
  <c r="N1013" i="1"/>
  <c r="Q941" i="1"/>
  <c r="I941" i="1"/>
  <c r="R941" i="1"/>
  <c r="S941" i="1"/>
  <c r="T941" i="1"/>
  <c r="J941" i="1"/>
  <c r="K941" i="1"/>
  <c r="L941" i="1"/>
  <c r="N941" i="1"/>
  <c r="M941" i="1"/>
  <c r="Q904" i="1"/>
  <c r="I904" i="1"/>
  <c r="R904" i="1"/>
  <c r="J904" i="1"/>
  <c r="S904" i="1"/>
  <c r="K904" i="1"/>
  <c r="T904" i="1"/>
  <c r="N904" i="1"/>
  <c r="L904" i="1"/>
  <c r="M904" i="1"/>
  <c r="N855" i="1"/>
  <c r="Q855" i="1"/>
  <c r="J855" i="1"/>
  <c r="S855" i="1"/>
  <c r="R855" i="1"/>
  <c r="T855" i="1"/>
  <c r="I855" i="1"/>
  <c r="K855" i="1"/>
  <c r="L855" i="1"/>
  <c r="M855" i="1"/>
  <c r="N766" i="1"/>
  <c r="Q766" i="1"/>
  <c r="J766" i="1"/>
  <c r="S766" i="1"/>
  <c r="I766" i="1"/>
  <c r="K766" i="1"/>
  <c r="L766" i="1"/>
  <c r="M766" i="1"/>
  <c r="R766" i="1"/>
  <c r="T766" i="1"/>
  <c r="M1032" i="1"/>
  <c r="Q1032" i="1"/>
  <c r="I1032" i="1"/>
  <c r="R1032" i="1"/>
  <c r="J1032" i="1"/>
  <c r="K1032" i="1"/>
  <c r="L1032" i="1"/>
  <c r="S1032" i="1"/>
  <c r="T1032" i="1"/>
  <c r="N1032" i="1"/>
  <c r="Q949" i="1"/>
  <c r="I949" i="1"/>
  <c r="R949" i="1"/>
  <c r="J949" i="1"/>
  <c r="S949" i="1"/>
  <c r="K949" i="1"/>
  <c r="T949" i="1"/>
  <c r="N949" i="1"/>
  <c r="L949" i="1"/>
  <c r="M949" i="1"/>
  <c r="L1232" i="1"/>
  <c r="M1232" i="1"/>
  <c r="N1232" i="1"/>
  <c r="S1232" i="1"/>
  <c r="T1232" i="1"/>
  <c r="I1232" i="1"/>
  <c r="J1232" i="1"/>
  <c r="K1232" i="1"/>
  <c r="R1232" i="1"/>
  <c r="Q1232" i="1"/>
  <c r="Q805" i="1"/>
  <c r="I805" i="1"/>
  <c r="R805" i="1"/>
  <c r="K805" i="1"/>
  <c r="T805" i="1"/>
  <c r="J805" i="1"/>
  <c r="L805" i="1"/>
  <c r="M805" i="1"/>
  <c r="N805" i="1"/>
  <c r="S805" i="1"/>
  <c r="Q720" i="1"/>
  <c r="J720" i="1"/>
  <c r="S720" i="1"/>
  <c r="K720" i="1"/>
  <c r="T720" i="1"/>
  <c r="R720" i="1"/>
  <c r="I720" i="1"/>
  <c r="L720" i="1"/>
  <c r="M720" i="1"/>
  <c r="N720" i="1"/>
  <c r="L1165" i="1"/>
  <c r="T1165" i="1"/>
  <c r="M1165" i="1"/>
  <c r="N1165" i="1"/>
  <c r="I1165" i="1"/>
  <c r="Q1165" i="1"/>
  <c r="J1165" i="1"/>
  <c r="R1165" i="1"/>
  <c r="S1165" i="1"/>
  <c r="K1165" i="1"/>
  <c r="L1004" i="1"/>
  <c r="M1004" i="1"/>
  <c r="N1004" i="1"/>
  <c r="Q1004" i="1"/>
  <c r="I1004" i="1"/>
  <c r="J1004" i="1"/>
  <c r="K1004" i="1"/>
  <c r="R1004" i="1"/>
  <c r="T1004" i="1"/>
  <c r="S1004" i="1"/>
  <c r="K953" i="1"/>
  <c r="S953" i="1"/>
  <c r="L953" i="1"/>
  <c r="T953" i="1"/>
  <c r="M953" i="1"/>
  <c r="N953" i="1"/>
  <c r="R953" i="1"/>
  <c r="I953" i="1"/>
  <c r="J953" i="1"/>
  <c r="Q953" i="1"/>
  <c r="M875" i="1"/>
  <c r="N875" i="1"/>
  <c r="Q875" i="1"/>
  <c r="K875" i="1"/>
  <c r="L875" i="1"/>
  <c r="R875" i="1"/>
  <c r="S875" i="1"/>
  <c r="T875" i="1"/>
  <c r="I875" i="1"/>
  <c r="J875" i="1"/>
  <c r="Q1172" i="1"/>
  <c r="I1172" i="1"/>
  <c r="R1172" i="1"/>
  <c r="J1172" i="1"/>
  <c r="S1172" i="1"/>
  <c r="K1172" i="1"/>
  <c r="T1172" i="1"/>
  <c r="M1172" i="1"/>
  <c r="N1172" i="1"/>
  <c r="L1172" i="1"/>
  <c r="Q850" i="1"/>
  <c r="I850" i="1"/>
  <c r="R850" i="1"/>
  <c r="K850" i="1"/>
  <c r="T850" i="1"/>
  <c r="L850" i="1"/>
  <c r="J850" i="1"/>
  <c r="M850" i="1"/>
  <c r="N850" i="1"/>
  <c r="S850" i="1"/>
  <c r="M843" i="1"/>
  <c r="N843" i="1"/>
  <c r="Q843" i="1"/>
  <c r="K843" i="1"/>
  <c r="T843" i="1"/>
  <c r="I843" i="1"/>
  <c r="S843" i="1"/>
  <c r="J843" i="1"/>
  <c r="L843" i="1"/>
  <c r="R843" i="1"/>
  <c r="Q1070" i="1"/>
  <c r="I1070" i="1"/>
  <c r="R1070" i="1"/>
  <c r="J1070" i="1"/>
  <c r="S1070" i="1"/>
  <c r="K1070" i="1"/>
  <c r="T1070" i="1"/>
  <c r="M1070" i="1"/>
  <c r="L1070" i="1"/>
  <c r="N1070" i="1"/>
  <c r="Q809" i="1"/>
  <c r="I809" i="1"/>
  <c r="R809" i="1"/>
  <c r="J809" i="1"/>
  <c r="S809" i="1"/>
  <c r="K809" i="1"/>
  <c r="T809" i="1"/>
  <c r="N809" i="1"/>
  <c r="L809" i="1"/>
  <c r="M809" i="1"/>
  <c r="M808" i="1"/>
  <c r="N808" i="1"/>
  <c r="Q808" i="1"/>
  <c r="J808" i="1"/>
  <c r="S808" i="1"/>
  <c r="I808" i="1"/>
  <c r="K808" i="1"/>
  <c r="L808" i="1"/>
  <c r="R808" i="1"/>
  <c r="T808" i="1"/>
  <c r="Q863" i="1"/>
  <c r="I863" i="1"/>
  <c r="R863" i="1"/>
  <c r="J863" i="1"/>
  <c r="S863" i="1"/>
  <c r="K863" i="1"/>
  <c r="L863" i="1"/>
  <c r="M863" i="1"/>
  <c r="T863" i="1"/>
  <c r="N863" i="1"/>
  <c r="L838" i="1"/>
  <c r="N838" i="1"/>
  <c r="Q838" i="1"/>
  <c r="J838" i="1"/>
  <c r="K838" i="1"/>
  <c r="M838" i="1"/>
  <c r="T838" i="1"/>
  <c r="I838" i="1"/>
  <c r="R838" i="1"/>
  <c r="S838" i="1"/>
  <c r="K827" i="1"/>
  <c r="T827" i="1"/>
  <c r="L827" i="1"/>
  <c r="M827" i="1"/>
  <c r="N827" i="1"/>
  <c r="I827" i="1"/>
  <c r="R827" i="1"/>
  <c r="J827" i="1"/>
  <c r="Q827" i="1"/>
  <c r="S827" i="1"/>
  <c r="I1176" i="1"/>
  <c r="R1176" i="1"/>
  <c r="J1176" i="1"/>
  <c r="S1176" i="1"/>
  <c r="K1176" i="1"/>
  <c r="T1176" i="1"/>
  <c r="L1176" i="1"/>
  <c r="N1176" i="1"/>
  <c r="M1176" i="1"/>
  <c r="Q1176" i="1"/>
  <c r="M1234" i="1"/>
  <c r="N1234" i="1"/>
  <c r="J1234" i="1"/>
  <c r="R1234" i="1"/>
  <c r="I1234" i="1"/>
  <c r="K1234" i="1"/>
  <c r="L1234" i="1"/>
  <c r="Q1234" i="1"/>
  <c r="S1234" i="1"/>
  <c r="T1234" i="1"/>
  <c r="U749" i="1"/>
  <c r="U745" i="1"/>
  <c r="O746" i="1"/>
  <c r="L709" i="1"/>
  <c r="M709" i="1"/>
  <c r="N709" i="1"/>
  <c r="I709" i="1"/>
  <c r="R709" i="1"/>
  <c r="J709" i="1"/>
  <c r="S709" i="1"/>
  <c r="K709" i="1"/>
  <c r="Q709" i="1"/>
  <c r="T709" i="1"/>
  <c r="J1106" i="1"/>
  <c r="S1106" i="1"/>
  <c r="K1106" i="1"/>
  <c r="T1106" i="1"/>
  <c r="L1106" i="1"/>
  <c r="M1106" i="1"/>
  <c r="N1106" i="1"/>
  <c r="Q1106" i="1"/>
  <c r="I1106" i="1"/>
  <c r="R1106" i="1"/>
  <c r="M1068" i="1"/>
  <c r="N1068" i="1"/>
  <c r="Q1068" i="1"/>
  <c r="I1068" i="1"/>
  <c r="R1068" i="1"/>
  <c r="K1068" i="1"/>
  <c r="T1068" i="1"/>
  <c r="L1068" i="1"/>
  <c r="S1068" i="1"/>
  <c r="J1068" i="1"/>
  <c r="J1108" i="1"/>
  <c r="S1108" i="1"/>
  <c r="K1108" i="1"/>
  <c r="T1108" i="1"/>
  <c r="L1108" i="1"/>
  <c r="M1108" i="1"/>
  <c r="N1108" i="1"/>
  <c r="Q1108" i="1"/>
  <c r="I1108" i="1"/>
  <c r="R1108" i="1"/>
  <c r="N741" i="1"/>
  <c r="I741" i="1"/>
  <c r="Q741" i="1"/>
  <c r="J741" i="1"/>
  <c r="R741" i="1"/>
  <c r="K741" i="1"/>
  <c r="S741" i="1"/>
  <c r="L741" i="1"/>
  <c r="M741" i="1"/>
  <c r="T741" i="1"/>
  <c r="N1033" i="1"/>
  <c r="Q1033" i="1"/>
  <c r="I1033" i="1"/>
  <c r="R1033" i="1"/>
  <c r="J1033" i="1"/>
  <c r="S1033" i="1"/>
  <c r="K1033" i="1"/>
  <c r="L1033" i="1"/>
  <c r="M1033" i="1"/>
  <c r="T1033" i="1"/>
  <c r="I832" i="1"/>
  <c r="Q832" i="1"/>
  <c r="J832" i="1"/>
  <c r="R832" i="1"/>
  <c r="K832" i="1"/>
  <c r="S832" i="1"/>
  <c r="M832" i="1"/>
  <c r="L832" i="1"/>
  <c r="N832" i="1"/>
  <c r="T832" i="1"/>
  <c r="N862" i="1"/>
  <c r="Q862" i="1"/>
  <c r="I862" i="1"/>
  <c r="R862" i="1"/>
  <c r="J862" i="1"/>
  <c r="K862" i="1"/>
  <c r="L862" i="1"/>
  <c r="M862" i="1"/>
  <c r="S862" i="1"/>
  <c r="T862" i="1"/>
  <c r="K955" i="1"/>
  <c r="T955" i="1"/>
  <c r="L955" i="1"/>
  <c r="M955" i="1"/>
  <c r="N955" i="1"/>
  <c r="I955" i="1"/>
  <c r="J955" i="1"/>
  <c r="Q955" i="1"/>
  <c r="R955" i="1"/>
  <c r="S955" i="1"/>
  <c r="J1163" i="1"/>
  <c r="S1163" i="1"/>
  <c r="K1163" i="1"/>
  <c r="T1163" i="1"/>
  <c r="L1163" i="1"/>
  <c r="M1163" i="1"/>
  <c r="Q1163" i="1"/>
  <c r="N1163" i="1"/>
  <c r="R1163" i="1"/>
  <c r="I1163" i="1"/>
  <c r="Q1137" i="1"/>
  <c r="I1137" i="1"/>
  <c r="R1137" i="1"/>
  <c r="J1137" i="1"/>
  <c r="S1137" i="1"/>
  <c r="K1137" i="1"/>
  <c r="T1137" i="1"/>
  <c r="L1137" i="1"/>
  <c r="N1137" i="1"/>
  <c r="M1137" i="1"/>
  <c r="L1127" i="1"/>
  <c r="M1127" i="1"/>
  <c r="N1127" i="1"/>
  <c r="Q1127" i="1"/>
  <c r="J1127" i="1"/>
  <c r="S1127" i="1"/>
  <c r="K1127" i="1"/>
  <c r="R1127" i="1"/>
  <c r="T1127" i="1"/>
  <c r="I1127" i="1"/>
  <c r="M1169" i="1"/>
  <c r="N1169" i="1"/>
  <c r="Q1169" i="1"/>
  <c r="J1169" i="1"/>
  <c r="S1169" i="1"/>
  <c r="K1169" i="1"/>
  <c r="T1169" i="1"/>
  <c r="I1169" i="1"/>
  <c r="R1169" i="1"/>
  <c r="L1169" i="1"/>
  <c r="Q1092" i="1"/>
  <c r="I1092" i="1"/>
  <c r="R1092" i="1"/>
  <c r="J1092" i="1"/>
  <c r="S1092" i="1"/>
  <c r="K1092" i="1"/>
  <c r="T1092" i="1"/>
  <c r="M1092" i="1"/>
  <c r="L1092" i="1"/>
  <c r="N1092" i="1"/>
  <c r="L1243" i="1"/>
  <c r="M1243" i="1"/>
  <c r="N1243" i="1"/>
  <c r="Q1243" i="1"/>
  <c r="R1243" i="1"/>
  <c r="S1243" i="1"/>
  <c r="T1243" i="1"/>
  <c r="I1243" i="1"/>
  <c r="J1243" i="1"/>
  <c r="K1243" i="1"/>
  <c r="M874" i="1"/>
  <c r="N874" i="1"/>
  <c r="Q874" i="1"/>
  <c r="K874" i="1"/>
  <c r="L874" i="1"/>
  <c r="R874" i="1"/>
  <c r="S874" i="1"/>
  <c r="T874" i="1"/>
  <c r="I874" i="1"/>
  <c r="J874" i="1"/>
  <c r="K1016" i="1"/>
  <c r="S1016" i="1"/>
  <c r="L1016" i="1"/>
  <c r="T1016" i="1"/>
  <c r="M1016" i="1"/>
  <c r="N1016" i="1"/>
  <c r="I1016" i="1"/>
  <c r="J1016" i="1"/>
  <c r="Q1016" i="1"/>
  <c r="R1016" i="1"/>
  <c r="I965" i="1"/>
  <c r="R965" i="1"/>
  <c r="J965" i="1"/>
  <c r="S965" i="1"/>
  <c r="K965" i="1"/>
  <c r="T965" i="1"/>
  <c r="L965" i="1"/>
  <c r="M965" i="1"/>
  <c r="N965" i="1"/>
  <c r="Q965" i="1"/>
  <c r="Q1160" i="1"/>
  <c r="I1160" i="1"/>
  <c r="R1160" i="1"/>
  <c r="J1160" i="1"/>
  <c r="S1160" i="1"/>
  <c r="L1160" i="1"/>
  <c r="M1160" i="1"/>
  <c r="K1160" i="1"/>
  <c r="N1160" i="1"/>
  <c r="T1160" i="1"/>
  <c r="M970" i="1"/>
  <c r="N970" i="1"/>
  <c r="Q970" i="1"/>
  <c r="I970" i="1"/>
  <c r="R970" i="1"/>
  <c r="L970" i="1"/>
  <c r="S970" i="1"/>
  <c r="T970" i="1"/>
  <c r="J970" i="1"/>
  <c r="K970" i="1"/>
  <c r="I779" i="1"/>
  <c r="R779" i="1"/>
  <c r="J779" i="1"/>
  <c r="S779" i="1"/>
  <c r="K779" i="1"/>
  <c r="T779" i="1"/>
  <c r="M779" i="1"/>
  <c r="L779" i="1"/>
  <c r="N779" i="1"/>
  <c r="Q779" i="1"/>
  <c r="I718" i="1"/>
  <c r="R718" i="1"/>
  <c r="J718" i="1"/>
  <c r="S718" i="1"/>
  <c r="K718" i="1"/>
  <c r="T718" i="1"/>
  <c r="L718" i="1"/>
  <c r="M718" i="1"/>
  <c r="N718" i="1"/>
  <c r="Q718" i="1"/>
  <c r="M1083" i="1"/>
  <c r="N1083" i="1"/>
  <c r="Q1083" i="1"/>
  <c r="I1083" i="1"/>
  <c r="R1083" i="1"/>
  <c r="K1083" i="1"/>
  <c r="T1083" i="1"/>
  <c r="L1083" i="1"/>
  <c r="S1083" i="1"/>
  <c r="J1083" i="1"/>
  <c r="N973" i="1"/>
  <c r="Q973" i="1"/>
  <c r="I973" i="1"/>
  <c r="R973" i="1"/>
  <c r="J973" i="1"/>
  <c r="S973" i="1"/>
  <c r="K973" i="1"/>
  <c r="M973" i="1"/>
  <c r="L973" i="1"/>
  <c r="T973" i="1"/>
  <c r="I1162" i="1"/>
  <c r="R1162" i="1"/>
  <c r="J1162" i="1"/>
  <c r="S1162" i="1"/>
  <c r="K1162" i="1"/>
  <c r="T1162" i="1"/>
  <c r="L1162" i="1"/>
  <c r="N1162" i="1"/>
  <c r="M1162" i="1"/>
  <c r="Q1162" i="1"/>
  <c r="I834" i="1"/>
  <c r="R834" i="1"/>
  <c r="J834" i="1"/>
  <c r="S834" i="1"/>
  <c r="K834" i="1"/>
  <c r="T834" i="1"/>
  <c r="M834" i="1"/>
  <c r="L834" i="1"/>
  <c r="N834" i="1"/>
  <c r="Q834" i="1"/>
  <c r="L1020" i="1"/>
  <c r="M1020" i="1"/>
  <c r="N1020" i="1"/>
  <c r="Q1020" i="1"/>
  <c r="I1020" i="1"/>
  <c r="J1020" i="1"/>
  <c r="K1020" i="1"/>
  <c r="S1020" i="1"/>
  <c r="T1020" i="1"/>
  <c r="R1020" i="1"/>
  <c r="I1201" i="1"/>
  <c r="R1201" i="1"/>
  <c r="J1201" i="1"/>
  <c r="S1201" i="1"/>
  <c r="K1201" i="1"/>
  <c r="T1201" i="1"/>
  <c r="L1201" i="1"/>
  <c r="M1201" i="1"/>
  <c r="Q1201" i="1"/>
  <c r="N1201" i="1"/>
  <c r="Q885" i="1"/>
  <c r="I885" i="1"/>
  <c r="R885" i="1"/>
  <c r="K885" i="1"/>
  <c r="T885" i="1"/>
  <c r="S885" i="1"/>
  <c r="J885" i="1"/>
  <c r="L885" i="1"/>
  <c r="M885" i="1"/>
  <c r="N885" i="1"/>
  <c r="K840" i="1"/>
  <c r="T840" i="1"/>
  <c r="L840" i="1"/>
  <c r="M840" i="1"/>
  <c r="N840" i="1"/>
  <c r="Q840" i="1"/>
  <c r="R840" i="1"/>
  <c r="S840" i="1"/>
  <c r="I840" i="1"/>
  <c r="J840" i="1"/>
  <c r="K852" i="1"/>
  <c r="T852" i="1"/>
  <c r="L852" i="1"/>
  <c r="M852" i="1"/>
  <c r="N852" i="1"/>
  <c r="Q852" i="1"/>
  <c r="R852" i="1"/>
  <c r="S852" i="1"/>
  <c r="I852" i="1"/>
  <c r="J852" i="1"/>
  <c r="Q1087" i="1"/>
  <c r="I1087" i="1"/>
  <c r="R1087" i="1"/>
  <c r="J1087" i="1"/>
  <c r="S1087" i="1"/>
  <c r="K1087" i="1"/>
  <c r="T1087" i="1"/>
  <c r="M1087" i="1"/>
  <c r="N1087" i="1"/>
  <c r="L1087" i="1"/>
  <c r="I1000" i="1"/>
  <c r="R1000" i="1"/>
  <c r="J1000" i="1"/>
  <c r="S1000" i="1"/>
  <c r="K1000" i="1"/>
  <c r="T1000" i="1"/>
  <c r="L1000" i="1"/>
  <c r="M1000" i="1"/>
  <c r="N1000" i="1"/>
  <c r="Q1000" i="1"/>
  <c r="K733" i="1"/>
  <c r="T733" i="1"/>
  <c r="L733" i="1"/>
  <c r="N733" i="1"/>
  <c r="M733" i="1"/>
  <c r="Q733" i="1"/>
  <c r="R733" i="1"/>
  <c r="I733" i="1"/>
  <c r="J733" i="1"/>
  <c r="S733" i="1"/>
  <c r="Q1075" i="1"/>
  <c r="I1075" i="1"/>
  <c r="R1075" i="1"/>
  <c r="J1075" i="1"/>
  <c r="S1075" i="1"/>
  <c r="K1075" i="1"/>
  <c r="T1075" i="1"/>
  <c r="L1075" i="1"/>
  <c r="N1075" i="1"/>
  <c r="M1075" i="1"/>
  <c r="L990" i="1"/>
  <c r="T990" i="1"/>
  <c r="M990" i="1"/>
  <c r="N990" i="1"/>
  <c r="I990" i="1"/>
  <c r="J990" i="1"/>
  <c r="K990" i="1"/>
  <c r="Q990" i="1"/>
  <c r="R990" i="1"/>
  <c r="S990" i="1"/>
  <c r="J806" i="1"/>
  <c r="S806" i="1"/>
  <c r="K806" i="1"/>
  <c r="T806" i="1"/>
  <c r="L806" i="1"/>
  <c r="M806" i="1"/>
  <c r="N806" i="1"/>
  <c r="I806" i="1"/>
  <c r="Q806" i="1"/>
  <c r="R806" i="1"/>
  <c r="J760" i="1"/>
  <c r="S760" i="1"/>
  <c r="K760" i="1"/>
  <c r="T760" i="1"/>
  <c r="L760" i="1"/>
  <c r="N760" i="1"/>
  <c r="I760" i="1"/>
  <c r="M760" i="1"/>
  <c r="Q760" i="1"/>
  <c r="R760" i="1"/>
  <c r="Q1147" i="1"/>
  <c r="I1147" i="1"/>
  <c r="R1147" i="1"/>
  <c r="J1147" i="1"/>
  <c r="S1147" i="1"/>
  <c r="L1147" i="1"/>
  <c r="M1147" i="1"/>
  <c r="K1147" i="1"/>
  <c r="T1147" i="1"/>
  <c r="N1147" i="1"/>
  <c r="K1074" i="1"/>
  <c r="T1074" i="1"/>
  <c r="L1074" i="1"/>
  <c r="M1074" i="1"/>
  <c r="N1074" i="1"/>
  <c r="I1074" i="1"/>
  <c r="R1074" i="1"/>
  <c r="J1074" i="1"/>
  <c r="Q1074" i="1"/>
  <c r="S1074" i="1"/>
  <c r="K989" i="1"/>
  <c r="T989" i="1"/>
  <c r="L989" i="1"/>
  <c r="M989" i="1"/>
  <c r="N989" i="1"/>
  <c r="I989" i="1"/>
  <c r="J989" i="1"/>
  <c r="R989" i="1"/>
  <c r="Q989" i="1"/>
  <c r="S989" i="1"/>
  <c r="I1204" i="1"/>
  <c r="R1204" i="1"/>
  <c r="J1204" i="1"/>
  <c r="S1204" i="1"/>
  <c r="L1204" i="1"/>
  <c r="M1204" i="1"/>
  <c r="K1204" i="1"/>
  <c r="N1204" i="1"/>
  <c r="T1204" i="1"/>
  <c r="Q1204" i="1"/>
  <c r="L762" i="1"/>
  <c r="M762" i="1"/>
  <c r="N762" i="1"/>
  <c r="Q762" i="1"/>
  <c r="I762" i="1"/>
  <c r="J762" i="1"/>
  <c r="K762" i="1"/>
  <c r="R762" i="1"/>
  <c r="S762" i="1"/>
  <c r="T762" i="1"/>
  <c r="J1198" i="1"/>
  <c r="S1198" i="1"/>
  <c r="K1198" i="1"/>
  <c r="T1198" i="1"/>
  <c r="L1198" i="1"/>
  <c r="M1198" i="1"/>
  <c r="N1198" i="1"/>
  <c r="Q1198" i="1"/>
  <c r="I1198" i="1"/>
  <c r="R1198" i="1"/>
  <c r="I1157" i="1"/>
  <c r="Q1157" i="1"/>
  <c r="J1157" i="1"/>
  <c r="R1157" i="1"/>
  <c r="L1157" i="1"/>
  <c r="T1157" i="1"/>
  <c r="M1157" i="1"/>
  <c r="S1157" i="1"/>
  <c r="K1157" i="1"/>
  <c r="N1157" i="1"/>
  <c r="L1110" i="1"/>
  <c r="M1110" i="1"/>
  <c r="N1110" i="1"/>
  <c r="I1110" i="1"/>
  <c r="R1110" i="1"/>
  <c r="Q1110" i="1"/>
  <c r="S1110" i="1"/>
  <c r="T1110" i="1"/>
  <c r="J1110" i="1"/>
  <c r="K1110" i="1"/>
  <c r="L847" i="1"/>
  <c r="M847" i="1"/>
  <c r="N847" i="1"/>
  <c r="S847" i="1"/>
  <c r="T847" i="1"/>
  <c r="I847" i="1"/>
  <c r="J847" i="1"/>
  <c r="K847" i="1"/>
  <c r="Q847" i="1"/>
  <c r="R847" i="1"/>
  <c r="J1150" i="1"/>
  <c r="S1150" i="1"/>
  <c r="K1150" i="1"/>
  <c r="T1150" i="1"/>
  <c r="L1150" i="1"/>
  <c r="M1150" i="1"/>
  <c r="Q1150" i="1"/>
  <c r="I1150" i="1"/>
  <c r="N1150" i="1"/>
  <c r="R1150" i="1"/>
  <c r="N1125" i="1"/>
  <c r="Q1125" i="1"/>
  <c r="I1125" i="1"/>
  <c r="R1125" i="1"/>
  <c r="J1125" i="1"/>
  <c r="S1125" i="1"/>
  <c r="L1125" i="1"/>
  <c r="K1125" i="1"/>
  <c r="M1125" i="1"/>
  <c r="T1125" i="1"/>
  <c r="Q1042" i="1"/>
  <c r="I1042" i="1"/>
  <c r="R1042" i="1"/>
  <c r="J1042" i="1"/>
  <c r="S1042" i="1"/>
  <c r="K1042" i="1"/>
  <c r="T1042" i="1"/>
  <c r="M1042" i="1"/>
  <c r="N1042" i="1"/>
  <c r="L1042" i="1"/>
  <c r="K1003" i="1"/>
  <c r="T1003" i="1"/>
  <c r="L1003" i="1"/>
  <c r="M1003" i="1"/>
  <c r="N1003" i="1"/>
  <c r="S1003" i="1"/>
  <c r="I1003" i="1"/>
  <c r="Q1003" i="1"/>
  <c r="J1003" i="1"/>
  <c r="R1003" i="1"/>
  <c r="L968" i="1"/>
  <c r="M968" i="1"/>
  <c r="N968" i="1"/>
  <c r="Q968" i="1"/>
  <c r="S968" i="1"/>
  <c r="T968" i="1"/>
  <c r="I968" i="1"/>
  <c r="K968" i="1"/>
  <c r="J968" i="1"/>
  <c r="R968" i="1"/>
  <c r="L898" i="1"/>
  <c r="M898" i="1"/>
  <c r="N898" i="1"/>
  <c r="J898" i="1"/>
  <c r="K898" i="1"/>
  <c r="Q898" i="1"/>
  <c r="R898" i="1"/>
  <c r="S898" i="1"/>
  <c r="T898" i="1"/>
  <c r="I898" i="1"/>
  <c r="J1192" i="1"/>
  <c r="S1192" i="1"/>
  <c r="L1192" i="1"/>
  <c r="M1192" i="1"/>
  <c r="Q1192" i="1"/>
  <c r="R1192" i="1"/>
  <c r="T1192" i="1"/>
  <c r="I1192" i="1"/>
  <c r="N1192" i="1"/>
  <c r="K1192" i="1"/>
  <c r="M1030" i="1"/>
  <c r="Q1030" i="1"/>
  <c r="I1030" i="1"/>
  <c r="R1030" i="1"/>
  <c r="J1030" i="1"/>
  <c r="K1030" i="1"/>
  <c r="L1030" i="1"/>
  <c r="S1030" i="1"/>
  <c r="N1030" i="1"/>
  <c r="T1030" i="1"/>
  <c r="Q985" i="1"/>
  <c r="I985" i="1"/>
  <c r="R985" i="1"/>
  <c r="J985" i="1"/>
  <c r="S985" i="1"/>
  <c r="K985" i="1"/>
  <c r="T985" i="1"/>
  <c r="M985" i="1"/>
  <c r="N985" i="1"/>
  <c r="L985" i="1"/>
  <c r="M935" i="1"/>
  <c r="N935" i="1"/>
  <c r="Q935" i="1"/>
  <c r="R935" i="1"/>
  <c r="S935" i="1"/>
  <c r="I935" i="1"/>
  <c r="T935" i="1"/>
  <c r="J935" i="1"/>
  <c r="L935" i="1"/>
  <c r="K935" i="1"/>
  <c r="Q865" i="1"/>
  <c r="I865" i="1"/>
  <c r="R865" i="1"/>
  <c r="J865" i="1"/>
  <c r="S865" i="1"/>
  <c r="K865" i="1"/>
  <c r="T865" i="1"/>
  <c r="L865" i="1"/>
  <c r="M865" i="1"/>
  <c r="N865" i="1"/>
  <c r="Q756" i="1"/>
  <c r="I756" i="1"/>
  <c r="R756" i="1"/>
  <c r="K756" i="1"/>
  <c r="T756" i="1"/>
  <c r="S756" i="1"/>
  <c r="J756" i="1"/>
  <c r="L756" i="1"/>
  <c r="M756" i="1"/>
  <c r="N756" i="1"/>
  <c r="K701" i="1"/>
  <c r="T701" i="1"/>
  <c r="L701" i="1"/>
  <c r="N701" i="1"/>
  <c r="I701" i="1"/>
  <c r="M701" i="1"/>
  <c r="R701" i="1"/>
  <c r="S701" i="1"/>
  <c r="J701" i="1"/>
  <c r="Q701" i="1"/>
  <c r="Q1227" i="1"/>
  <c r="I1227" i="1"/>
  <c r="R1227" i="1"/>
  <c r="J1227" i="1"/>
  <c r="S1227" i="1"/>
  <c r="K1227" i="1"/>
  <c r="T1227" i="1"/>
  <c r="M1227" i="1"/>
  <c r="L1227" i="1"/>
  <c r="N1227" i="1"/>
  <c r="I894" i="1"/>
  <c r="R894" i="1"/>
  <c r="J894" i="1"/>
  <c r="S894" i="1"/>
  <c r="K894" i="1"/>
  <c r="T894" i="1"/>
  <c r="L894" i="1"/>
  <c r="M894" i="1"/>
  <c r="N894" i="1"/>
  <c r="Q894" i="1"/>
  <c r="M1119" i="1"/>
  <c r="N1119" i="1"/>
  <c r="Q1119" i="1"/>
  <c r="I1119" i="1"/>
  <c r="R1119" i="1"/>
  <c r="K1119" i="1"/>
  <c r="T1119" i="1"/>
  <c r="J1119" i="1"/>
  <c r="L1119" i="1"/>
  <c r="S1119" i="1"/>
  <c r="Q768" i="1"/>
  <c r="I768" i="1"/>
  <c r="R768" i="1"/>
  <c r="J768" i="1"/>
  <c r="S768" i="1"/>
  <c r="L768" i="1"/>
  <c r="K768" i="1"/>
  <c r="M768" i="1"/>
  <c r="N768" i="1"/>
  <c r="T768" i="1"/>
  <c r="N1007" i="1"/>
  <c r="I1007" i="1"/>
  <c r="Q1007" i="1"/>
  <c r="J1007" i="1"/>
  <c r="R1007" i="1"/>
  <c r="S1007" i="1"/>
  <c r="T1007" i="1"/>
  <c r="L1007" i="1"/>
  <c r="K1007" i="1"/>
  <c r="M1007" i="1"/>
  <c r="Q938" i="1"/>
  <c r="K938" i="1"/>
  <c r="L938" i="1"/>
  <c r="M938" i="1"/>
  <c r="N938" i="1"/>
  <c r="R938" i="1"/>
  <c r="I938" i="1"/>
  <c r="J938" i="1"/>
  <c r="S938" i="1"/>
  <c r="T938" i="1"/>
  <c r="M901" i="1"/>
  <c r="N901" i="1"/>
  <c r="Q901" i="1"/>
  <c r="K901" i="1"/>
  <c r="L901" i="1"/>
  <c r="R901" i="1"/>
  <c r="S901" i="1"/>
  <c r="T901" i="1"/>
  <c r="J901" i="1"/>
  <c r="I901" i="1"/>
  <c r="L801" i="1"/>
  <c r="M801" i="1"/>
  <c r="N801" i="1"/>
  <c r="Q801" i="1"/>
  <c r="I801" i="1"/>
  <c r="J801" i="1"/>
  <c r="K801" i="1"/>
  <c r="S801" i="1"/>
  <c r="T801" i="1"/>
  <c r="R801" i="1"/>
  <c r="M892" i="1"/>
  <c r="N892" i="1"/>
  <c r="Q892" i="1"/>
  <c r="I892" i="1"/>
  <c r="R892" i="1"/>
  <c r="K892" i="1"/>
  <c r="L892" i="1"/>
  <c r="T892" i="1"/>
  <c r="J892" i="1"/>
  <c r="S892" i="1"/>
  <c r="L1028" i="1"/>
  <c r="N1028" i="1"/>
  <c r="Q1028" i="1"/>
  <c r="T1028" i="1"/>
  <c r="I1028" i="1"/>
  <c r="J1028" i="1"/>
  <c r="K1028" i="1"/>
  <c r="R1028" i="1"/>
  <c r="S1028" i="1"/>
  <c r="M1028" i="1"/>
  <c r="Q940" i="1"/>
  <c r="K940" i="1"/>
  <c r="L940" i="1"/>
  <c r="M940" i="1"/>
  <c r="N940" i="1"/>
  <c r="R940" i="1"/>
  <c r="I940" i="1"/>
  <c r="J940" i="1"/>
  <c r="S940" i="1"/>
  <c r="T940" i="1"/>
  <c r="M876" i="1"/>
  <c r="N876" i="1"/>
  <c r="Q876" i="1"/>
  <c r="K876" i="1"/>
  <c r="L876" i="1"/>
  <c r="R876" i="1"/>
  <c r="S876" i="1"/>
  <c r="T876" i="1"/>
  <c r="J876" i="1"/>
  <c r="I876" i="1"/>
  <c r="L792" i="1"/>
  <c r="M792" i="1"/>
  <c r="N792" i="1"/>
  <c r="Q792" i="1"/>
  <c r="R792" i="1"/>
  <c r="S792" i="1"/>
  <c r="T792" i="1"/>
  <c r="I792" i="1"/>
  <c r="J792" i="1"/>
  <c r="K792" i="1"/>
  <c r="K1220" i="1"/>
  <c r="T1220" i="1"/>
  <c r="L1220" i="1"/>
  <c r="M1220" i="1"/>
  <c r="N1220" i="1"/>
  <c r="Q1220" i="1"/>
  <c r="I1220" i="1"/>
  <c r="J1220" i="1"/>
  <c r="R1220" i="1"/>
  <c r="S1220" i="1"/>
  <c r="I1046" i="1"/>
  <c r="R1046" i="1"/>
  <c r="J1046" i="1"/>
  <c r="S1046" i="1"/>
  <c r="K1046" i="1"/>
  <c r="T1046" i="1"/>
  <c r="L1046" i="1"/>
  <c r="M1046" i="1"/>
  <c r="Q1046" i="1"/>
  <c r="N1046" i="1"/>
  <c r="I999" i="1"/>
  <c r="R999" i="1"/>
  <c r="J999" i="1"/>
  <c r="S999" i="1"/>
  <c r="K999" i="1"/>
  <c r="T999" i="1"/>
  <c r="L999" i="1"/>
  <c r="M999" i="1"/>
  <c r="Q999" i="1"/>
  <c r="N999" i="1"/>
  <c r="Q939" i="1"/>
  <c r="R939" i="1"/>
  <c r="S939" i="1"/>
  <c r="I939" i="1"/>
  <c r="T939" i="1"/>
  <c r="J939" i="1"/>
  <c r="K939" i="1"/>
  <c r="N939" i="1"/>
  <c r="L939" i="1"/>
  <c r="M939" i="1"/>
  <c r="I864" i="1"/>
  <c r="Q864" i="1"/>
  <c r="J864" i="1"/>
  <c r="R864" i="1"/>
  <c r="K864" i="1"/>
  <c r="S864" i="1"/>
  <c r="L864" i="1"/>
  <c r="M864" i="1"/>
  <c r="N864" i="1"/>
  <c r="T864" i="1"/>
  <c r="K713" i="1"/>
  <c r="T713" i="1"/>
  <c r="L713" i="1"/>
  <c r="N713" i="1"/>
  <c r="M713" i="1"/>
  <c r="Q713" i="1"/>
  <c r="R713" i="1"/>
  <c r="I713" i="1"/>
  <c r="J713" i="1"/>
  <c r="S713" i="1"/>
  <c r="K830" i="1"/>
  <c r="T830" i="1"/>
  <c r="L830" i="1"/>
  <c r="M830" i="1"/>
  <c r="N830" i="1"/>
  <c r="I830" i="1"/>
  <c r="R830" i="1"/>
  <c r="Q830" i="1"/>
  <c r="S830" i="1"/>
  <c r="J830" i="1"/>
  <c r="K772" i="1"/>
  <c r="T772" i="1"/>
  <c r="L772" i="1"/>
  <c r="M772" i="1"/>
  <c r="N772" i="1"/>
  <c r="I772" i="1"/>
  <c r="J772" i="1"/>
  <c r="Q772" i="1"/>
  <c r="R772" i="1"/>
  <c r="S772" i="1"/>
  <c r="L1168" i="1"/>
  <c r="M1168" i="1"/>
  <c r="Q1168" i="1"/>
  <c r="I1168" i="1"/>
  <c r="J1168" i="1"/>
  <c r="K1168" i="1"/>
  <c r="N1168" i="1"/>
  <c r="T1168" i="1"/>
  <c r="R1168" i="1"/>
  <c r="S1168" i="1"/>
  <c r="Q891" i="1"/>
  <c r="J891" i="1"/>
  <c r="S891" i="1"/>
  <c r="K891" i="1"/>
  <c r="T891" i="1"/>
  <c r="I891" i="1"/>
  <c r="N891" i="1"/>
  <c r="L891" i="1"/>
  <c r="R891" i="1"/>
  <c r="M891" i="1"/>
  <c r="J1167" i="1"/>
  <c r="S1167" i="1"/>
  <c r="K1167" i="1"/>
  <c r="T1167" i="1"/>
  <c r="L1167" i="1"/>
  <c r="M1167" i="1"/>
  <c r="N1167" i="1"/>
  <c r="R1167" i="1"/>
  <c r="I1167" i="1"/>
  <c r="Q1167" i="1"/>
  <c r="I1166" i="1"/>
  <c r="R1166" i="1"/>
  <c r="J1166" i="1"/>
  <c r="S1166" i="1"/>
  <c r="K1166" i="1"/>
  <c r="T1166" i="1"/>
  <c r="L1166" i="1"/>
  <c r="M1166" i="1"/>
  <c r="N1166" i="1"/>
  <c r="Q1166" i="1"/>
  <c r="N936" i="1"/>
  <c r="J936" i="1"/>
  <c r="K936" i="1"/>
  <c r="L936" i="1"/>
  <c r="M936" i="1"/>
  <c r="Q936" i="1"/>
  <c r="I936" i="1"/>
  <c r="R936" i="1"/>
  <c r="S936" i="1"/>
  <c r="T936" i="1"/>
  <c r="Q826" i="1"/>
  <c r="I826" i="1"/>
  <c r="R826" i="1"/>
  <c r="J826" i="1"/>
  <c r="S826" i="1"/>
  <c r="L826" i="1"/>
  <c r="N826" i="1"/>
  <c r="T826" i="1"/>
  <c r="K826" i="1"/>
  <c r="M826" i="1"/>
  <c r="Q777" i="1"/>
  <c r="I777" i="1"/>
  <c r="R777" i="1"/>
  <c r="K777" i="1"/>
  <c r="T777" i="1"/>
  <c r="S777" i="1"/>
  <c r="J777" i="1"/>
  <c r="L777" i="1"/>
  <c r="M777" i="1"/>
  <c r="N777" i="1"/>
  <c r="L818" i="1"/>
  <c r="T818" i="1"/>
  <c r="M818" i="1"/>
  <c r="N818" i="1"/>
  <c r="J818" i="1"/>
  <c r="R818" i="1"/>
  <c r="K818" i="1"/>
  <c r="S818" i="1"/>
  <c r="I818" i="1"/>
  <c r="Q818" i="1"/>
  <c r="K791" i="1"/>
  <c r="T791" i="1"/>
  <c r="L791" i="1"/>
  <c r="M791" i="1"/>
  <c r="N791" i="1"/>
  <c r="Q791" i="1"/>
  <c r="R791" i="1"/>
  <c r="S791" i="1"/>
  <c r="I791" i="1"/>
  <c r="J791" i="1"/>
  <c r="Q1117" i="1"/>
  <c r="I1117" i="1"/>
  <c r="R1117" i="1"/>
  <c r="J1117" i="1"/>
  <c r="S1117" i="1"/>
  <c r="K1117" i="1"/>
  <c r="T1117" i="1"/>
  <c r="M1117" i="1"/>
  <c r="L1117" i="1"/>
  <c r="N1117" i="1"/>
  <c r="M861" i="1"/>
  <c r="N861" i="1"/>
  <c r="Q861" i="1"/>
  <c r="T861" i="1"/>
  <c r="I861" i="1"/>
  <c r="J861" i="1"/>
  <c r="K861" i="1"/>
  <c r="R861" i="1"/>
  <c r="S861" i="1"/>
  <c r="L861" i="1"/>
  <c r="L956" i="1"/>
  <c r="M956" i="1"/>
  <c r="N956" i="1"/>
  <c r="Q956" i="1"/>
  <c r="R956" i="1"/>
  <c r="S956" i="1"/>
  <c r="T956" i="1"/>
  <c r="J956" i="1"/>
  <c r="I956" i="1"/>
  <c r="K956" i="1"/>
  <c r="I708" i="1"/>
  <c r="Q708" i="1"/>
  <c r="K708" i="1"/>
  <c r="S708" i="1"/>
  <c r="L708" i="1"/>
  <c r="T708" i="1"/>
  <c r="J708" i="1"/>
  <c r="M708" i="1"/>
  <c r="N708" i="1"/>
  <c r="R708" i="1"/>
  <c r="Q896" i="1"/>
  <c r="I896" i="1"/>
  <c r="R896" i="1"/>
  <c r="J896" i="1"/>
  <c r="S896" i="1"/>
  <c r="L896" i="1"/>
  <c r="T896" i="1"/>
  <c r="N896" i="1"/>
  <c r="K896" i="1"/>
  <c r="M896" i="1"/>
  <c r="J1191" i="1"/>
  <c r="S1191" i="1"/>
  <c r="K1191" i="1"/>
  <c r="T1191" i="1"/>
  <c r="L1191" i="1"/>
  <c r="M1191" i="1"/>
  <c r="N1191" i="1"/>
  <c r="I1191" i="1"/>
  <c r="Q1191" i="1"/>
  <c r="R1191" i="1"/>
  <c r="M817" i="1"/>
  <c r="N817" i="1"/>
  <c r="Q817" i="1"/>
  <c r="I817" i="1"/>
  <c r="R817" i="1"/>
  <c r="J817" i="1"/>
  <c r="K817" i="1"/>
  <c r="L817" i="1"/>
  <c r="T817" i="1"/>
  <c r="S817" i="1"/>
  <c r="M1184" i="1"/>
  <c r="N1184" i="1"/>
  <c r="K1184" i="1"/>
  <c r="S1184" i="1"/>
  <c r="J1184" i="1"/>
  <c r="L1184" i="1"/>
  <c r="Q1184" i="1"/>
  <c r="I1184" i="1"/>
  <c r="R1184" i="1"/>
  <c r="T1184" i="1"/>
  <c r="N1132" i="1"/>
  <c r="Q1132" i="1"/>
  <c r="I1132" i="1"/>
  <c r="R1132" i="1"/>
  <c r="J1132" i="1"/>
  <c r="S1132" i="1"/>
  <c r="L1132" i="1"/>
  <c r="K1132" i="1"/>
  <c r="M1132" i="1"/>
  <c r="T1132" i="1"/>
  <c r="L800" i="1"/>
  <c r="T800" i="1"/>
  <c r="M800" i="1"/>
  <c r="N800" i="1"/>
  <c r="I800" i="1"/>
  <c r="J800" i="1"/>
  <c r="K800" i="1"/>
  <c r="Q800" i="1"/>
  <c r="R800" i="1"/>
  <c r="S800" i="1"/>
  <c r="K1066" i="1"/>
  <c r="T1066" i="1"/>
  <c r="L1066" i="1"/>
  <c r="M1066" i="1"/>
  <c r="N1066" i="1"/>
  <c r="I1066" i="1"/>
  <c r="R1066" i="1"/>
  <c r="J1066" i="1"/>
  <c r="Q1066" i="1"/>
  <c r="S1066" i="1"/>
  <c r="I1228" i="1"/>
  <c r="R1228" i="1"/>
  <c r="J1228" i="1"/>
  <c r="S1228" i="1"/>
  <c r="K1228" i="1"/>
  <c r="T1228" i="1"/>
  <c r="L1228" i="1"/>
  <c r="N1228" i="1"/>
  <c r="Q1228" i="1"/>
  <c r="M1228" i="1"/>
  <c r="Q886" i="1"/>
  <c r="I886" i="1"/>
  <c r="R886" i="1"/>
  <c r="K886" i="1"/>
  <c r="T886" i="1"/>
  <c r="S886" i="1"/>
  <c r="M886" i="1"/>
  <c r="N886" i="1"/>
  <c r="J886" i="1"/>
  <c r="L886" i="1"/>
  <c r="M820" i="1"/>
  <c r="N820" i="1"/>
  <c r="J820" i="1"/>
  <c r="R820" i="1"/>
  <c r="I820" i="1"/>
  <c r="K820" i="1"/>
  <c r="L820" i="1"/>
  <c r="Q820" i="1"/>
  <c r="S820" i="1"/>
  <c r="T820" i="1"/>
  <c r="Q1209" i="1"/>
  <c r="I1209" i="1"/>
  <c r="R1209" i="1"/>
  <c r="J1209" i="1"/>
  <c r="S1209" i="1"/>
  <c r="K1209" i="1"/>
  <c r="T1209" i="1"/>
  <c r="M1209" i="1"/>
  <c r="N1209" i="1"/>
  <c r="L1209" i="1"/>
  <c r="I1200" i="1"/>
  <c r="R1200" i="1"/>
  <c r="J1200" i="1"/>
  <c r="S1200" i="1"/>
  <c r="K1200" i="1"/>
  <c r="T1200" i="1"/>
  <c r="L1200" i="1"/>
  <c r="M1200" i="1"/>
  <c r="Q1200" i="1"/>
  <c r="N1200" i="1"/>
  <c r="N1211" i="1"/>
  <c r="I1211" i="1"/>
  <c r="Q1211" i="1"/>
  <c r="J1211" i="1"/>
  <c r="R1211" i="1"/>
  <c r="L1211" i="1"/>
  <c r="T1211" i="1"/>
  <c r="M1211" i="1"/>
  <c r="K1211" i="1"/>
  <c r="S1211" i="1"/>
  <c r="L1194" i="1"/>
  <c r="N1194" i="1"/>
  <c r="J1194" i="1"/>
  <c r="S1194" i="1"/>
  <c r="T1194" i="1"/>
  <c r="I1194" i="1"/>
  <c r="K1194" i="1"/>
  <c r="Q1194" i="1"/>
  <c r="R1194" i="1"/>
  <c r="M1194" i="1"/>
  <c r="I929" i="1"/>
  <c r="Q929" i="1"/>
  <c r="J929" i="1"/>
  <c r="R929" i="1"/>
  <c r="K929" i="1"/>
  <c r="S929" i="1"/>
  <c r="N929" i="1"/>
  <c r="T929" i="1"/>
  <c r="L929" i="1"/>
  <c r="M929" i="1"/>
  <c r="I835" i="1"/>
  <c r="R835" i="1"/>
  <c r="J835" i="1"/>
  <c r="S835" i="1"/>
  <c r="K835" i="1"/>
  <c r="T835" i="1"/>
  <c r="M835" i="1"/>
  <c r="L835" i="1"/>
  <c r="N835" i="1"/>
  <c r="Q835" i="1"/>
  <c r="Q1080" i="1"/>
  <c r="I1080" i="1"/>
  <c r="R1080" i="1"/>
  <c r="J1080" i="1"/>
  <c r="S1080" i="1"/>
  <c r="K1080" i="1"/>
  <c r="T1080" i="1"/>
  <c r="L1080" i="1"/>
  <c r="N1080" i="1"/>
  <c r="M1080" i="1"/>
  <c r="L972" i="1"/>
  <c r="M972" i="1"/>
  <c r="N972" i="1"/>
  <c r="Q972" i="1"/>
  <c r="I972" i="1"/>
  <c r="J972" i="1"/>
  <c r="K972" i="1"/>
  <c r="S972" i="1"/>
  <c r="T972" i="1"/>
  <c r="R972" i="1"/>
  <c r="I788" i="1"/>
  <c r="R788" i="1"/>
  <c r="J788" i="1"/>
  <c r="S788" i="1"/>
  <c r="K788" i="1"/>
  <c r="T788" i="1"/>
  <c r="M788" i="1"/>
  <c r="L788" i="1"/>
  <c r="N788" i="1"/>
  <c r="Q788" i="1"/>
  <c r="Q1071" i="1"/>
  <c r="I1071" i="1"/>
  <c r="R1071" i="1"/>
  <c r="J1071" i="1"/>
  <c r="S1071" i="1"/>
  <c r="K1071" i="1"/>
  <c r="T1071" i="1"/>
  <c r="M1071" i="1"/>
  <c r="N1071" i="1"/>
  <c r="L1071" i="1"/>
  <c r="K1096" i="1"/>
  <c r="T1096" i="1"/>
  <c r="L1096" i="1"/>
  <c r="M1096" i="1"/>
  <c r="N1096" i="1"/>
  <c r="I1096" i="1"/>
  <c r="R1096" i="1"/>
  <c r="J1096" i="1"/>
  <c r="Q1096" i="1"/>
  <c r="S1096" i="1"/>
  <c r="L1187" i="1"/>
  <c r="M1187" i="1"/>
  <c r="N1187" i="1"/>
  <c r="Q1187" i="1"/>
  <c r="J1187" i="1"/>
  <c r="S1187" i="1"/>
  <c r="K1187" i="1"/>
  <c r="T1187" i="1"/>
  <c r="R1187" i="1"/>
  <c r="I1187" i="1"/>
  <c r="J883" i="1"/>
  <c r="S883" i="1"/>
  <c r="K883" i="1"/>
  <c r="T883" i="1"/>
  <c r="L883" i="1"/>
  <c r="M883" i="1"/>
  <c r="Q883" i="1"/>
  <c r="R883" i="1"/>
  <c r="I883" i="1"/>
  <c r="N883" i="1"/>
  <c r="Q729" i="1"/>
  <c r="I729" i="1"/>
  <c r="R729" i="1"/>
  <c r="K729" i="1"/>
  <c r="T729" i="1"/>
  <c r="L729" i="1"/>
  <c r="J729" i="1"/>
  <c r="M729" i="1"/>
  <c r="N729" i="1"/>
  <c r="S729" i="1"/>
  <c r="M1223" i="1"/>
  <c r="N1223" i="1"/>
  <c r="I1223" i="1"/>
  <c r="R1223" i="1"/>
  <c r="J1223" i="1"/>
  <c r="K1223" i="1"/>
  <c r="L1223" i="1"/>
  <c r="T1223" i="1"/>
  <c r="S1223" i="1"/>
  <c r="Q1223" i="1"/>
  <c r="I716" i="1"/>
  <c r="R716" i="1"/>
  <c r="J716" i="1"/>
  <c r="S716" i="1"/>
  <c r="K716" i="1"/>
  <c r="T716" i="1"/>
  <c r="L716" i="1"/>
  <c r="M716" i="1"/>
  <c r="N716" i="1"/>
  <c r="Q716" i="1"/>
  <c r="Q879" i="1"/>
  <c r="I879" i="1"/>
  <c r="R879" i="1"/>
  <c r="J879" i="1"/>
  <c r="S879" i="1"/>
  <c r="K879" i="1"/>
  <c r="T879" i="1"/>
  <c r="N879" i="1"/>
  <c r="L879" i="1"/>
  <c r="M879" i="1"/>
  <c r="I974" i="1"/>
  <c r="R974" i="1"/>
  <c r="J974" i="1"/>
  <c r="S974" i="1"/>
  <c r="K974" i="1"/>
  <c r="T974" i="1"/>
  <c r="L974" i="1"/>
  <c r="M974" i="1"/>
  <c r="Q974" i="1"/>
  <c r="N974" i="1"/>
  <c r="N727" i="1"/>
  <c r="I727" i="1"/>
  <c r="R727" i="1"/>
  <c r="J727" i="1"/>
  <c r="S727" i="1"/>
  <c r="K727" i="1"/>
  <c r="L727" i="1"/>
  <c r="Q727" i="1"/>
  <c r="M727" i="1"/>
  <c r="T727" i="1"/>
  <c r="N823" i="1"/>
  <c r="Q823" i="1"/>
  <c r="I823" i="1"/>
  <c r="R823" i="1"/>
  <c r="K823" i="1"/>
  <c r="T823" i="1"/>
  <c r="J823" i="1"/>
  <c r="L823" i="1"/>
  <c r="M823" i="1"/>
  <c r="S823" i="1"/>
  <c r="J1062" i="1"/>
  <c r="S1062" i="1"/>
  <c r="K1062" i="1"/>
  <c r="T1062" i="1"/>
  <c r="L1062" i="1"/>
  <c r="M1062" i="1"/>
  <c r="N1062" i="1"/>
  <c r="Q1062" i="1"/>
  <c r="I1062" i="1"/>
  <c r="R1062" i="1"/>
  <c r="N743" i="1"/>
  <c r="Q743" i="1"/>
  <c r="I743" i="1"/>
  <c r="R743" i="1"/>
  <c r="J743" i="1"/>
  <c r="S743" i="1"/>
  <c r="K743" i="1"/>
  <c r="T743" i="1"/>
  <c r="L743" i="1"/>
  <c r="M743" i="1"/>
  <c r="K1078" i="1"/>
  <c r="T1078" i="1"/>
  <c r="L1078" i="1"/>
  <c r="M1078" i="1"/>
  <c r="N1078" i="1"/>
  <c r="I1078" i="1"/>
  <c r="R1078" i="1"/>
  <c r="S1078" i="1"/>
  <c r="J1078" i="1"/>
  <c r="Q1078" i="1"/>
  <c r="K1111" i="1"/>
  <c r="T1111" i="1"/>
  <c r="L1111" i="1"/>
  <c r="M1111" i="1"/>
  <c r="N1111" i="1"/>
  <c r="I1111" i="1"/>
  <c r="R1111" i="1"/>
  <c r="S1111" i="1"/>
  <c r="J1111" i="1"/>
  <c r="Q1111" i="1"/>
  <c r="M1131" i="1"/>
  <c r="N1131" i="1"/>
  <c r="I1131" i="1"/>
  <c r="Q1131" i="1"/>
  <c r="K1131" i="1"/>
  <c r="S1131" i="1"/>
  <c r="J1131" i="1"/>
  <c r="L1131" i="1"/>
  <c r="R1131" i="1"/>
  <c r="T1131" i="1"/>
  <c r="J751" i="1"/>
  <c r="S751" i="1"/>
  <c r="K751" i="1"/>
  <c r="T751" i="1"/>
  <c r="L751" i="1"/>
  <c r="M751" i="1"/>
  <c r="N751" i="1"/>
  <c r="Q751" i="1"/>
  <c r="R751" i="1"/>
  <c r="I751" i="1"/>
  <c r="M1233" i="1"/>
  <c r="N1233" i="1"/>
  <c r="J1233" i="1"/>
  <c r="R1233" i="1"/>
  <c r="I1233" i="1"/>
  <c r="K1233" i="1"/>
  <c r="L1233" i="1"/>
  <c r="Q1233" i="1"/>
  <c r="S1233" i="1"/>
  <c r="T1233" i="1"/>
  <c r="I717" i="1"/>
  <c r="R717" i="1"/>
  <c r="J717" i="1"/>
  <c r="S717" i="1"/>
  <c r="K717" i="1"/>
  <c r="T717" i="1"/>
  <c r="L717" i="1"/>
  <c r="M717" i="1"/>
  <c r="N717" i="1"/>
  <c r="Q717" i="1"/>
  <c r="I1229" i="1"/>
  <c r="R1229" i="1"/>
  <c r="J1229" i="1"/>
  <c r="S1229" i="1"/>
  <c r="K1229" i="1"/>
  <c r="T1229" i="1"/>
  <c r="L1229" i="1"/>
  <c r="N1229" i="1"/>
  <c r="M1229" i="1"/>
  <c r="Q1229" i="1"/>
  <c r="Q1076" i="1"/>
  <c r="I1076" i="1"/>
  <c r="R1076" i="1"/>
  <c r="J1076" i="1"/>
  <c r="S1076" i="1"/>
  <c r="K1076" i="1"/>
  <c r="T1076" i="1"/>
  <c r="L1076" i="1"/>
  <c r="N1076" i="1"/>
  <c r="M1076" i="1"/>
  <c r="Q932" i="1"/>
  <c r="J932" i="1"/>
  <c r="S932" i="1"/>
  <c r="K932" i="1"/>
  <c r="T932" i="1"/>
  <c r="M932" i="1"/>
  <c r="N932" i="1"/>
  <c r="R932" i="1"/>
  <c r="I932" i="1"/>
  <c r="L932" i="1"/>
  <c r="I755" i="1"/>
  <c r="Q755" i="1"/>
  <c r="K755" i="1"/>
  <c r="S755" i="1"/>
  <c r="R755" i="1"/>
  <c r="T755" i="1"/>
  <c r="M755" i="1"/>
  <c r="N755" i="1"/>
  <c r="J755" i="1"/>
  <c r="L755" i="1"/>
  <c r="I1216" i="1"/>
  <c r="R1216" i="1"/>
  <c r="J1216" i="1"/>
  <c r="S1216" i="1"/>
  <c r="K1216" i="1"/>
  <c r="T1216" i="1"/>
  <c r="L1216" i="1"/>
  <c r="N1216" i="1"/>
  <c r="M1216" i="1"/>
  <c r="Q1216" i="1"/>
  <c r="M1155" i="1"/>
  <c r="N1155" i="1"/>
  <c r="Q1155" i="1"/>
  <c r="J1155" i="1"/>
  <c r="S1155" i="1"/>
  <c r="K1155" i="1"/>
  <c r="T1155" i="1"/>
  <c r="R1155" i="1"/>
  <c r="I1155" i="1"/>
  <c r="L1155" i="1"/>
  <c r="L810" i="1"/>
  <c r="T810" i="1"/>
  <c r="M810" i="1"/>
  <c r="N810" i="1"/>
  <c r="J810" i="1"/>
  <c r="R810" i="1"/>
  <c r="S810" i="1"/>
  <c r="K810" i="1"/>
  <c r="I810" i="1"/>
  <c r="Q810" i="1"/>
  <c r="J1104" i="1"/>
  <c r="S1104" i="1"/>
  <c r="K1104" i="1"/>
  <c r="T1104" i="1"/>
  <c r="L1104" i="1"/>
  <c r="M1104" i="1"/>
  <c r="N1104" i="1"/>
  <c r="Q1104" i="1"/>
  <c r="R1104" i="1"/>
  <c r="I1104" i="1"/>
  <c r="J1011" i="1"/>
  <c r="S1011" i="1"/>
  <c r="K1011" i="1"/>
  <c r="T1011" i="1"/>
  <c r="L1011" i="1"/>
  <c r="M1011" i="1"/>
  <c r="N1011" i="1"/>
  <c r="Q1011" i="1"/>
  <c r="R1011" i="1"/>
  <c r="I1011" i="1"/>
  <c r="N1196" i="1"/>
  <c r="Q1196" i="1"/>
  <c r="I1196" i="1"/>
  <c r="R1196" i="1"/>
  <c r="J1196" i="1"/>
  <c r="S1196" i="1"/>
  <c r="L1196" i="1"/>
  <c r="M1196" i="1"/>
  <c r="T1196" i="1"/>
  <c r="K1196" i="1"/>
  <c r="N995" i="1"/>
  <c r="Q995" i="1"/>
  <c r="I995" i="1"/>
  <c r="R995" i="1"/>
  <c r="J995" i="1"/>
  <c r="S995" i="1"/>
  <c r="M995" i="1"/>
  <c r="T995" i="1"/>
  <c r="K995" i="1"/>
  <c r="L995" i="1"/>
  <c r="I963" i="1"/>
  <c r="R963" i="1"/>
  <c r="J963" i="1"/>
  <c r="S963" i="1"/>
  <c r="K963" i="1"/>
  <c r="T963" i="1"/>
  <c r="L963" i="1"/>
  <c r="M963" i="1"/>
  <c r="Q963" i="1"/>
  <c r="N963" i="1"/>
  <c r="J882" i="1"/>
  <c r="S882" i="1"/>
  <c r="K882" i="1"/>
  <c r="T882" i="1"/>
  <c r="L882" i="1"/>
  <c r="M882" i="1"/>
  <c r="Q882" i="1"/>
  <c r="R882" i="1"/>
  <c r="I882" i="1"/>
  <c r="N882" i="1"/>
  <c r="I851" i="1"/>
  <c r="R851" i="1"/>
  <c r="J851" i="1"/>
  <c r="S851" i="1"/>
  <c r="K851" i="1"/>
  <c r="T851" i="1"/>
  <c r="M851" i="1"/>
  <c r="L851" i="1"/>
  <c r="N851" i="1"/>
  <c r="Q851" i="1"/>
  <c r="M705" i="1"/>
  <c r="N705" i="1"/>
  <c r="Q705" i="1"/>
  <c r="I705" i="1"/>
  <c r="R705" i="1"/>
  <c r="J705" i="1"/>
  <c r="K705" i="1"/>
  <c r="T705" i="1"/>
  <c r="L705" i="1"/>
  <c r="S705" i="1"/>
  <c r="K1027" i="1"/>
  <c r="T1027" i="1"/>
  <c r="L1027" i="1"/>
  <c r="M1027" i="1"/>
  <c r="N1027" i="1"/>
  <c r="S1027" i="1"/>
  <c r="I1027" i="1"/>
  <c r="Q1027" i="1"/>
  <c r="J1027" i="1"/>
  <c r="R1027" i="1"/>
  <c r="N981" i="1"/>
  <c r="Q981" i="1"/>
  <c r="I981" i="1"/>
  <c r="R981" i="1"/>
  <c r="J981" i="1"/>
  <c r="S981" i="1"/>
  <c r="T981" i="1"/>
  <c r="L981" i="1"/>
  <c r="K981" i="1"/>
  <c r="M981" i="1"/>
  <c r="L860" i="1"/>
  <c r="M860" i="1"/>
  <c r="N860" i="1"/>
  <c r="S860" i="1"/>
  <c r="T860" i="1"/>
  <c r="I860" i="1"/>
  <c r="J860" i="1"/>
  <c r="K860" i="1"/>
  <c r="R860" i="1"/>
  <c r="Q860" i="1"/>
  <c r="M803" i="1"/>
  <c r="N803" i="1"/>
  <c r="I803" i="1"/>
  <c r="R803" i="1"/>
  <c r="J803" i="1"/>
  <c r="K803" i="1"/>
  <c r="L803" i="1"/>
  <c r="T803" i="1"/>
  <c r="Q803" i="1"/>
  <c r="S803" i="1"/>
  <c r="M753" i="1"/>
  <c r="N753" i="1"/>
  <c r="I753" i="1"/>
  <c r="R753" i="1"/>
  <c r="Q753" i="1"/>
  <c r="S753" i="1"/>
  <c r="T753" i="1"/>
  <c r="K753" i="1"/>
  <c r="L753" i="1"/>
  <c r="J753" i="1"/>
  <c r="N737" i="1"/>
  <c r="I737" i="1"/>
  <c r="R737" i="1"/>
  <c r="J737" i="1"/>
  <c r="S737" i="1"/>
  <c r="Q737" i="1"/>
  <c r="T737" i="1"/>
  <c r="K737" i="1"/>
  <c r="L737" i="1"/>
  <c r="M737" i="1"/>
  <c r="L752" i="1"/>
  <c r="M752" i="1"/>
  <c r="N752" i="1"/>
  <c r="Q752" i="1"/>
  <c r="R752" i="1"/>
  <c r="S752" i="1"/>
  <c r="T752" i="1"/>
  <c r="I752" i="1"/>
  <c r="J752" i="1"/>
  <c r="K752" i="1"/>
  <c r="N1041" i="1"/>
  <c r="Q1041" i="1"/>
  <c r="I1041" i="1"/>
  <c r="R1041" i="1"/>
  <c r="J1041" i="1"/>
  <c r="S1041" i="1"/>
  <c r="L1041" i="1"/>
  <c r="K1041" i="1"/>
  <c r="M1041" i="1"/>
  <c r="T1041" i="1"/>
  <c r="Q997" i="1"/>
  <c r="I997" i="1"/>
  <c r="R997" i="1"/>
  <c r="J997" i="1"/>
  <c r="S997" i="1"/>
  <c r="K997" i="1"/>
  <c r="T997" i="1"/>
  <c r="L997" i="1"/>
  <c r="M997" i="1"/>
  <c r="N997" i="1"/>
  <c r="L934" i="1"/>
  <c r="M934" i="1"/>
  <c r="S934" i="1"/>
  <c r="I934" i="1"/>
  <c r="T934" i="1"/>
  <c r="J934" i="1"/>
  <c r="K934" i="1"/>
  <c r="N934" i="1"/>
  <c r="Q934" i="1"/>
  <c r="R934" i="1"/>
  <c r="Q893" i="1"/>
  <c r="I893" i="1"/>
  <c r="R893" i="1"/>
  <c r="J893" i="1"/>
  <c r="S893" i="1"/>
  <c r="K893" i="1"/>
  <c r="T893" i="1"/>
  <c r="L893" i="1"/>
  <c r="M893" i="1"/>
  <c r="N893" i="1"/>
  <c r="I797" i="1"/>
  <c r="R797" i="1"/>
  <c r="J797" i="1"/>
  <c r="S797" i="1"/>
  <c r="K797" i="1"/>
  <c r="T797" i="1"/>
  <c r="M797" i="1"/>
  <c r="Q797" i="1"/>
  <c r="L797" i="1"/>
  <c r="N797" i="1"/>
  <c r="K734" i="1"/>
  <c r="T734" i="1"/>
  <c r="L734" i="1"/>
  <c r="N734" i="1"/>
  <c r="M734" i="1"/>
  <c r="Q734" i="1"/>
  <c r="R734" i="1"/>
  <c r="S734" i="1"/>
  <c r="I734" i="1"/>
  <c r="J734" i="1"/>
  <c r="Q786" i="1"/>
  <c r="I786" i="1"/>
  <c r="R786" i="1"/>
  <c r="K786" i="1"/>
  <c r="T786" i="1"/>
  <c r="J786" i="1"/>
  <c r="L786" i="1"/>
  <c r="M786" i="1"/>
  <c r="N786" i="1"/>
  <c r="S786" i="1"/>
  <c r="Q937" i="1"/>
  <c r="R937" i="1"/>
  <c r="I937" i="1"/>
  <c r="S937" i="1"/>
  <c r="J937" i="1"/>
  <c r="T937" i="1"/>
  <c r="K937" i="1"/>
  <c r="M937" i="1"/>
  <c r="L937" i="1"/>
  <c r="N937" i="1"/>
  <c r="N816" i="1"/>
  <c r="Q816" i="1"/>
  <c r="K816" i="1"/>
  <c r="L816" i="1"/>
  <c r="M816" i="1"/>
  <c r="I816" i="1"/>
  <c r="J816" i="1"/>
  <c r="R816" i="1"/>
  <c r="S816" i="1"/>
  <c r="T816" i="1"/>
  <c r="M1040" i="1"/>
  <c r="N1040" i="1"/>
  <c r="Q1040" i="1"/>
  <c r="I1040" i="1"/>
  <c r="R1040" i="1"/>
  <c r="K1040" i="1"/>
  <c r="T1040" i="1"/>
  <c r="L1040" i="1"/>
  <c r="S1040" i="1"/>
  <c r="J1040" i="1"/>
  <c r="Q996" i="1"/>
  <c r="I996" i="1"/>
  <c r="R996" i="1"/>
  <c r="J996" i="1"/>
  <c r="S996" i="1"/>
  <c r="K996" i="1"/>
  <c r="T996" i="1"/>
  <c r="L996" i="1"/>
  <c r="N996" i="1"/>
  <c r="M996" i="1"/>
  <c r="L910" i="1"/>
  <c r="M910" i="1"/>
  <c r="N910" i="1"/>
  <c r="S910" i="1"/>
  <c r="T910" i="1"/>
  <c r="I910" i="1"/>
  <c r="J910" i="1"/>
  <c r="K910" i="1"/>
  <c r="R910" i="1"/>
  <c r="Q910" i="1"/>
  <c r="Q767" i="1"/>
  <c r="I767" i="1"/>
  <c r="R767" i="1"/>
  <c r="K767" i="1"/>
  <c r="T767" i="1"/>
  <c r="J767" i="1"/>
  <c r="L767" i="1"/>
  <c r="M767" i="1"/>
  <c r="N767" i="1"/>
  <c r="S767" i="1"/>
  <c r="L1175" i="1"/>
  <c r="M1175" i="1"/>
  <c r="N1175" i="1"/>
  <c r="Q1175" i="1"/>
  <c r="I1175" i="1"/>
  <c r="J1175" i="1"/>
  <c r="K1175" i="1"/>
  <c r="S1175" i="1"/>
  <c r="R1175" i="1"/>
  <c r="T1175" i="1"/>
  <c r="Q1158" i="1"/>
  <c r="I1158" i="1"/>
  <c r="R1158" i="1"/>
  <c r="J1158" i="1"/>
  <c r="S1158" i="1"/>
  <c r="L1158" i="1"/>
  <c r="M1158" i="1"/>
  <c r="K1158" i="1"/>
  <c r="N1158" i="1"/>
  <c r="T1158" i="1"/>
  <c r="Q846" i="1"/>
  <c r="I846" i="1"/>
  <c r="R846" i="1"/>
  <c r="J846" i="1"/>
  <c r="K846" i="1"/>
  <c r="L846" i="1"/>
  <c r="M846" i="1"/>
  <c r="N846" i="1"/>
  <c r="S846" i="1"/>
  <c r="T846" i="1"/>
  <c r="N844" i="1"/>
  <c r="Q844" i="1"/>
  <c r="I844" i="1"/>
  <c r="R844" i="1"/>
  <c r="L844" i="1"/>
  <c r="J844" i="1"/>
  <c r="K844" i="1"/>
  <c r="M844" i="1"/>
  <c r="S844" i="1"/>
  <c r="T844" i="1"/>
  <c r="N1183" i="1"/>
  <c r="Q1183" i="1"/>
  <c r="I1183" i="1"/>
  <c r="R1183" i="1"/>
  <c r="J1183" i="1"/>
  <c r="K1183" i="1"/>
  <c r="L1183" i="1"/>
  <c r="M1183" i="1"/>
  <c r="S1183" i="1"/>
  <c r="T1183" i="1"/>
  <c r="I1138" i="1"/>
  <c r="R1138" i="1"/>
  <c r="J1138" i="1"/>
  <c r="S1138" i="1"/>
  <c r="K1138" i="1"/>
  <c r="T1138" i="1"/>
  <c r="L1138" i="1"/>
  <c r="M1138" i="1"/>
  <c r="N1138" i="1"/>
  <c r="Q1138" i="1"/>
  <c r="K841" i="1"/>
  <c r="T841" i="1"/>
  <c r="L841" i="1"/>
  <c r="M841" i="1"/>
  <c r="N841" i="1"/>
  <c r="I841" i="1"/>
  <c r="R841" i="1"/>
  <c r="J841" i="1"/>
  <c r="Q841" i="1"/>
  <c r="S841" i="1"/>
  <c r="Q895" i="1"/>
  <c r="I895" i="1"/>
  <c r="R895" i="1"/>
  <c r="K895" i="1"/>
  <c r="T895" i="1"/>
  <c r="S895" i="1"/>
  <c r="J895" i="1"/>
  <c r="L895" i="1"/>
  <c r="M895" i="1"/>
  <c r="N895" i="1"/>
  <c r="K700" i="1"/>
  <c r="T700" i="1"/>
  <c r="N700" i="1"/>
  <c r="Q700" i="1"/>
  <c r="I700" i="1"/>
  <c r="J700" i="1"/>
  <c r="L700" i="1"/>
  <c r="M700" i="1"/>
  <c r="R700" i="1"/>
  <c r="S700" i="1"/>
  <c r="K761" i="1"/>
  <c r="T761" i="1"/>
  <c r="L761" i="1"/>
  <c r="M761" i="1"/>
  <c r="I761" i="1"/>
  <c r="J761" i="1"/>
  <c r="R761" i="1"/>
  <c r="S761" i="1"/>
  <c r="Q761" i="1"/>
  <c r="N761" i="1"/>
  <c r="U819" i="1"/>
  <c r="O1077" i="1"/>
  <c r="K912" i="1"/>
  <c r="T912" i="1"/>
  <c r="L912" i="1"/>
  <c r="M912" i="1"/>
  <c r="I912" i="1"/>
  <c r="J912" i="1"/>
  <c r="N912" i="1"/>
  <c r="Q912" i="1"/>
  <c r="R912" i="1"/>
  <c r="S912" i="1"/>
  <c r="N825" i="1"/>
  <c r="Q825" i="1"/>
  <c r="I825" i="1"/>
  <c r="R825" i="1"/>
  <c r="K825" i="1"/>
  <c r="T825" i="1"/>
  <c r="J825" i="1"/>
  <c r="L825" i="1"/>
  <c r="M825" i="1"/>
  <c r="S825" i="1"/>
  <c r="I1091" i="1"/>
  <c r="R1091" i="1"/>
  <c r="J1091" i="1"/>
  <c r="S1091" i="1"/>
  <c r="K1091" i="1"/>
  <c r="T1091" i="1"/>
  <c r="L1091" i="1"/>
  <c r="M1091" i="1"/>
  <c r="N1091" i="1"/>
  <c r="Q1091" i="1"/>
  <c r="K1105" i="1"/>
  <c r="T1105" i="1"/>
  <c r="L1105" i="1"/>
  <c r="M1105" i="1"/>
  <c r="N1105" i="1"/>
  <c r="I1105" i="1"/>
  <c r="R1105" i="1"/>
  <c r="J1105" i="1"/>
  <c r="Q1105" i="1"/>
  <c r="S1105" i="1"/>
  <c r="M957" i="1"/>
  <c r="N957" i="1"/>
  <c r="Q957" i="1"/>
  <c r="I957" i="1"/>
  <c r="R957" i="1"/>
  <c r="J957" i="1"/>
  <c r="K957" i="1"/>
  <c r="S957" i="1"/>
  <c r="T957" i="1"/>
  <c r="L957" i="1"/>
  <c r="Q960" i="1"/>
  <c r="I960" i="1"/>
  <c r="R960" i="1"/>
  <c r="J960" i="1"/>
  <c r="S960" i="1"/>
  <c r="K960" i="1"/>
  <c r="T960" i="1"/>
  <c r="M960" i="1"/>
  <c r="L960" i="1"/>
  <c r="N960" i="1"/>
  <c r="N1012" i="1"/>
  <c r="Q1012" i="1"/>
  <c r="I1012" i="1"/>
  <c r="R1012" i="1"/>
  <c r="J1012" i="1"/>
  <c r="S1012" i="1"/>
  <c r="K1012" i="1"/>
  <c r="L1012" i="1"/>
  <c r="T1012" i="1"/>
  <c r="M1012" i="1"/>
  <c r="Q867" i="1"/>
  <c r="I867" i="1"/>
  <c r="R867" i="1"/>
  <c r="J867" i="1"/>
  <c r="S867" i="1"/>
  <c r="K867" i="1"/>
  <c r="T867" i="1"/>
  <c r="L867" i="1"/>
  <c r="M867" i="1"/>
  <c r="N867" i="1"/>
  <c r="Q787" i="1"/>
  <c r="I787" i="1"/>
  <c r="R787" i="1"/>
  <c r="J787" i="1"/>
  <c r="S787" i="1"/>
  <c r="L787" i="1"/>
  <c r="K787" i="1"/>
  <c r="M787" i="1"/>
  <c r="N787" i="1"/>
  <c r="T787" i="1"/>
  <c r="Q918" i="1"/>
  <c r="I918" i="1"/>
  <c r="R918" i="1"/>
  <c r="J918" i="1"/>
  <c r="S918" i="1"/>
  <c r="K918" i="1"/>
  <c r="T918" i="1"/>
  <c r="L918" i="1"/>
  <c r="M918" i="1"/>
  <c r="N918" i="1"/>
  <c r="J975" i="1"/>
  <c r="S975" i="1"/>
  <c r="K975" i="1"/>
  <c r="T975" i="1"/>
  <c r="L975" i="1"/>
  <c r="M975" i="1"/>
  <c r="N975" i="1"/>
  <c r="I975" i="1"/>
  <c r="R975" i="1"/>
  <c r="Q975" i="1"/>
  <c r="Q1161" i="1"/>
  <c r="I1161" i="1"/>
  <c r="R1161" i="1"/>
  <c r="J1161" i="1"/>
  <c r="S1161" i="1"/>
  <c r="K1161" i="1"/>
  <c r="T1161" i="1"/>
  <c r="M1161" i="1"/>
  <c r="N1161" i="1"/>
  <c r="L1161" i="1"/>
  <c r="Q747" i="1"/>
  <c r="I747" i="1"/>
  <c r="R747" i="1"/>
  <c r="J747" i="1"/>
  <c r="S747" i="1"/>
  <c r="L747" i="1"/>
  <c r="K747" i="1"/>
  <c r="M747" i="1"/>
  <c r="N747" i="1"/>
  <c r="T747" i="1"/>
  <c r="I1199" i="1"/>
  <c r="Q1199" i="1"/>
  <c r="J1199" i="1"/>
  <c r="R1199" i="1"/>
  <c r="K1199" i="1"/>
  <c r="S1199" i="1"/>
  <c r="L1199" i="1"/>
  <c r="T1199" i="1"/>
  <c r="M1199" i="1"/>
  <c r="N1199" i="1"/>
  <c r="J1061" i="1"/>
  <c r="S1061" i="1"/>
  <c r="K1061" i="1"/>
  <c r="T1061" i="1"/>
  <c r="L1061" i="1"/>
  <c r="M1061" i="1"/>
  <c r="N1061" i="1"/>
  <c r="Q1061" i="1"/>
  <c r="I1061" i="1"/>
  <c r="R1061" i="1"/>
  <c r="J1082" i="1"/>
  <c r="S1082" i="1"/>
  <c r="K1082" i="1"/>
  <c r="T1082" i="1"/>
  <c r="L1082" i="1"/>
  <c r="M1082" i="1"/>
  <c r="N1082" i="1"/>
  <c r="Q1082" i="1"/>
  <c r="I1082" i="1"/>
  <c r="R1082" i="1"/>
  <c r="J739" i="1"/>
  <c r="R739" i="1"/>
  <c r="K739" i="1"/>
  <c r="S739" i="1"/>
  <c r="L739" i="1"/>
  <c r="T739" i="1"/>
  <c r="N739" i="1"/>
  <c r="I739" i="1"/>
  <c r="M739" i="1"/>
  <c r="Q739" i="1"/>
  <c r="J1035" i="1"/>
  <c r="K1035" i="1"/>
  <c r="L1035" i="1"/>
  <c r="T1035" i="1"/>
  <c r="I1035" i="1"/>
  <c r="M1035" i="1"/>
  <c r="N1035" i="1"/>
  <c r="R1035" i="1"/>
  <c r="Q1035" i="1"/>
  <c r="S1035" i="1"/>
  <c r="M854" i="1"/>
  <c r="N854" i="1"/>
  <c r="I854" i="1"/>
  <c r="R854" i="1"/>
  <c r="Q854" i="1"/>
  <c r="S854" i="1"/>
  <c r="T854" i="1"/>
  <c r="K854" i="1"/>
  <c r="L854" i="1"/>
  <c r="J854" i="1"/>
  <c r="L1098" i="1"/>
  <c r="T1098" i="1"/>
  <c r="M1098" i="1"/>
  <c r="N1098" i="1"/>
  <c r="J1098" i="1"/>
  <c r="R1098" i="1"/>
  <c r="K1098" i="1"/>
  <c r="Q1098" i="1"/>
  <c r="S1098" i="1"/>
  <c r="I1098" i="1"/>
  <c r="I1006" i="1"/>
  <c r="R1006" i="1"/>
  <c r="J1006" i="1"/>
  <c r="S1006" i="1"/>
  <c r="K1006" i="1"/>
  <c r="T1006" i="1"/>
  <c r="L1006" i="1"/>
  <c r="M1006" i="1"/>
  <c r="N1006" i="1"/>
  <c r="Q1006" i="1"/>
  <c r="I951" i="1"/>
  <c r="R951" i="1"/>
  <c r="J951" i="1"/>
  <c r="S951" i="1"/>
  <c r="K951" i="1"/>
  <c r="T951" i="1"/>
  <c r="L951" i="1"/>
  <c r="M951" i="1"/>
  <c r="N951" i="1"/>
  <c r="Q951" i="1"/>
  <c r="K703" i="1"/>
  <c r="T703" i="1"/>
  <c r="L703" i="1"/>
  <c r="N703" i="1"/>
  <c r="I703" i="1"/>
  <c r="M703" i="1"/>
  <c r="J703" i="1"/>
  <c r="Q703" i="1"/>
  <c r="R703" i="1"/>
  <c r="S703" i="1"/>
  <c r="L1186" i="1"/>
  <c r="M1186" i="1"/>
  <c r="N1186" i="1"/>
  <c r="Q1186" i="1"/>
  <c r="I1186" i="1"/>
  <c r="J1186" i="1"/>
  <c r="K1186" i="1"/>
  <c r="S1186" i="1"/>
  <c r="T1186" i="1"/>
  <c r="R1186" i="1"/>
  <c r="N1213" i="1"/>
  <c r="Q1213" i="1"/>
  <c r="I1213" i="1"/>
  <c r="R1213" i="1"/>
  <c r="J1213" i="1"/>
  <c r="S1213" i="1"/>
  <c r="L1213" i="1"/>
  <c r="M1213" i="1"/>
  <c r="K1213" i="1"/>
  <c r="T1213" i="1"/>
  <c r="I833" i="1"/>
  <c r="R833" i="1"/>
  <c r="J833" i="1"/>
  <c r="S833" i="1"/>
  <c r="K833" i="1"/>
  <c r="T833" i="1"/>
  <c r="M833" i="1"/>
  <c r="L833" i="1"/>
  <c r="N833" i="1"/>
  <c r="Q833" i="1"/>
  <c r="K1231" i="1"/>
  <c r="T1231" i="1"/>
  <c r="L1231" i="1"/>
  <c r="M1231" i="1"/>
  <c r="N1231" i="1"/>
  <c r="Q1231" i="1"/>
  <c r="J1231" i="1"/>
  <c r="R1231" i="1"/>
  <c r="S1231" i="1"/>
  <c r="I1231" i="1"/>
  <c r="K870" i="1"/>
  <c r="T870" i="1"/>
  <c r="L870" i="1"/>
  <c r="N870" i="1"/>
  <c r="I870" i="1"/>
  <c r="M870" i="1"/>
  <c r="J870" i="1"/>
  <c r="Q870" i="1"/>
  <c r="R870" i="1"/>
  <c r="S870" i="1"/>
  <c r="Q1182" i="1"/>
  <c r="I1182" i="1"/>
  <c r="R1182" i="1"/>
  <c r="J1182" i="1"/>
  <c r="S1182" i="1"/>
  <c r="K1182" i="1"/>
  <c r="T1182" i="1"/>
  <c r="L1182" i="1"/>
  <c r="M1182" i="1"/>
  <c r="N1182" i="1"/>
  <c r="K702" i="1"/>
  <c r="T702" i="1"/>
  <c r="L702" i="1"/>
  <c r="M702" i="1"/>
  <c r="N702" i="1"/>
  <c r="I702" i="1"/>
  <c r="R702" i="1"/>
  <c r="J702" i="1"/>
  <c r="Q702" i="1"/>
  <c r="S702" i="1"/>
  <c r="M736" i="1"/>
  <c r="N736" i="1"/>
  <c r="Q736" i="1"/>
  <c r="I736" i="1"/>
  <c r="R736" i="1"/>
  <c r="S736" i="1"/>
  <c r="T736" i="1"/>
  <c r="J736" i="1"/>
  <c r="K736" i="1"/>
  <c r="L736" i="1"/>
  <c r="I962" i="1"/>
  <c r="R962" i="1"/>
  <c r="J962" i="1"/>
  <c r="S962" i="1"/>
  <c r="K962" i="1"/>
  <c r="T962" i="1"/>
  <c r="L962" i="1"/>
  <c r="M962" i="1"/>
  <c r="N962" i="1"/>
  <c r="Q962" i="1"/>
  <c r="K781" i="1"/>
  <c r="T781" i="1"/>
  <c r="L781" i="1"/>
  <c r="M781" i="1"/>
  <c r="I781" i="1"/>
  <c r="J781" i="1"/>
  <c r="N781" i="1"/>
  <c r="Q781" i="1"/>
  <c r="R781" i="1"/>
  <c r="S781" i="1"/>
  <c r="I1107" i="1"/>
  <c r="R1107" i="1"/>
  <c r="J1107" i="1"/>
  <c r="S1107" i="1"/>
  <c r="K1107" i="1"/>
  <c r="T1107" i="1"/>
  <c r="L1107" i="1"/>
  <c r="M1107" i="1"/>
  <c r="Q1107" i="1"/>
  <c r="N1107" i="1"/>
  <c r="N1102" i="1"/>
  <c r="Q1102" i="1"/>
  <c r="I1102" i="1"/>
  <c r="R1102" i="1"/>
  <c r="J1102" i="1"/>
  <c r="S1102" i="1"/>
  <c r="K1102" i="1"/>
  <c r="T1102" i="1"/>
  <c r="M1102" i="1"/>
  <c r="L1102" i="1"/>
  <c r="Q1090" i="1"/>
  <c r="I1090" i="1"/>
  <c r="R1090" i="1"/>
  <c r="J1090" i="1"/>
  <c r="S1090" i="1"/>
  <c r="K1090" i="1"/>
  <c r="T1090" i="1"/>
  <c r="M1090" i="1"/>
  <c r="L1090" i="1"/>
  <c r="N1090" i="1"/>
  <c r="L872" i="1"/>
  <c r="M872" i="1"/>
  <c r="N872" i="1"/>
  <c r="J872" i="1"/>
  <c r="K872" i="1"/>
  <c r="Q872" i="1"/>
  <c r="R872" i="1"/>
  <c r="S872" i="1"/>
  <c r="I872" i="1"/>
  <c r="T872" i="1"/>
  <c r="Q719" i="1"/>
  <c r="I719" i="1"/>
  <c r="R719" i="1"/>
  <c r="K719" i="1"/>
  <c r="T719" i="1"/>
  <c r="L719" i="1"/>
  <c r="S719" i="1"/>
  <c r="J719" i="1"/>
  <c r="M719" i="1"/>
  <c r="N719" i="1"/>
  <c r="M1235" i="1"/>
  <c r="N1235" i="1"/>
  <c r="J1235" i="1"/>
  <c r="R1235" i="1"/>
  <c r="L1235" i="1"/>
  <c r="Q1235" i="1"/>
  <c r="S1235" i="1"/>
  <c r="T1235" i="1"/>
  <c r="I1235" i="1"/>
  <c r="K1235" i="1"/>
  <c r="I1226" i="1"/>
  <c r="Q1226" i="1"/>
  <c r="J1226" i="1"/>
  <c r="R1226" i="1"/>
  <c r="K1226" i="1"/>
  <c r="S1226" i="1"/>
  <c r="M1226" i="1"/>
  <c r="L1226" i="1"/>
  <c r="N1226" i="1"/>
  <c r="T1226" i="1"/>
  <c r="L1129" i="1"/>
  <c r="M1129" i="1"/>
  <c r="N1129" i="1"/>
  <c r="Q1129" i="1"/>
  <c r="J1129" i="1"/>
  <c r="I1129" i="1"/>
  <c r="K1129" i="1"/>
  <c r="R1129" i="1"/>
  <c r="S1129" i="1"/>
  <c r="T1129" i="1"/>
  <c r="Q1081" i="1"/>
  <c r="I1081" i="1"/>
  <c r="R1081" i="1"/>
  <c r="J1081" i="1"/>
  <c r="S1081" i="1"/>
  <c r="K1081" i="1"/>
  <c r="T1081" i="1"/>
  <c r="L1081" i="1"/>
  <c r="N1081" i="1"/>
  <c r="M1081" i="1"/>
  <c r="Q961" i="1"/>
  <c r="I961" i="1"/>
  <c r="R961" i="1"/>
  <c r="J961" i="1"/>
  <c r="S961" i="1"/>
  <c r="K961" i="1"/>
  <c r="T961" i="1"/>
  <c r="L961" i="1"/>
  <c r="M961" i="1"/>
  <c r="N961" i="1"/>
  <c r="J1217" i="1"/>
  <c r="S1217" i="1"/>
  <c r="K1217" i="1"/>
  <c r="T1217" i="1"/>
  <c r="L1217" i="1"/>
  <c r="M1217" i="1"/>
  <c r="N1217" i="1"/>
  <c r="Q1217" i="1"/>
  <c r="R1217" i="1"/>
  <c r="I1217" i="1"/>
  <c r="K978" i="1"/>
  <c r="T978" i="1"/>
  <c r="L978" i="1"/>
  <c r="M978" i="1"/>
  <c r="N978" i="1"/>
  <c r="S978" i="1"/>
  <c r="I978" i="1"/>
  <c r="Q978" i="1"/>
  <c r="J978" i="1"/>
  <c r="R978" i="1"/>
  <c r="K724" i="1"/>
  <c r="T724" i="1"/>
  <c r="L724" i="1"/>
  <c r="M724" i="1"/>
  <c r="N724" i="1"/>
  <c r="Q724" i="1"/>
  <c r="R724" i="1"/>
  <c r="S724" i="1"/>
  <c r="J724" i="1"/>
  <c r="I724" i="1"/>
  <c r="J908" i="1"/>
  <c r="S908" i="1"/>
  <c r="K908" i="1"/>
  <c r="T908" i="1"/>
  <c r="L908" i="1"/>
  <c r="M908" i="1"/>
  <c r="Q908" i="1"/>
  <c r="R908" i="1"/>
  <c r="I908" i="1"/>
  <c r="N908" i="1"/>
  <c r="N1170" i="1"/>
  <c r="Q1170" i="1"/>
  <c r="I1170" i="1"/>
  <c r="R1170" i="1"/>
  <c r="K1170" i="1"/>
  <c r="T1170" i="1"/>
  <c r="L1170" i="1"/>
  <c r="J1170" i="1"/>
  <c r="M1170" i="1"/>
  <c r="S1170" i="1"/>
  <c r="Q1130" i="1"/>
  <c r="I1130" i="1"/>
  <c r="R1130" i="1"/>
  <c r="J1130" i="1"/>
  <c r="S1130" i="1"/>
  <c r="K1130" i="1"/>
  <c r="T1130" i="1"/>
  <c r="M1130" i="1"/>
  <c r="L1130" i="1"/>
  <c r="N1130" i="1"/>
  <c r="J770" i="1"/>
  <c r="S770" i="1"/>
  <c r="K770" i="1"/>
  <c r="T770" i="1"/>
  <c r="L770" i="1"/>
  <c r="N770" i="1"/>
  <c r="M770" i="1"/>
  <c r="Q770" i="1"/>
  <c r="R770" i="1"/>
  <c r="I770" i="1"/>
  <c r="L925" i="1"/>
  <c r="M925" i="1"/>
  <c r="N925" i="1"/>
  <c r="J925" i="1"/>
  <c r="K925" i="1"/>
  <c r="Q925" i="1"/>
  <c r="R925" i="1"/>
  <c r="S925" i="1"/>
  <c r="T925" i="1"/>
  <c r="I925" i="1"/>
  <c r="M715" i="1"/>
  <c r="N715" i="1"/>
  <c r="Q715" i="1"/>
  <c r="I715" i="1"/>
  <c r="R715" i="1"/>
  <c r="S715" i="1"/>
  <c r="T715" i="1"/>
  <c r="J715" i="1"/>
  <c r="K715" i="1"/>
  <c r="L715" i="1"/>
  <c r="M1088" i="1"/>
  <c r="N1088" i="1"/>
  <c r="Q1088" i="1"/>
  <c r="I1088" i="1"/>
  <c r="R1088" i="1"/>
  <c r="K1088" i="1"/>
  <c r="T1088" i="1"/>
  <c r="J1088" i="1"/>
  <c r="L1088" i="1"/>
  <c r="S1088" i="1"/>
  <c r="M740" i="1"/>
  <c r="N740" i="1"/>
  <c r="Q740" i="1"/>
  <c r="I740" i="1"/>
  <c r="R740" i="1"/>
  <c r="J740" i="1"/>
  <c r="S740" i="1"/>
  <c r="T740" i="1"/>
  <c r="L740" i="1"/>
  <c r="K740" i="1"/>
  <c r="N824" i="1"/>
  <c r="Q824" i="1"/>
  <c r="I824" i="1"/>
  <c r="R824" i="1"/>
  <c r="K824" i="1"/>
  <c r="T824" i="1"/>
  <c r="J824" i="1"/>
  <c r="L824" i="1"/>
  <c r="M824" i="1"/>
  <c r="S824" i="1"/>
  <c r="L1203" i="1"/>
  <c r="N1203" i="1"/>
  <c r="J1203" i="1"/>
  <c r="S1203" i="1"/>
  <c r="T1203" i="1"/>
  <c r="I1203" i="1"/>
  <c r="K1203" i="1"/>
  <c r="Q1203" i="1"/>
  <c r="R1203" i="1"/>
  <c r="M1203" i="1"/>
  <c r="J1120" i="1"/>
  <c r="R1120" i="1"/>
  <c r="K1120" i="1"/>
  <c r="S1120" i="1"/>
  <c r="L1120" i="1"/>
  <c r="T1120" i="1"/>
  <c r="M1120" i="1"/>
  <c r="N1120" i="1"/>
  <c r="I1120" i="1"/>
  <c r="Q1120" i="1"/>
  <c r="J988" i="1"/>
  <c r="S988" i="1"/>
  <c r="K988" i="1"/>
  <c r="T988" i="1"/>
  <c r="L988" i="1"/>
  <c r="M988" i="1"/>
  <c r="N988" i="1"/>
  <c r="Q988" i="1"/>
  <c r="R988" i="1"/>
  <c r="I988" i="1"/>
  <c r="I897" i="1"/>
  <c r="R897" i="1"/>
  <c r="J897" i="1"/>
  <c r="S897" i="1"/>
  <c r="K897" i="1"/>
  <c r="T897" i="1"/>
  <c r="M897" i="1"/>
  <c r="L897" i="1"/>
  <c r="N897" i="1"/>
  <c r="Q897" i="1"/>
  <c r="L992" i="1"/>
  <c r="M992" i="1"/>
  <c r="N992" i="1"/>
  <c r="Q992" i="1"/>
  <c r="S992" i="1"/>
  <c r="T992" i="1"/>
  <c r="I992" i="1"/>
  <c r="K992" i="1"/>
  <c r="J992" i="1"/>
  <c r="R992" i="1"/>
  <c r="J952" i="1"/>
  <c r="S952" i="1"/>
  <c r="K952" i="1"/>
  <c r="T952" i="1"/>
  <c r="L952" i="1"/>
  <c r="M952" i="1"/>
  <c r="N952" i="1"/>
  <c r="Q952" i="1"/>
  <c r="R952" i="1"/>
  <c r="I952" i="1"/>
  <c r="J869" i="1"/>
  <c r="S869" i="1"/>
  <c r="K869" i="1"/>
  <c r="T869" i="1"/>
  <c r="L869" i="1"/>
  <c r="M869" i="1"/>
  <c r="I869" i="1"/>
  <c r="N869" i="1"/>
  <c r="Q869" i="1"/>
  <c r="R869" i="1"/>
  <c r="Q757" i="1"/>
  <c r="I757" i="1"/>
  <c r="R757" i="1"/>
  <c r="J757" i="1"/>
  <c r="S757" i="1"/>
  <c r="L757" i="1"/>
  <c r="T757" i="1"/>
  <c r="N757" i="1"/>
  <c r="M757" i="1"/>
  <c r="K757" i="1"/>
  <c r="Q913" i="1"/>
  <c r="I913" i="1"/>
  <c r="R913" i="1"/>
  <c r="J913" i="1"/>
  <c r="S913" i="1"/>
  <c r="L913" i="1"/>
  <c r="K913" i="1"/>
  <c r="M913" i="1"/>
  <c r="N913" i="1"/>
  <c r="T913" i="1"/>
  <c r="K1021" i="1"/>
  <c r="T1021" i="1"/>
  <c r="L1021" i="1"/>
  <c r="M1021" i="1"/>
  <c r="N1021" i="1"/>
  <c r="I1021" i="1"/>
  <c r="J1021" i="1"/>
  <c r="Q1021" i="1"/>
  <c r="R1021" i="1"/>
  <c r="S1021" i="1"/>
  <c r="Q971" i="1"/>
  <c r="I971" i="1"/>
  <c r="R971" i="1"/>
  <c r="J971" i="1"/>
  <c r="S971" i="1"/>
  <c r="K971" i="1"/>
  <c r="T971" i="1"/>
  <c r="L971" i="1"/>
  <c r="M971" i="1"/>
  <c r="N971" i="1"/>
  <c r="N915" i="1"/>
  <c r="Q915" i="1"/>
  <c r="I915" i="1"/>
  <c r="R915" i="1"/>
  <c r="J915" i="1"/>
  <c r="K915" i="1"/>
  <c r="L915" i="1"/>
  <c r="M915" i="1"/>
  <c r="S915" i="1"/>
  <c r="T915" i="1"/>
  <c r="K858" i="1"/>
  <c r="T858" i="1"/>
  <c r="L858" i="1"/>
  <c r="M858" i="1"/>
  <c r="N858" i="1"/>
  <c r="R858" i="1"/>
  <c r="S858" i="1"/>
  <c r="I858" i="1"/>
  <c r="Q858" i="1"/>
  <c r="J858" i="1"/>
  <c r="K799" i="1"/>
  <c r="T799" i="1"/>
  <c r="L799" i="1"/>
  <c r="M799" i="1"/>
  <c r="I799" i="1"/>
  <c r="J799" i="1"/>
  <c r="R799" i="1"/>
  <c r="S799" i="1"/>
  <c r="N799" i="1"/>
  <c r="Q799" i="1"/>
  <c r="L1189" i="1"/>
  <c r="M1189" i="1"/>
  <c r="N1189" i="1"/>
  <c r="Q1189" i="1"/>
  <c r="J1189" i="1"/>
  <c r="S1189" i="1"/>
  <c r="K1189" i="1"/>
  <c r="T1189" i="1"/>
  <c r="I1189" i="1"/>
  <c r="R1189" i="1"/>
  <c r="Q878" i="1"/>
  <c r="I878" i="1"/>
  <c r="R878" i="1"/>
  <c r="J878" i="1"/>
  <c r="S878" i="1"/>
  <c r="M878" i="1"/>
  <c r="N878" i="1"/>
  <c r="T878" i="1"/>
  <c r="L878" i="1"/>
  <c r="K878" i="1"/>
  <c r="I856" i="1"/>
  <c r="Q856" i="1"/>
  <c r="K856" i="1"/>
  <c r="S856" i="1"/>
  <c r="R856" i="1"/>
  <c r="T856" i="1"/>
  <c r="M856" i="1"/>
  <c r="N856" i="1"/>
  <c r="J856" i="1"/>
  <c r="L856" i="1"/>
  <c r="L1188" i="1"/>
  <c r="M1188" i="1"/>
  <c r="N1188" i="1"/>
  <c r="Q1188" i="1"/>
  <c r="J1188" i="1"/>
  <c r="S1188" i="1"/>
  <c r="K1188" i="1"/>
  <c r="T1188" i="1"/>
  <c r="I1188" i="1"/>
  <c r="R1188" i="1"/>
  <c r="M1038" i="1"/>
  <c r="N1038" i="1"/>
  <c r="Q1038" i="1"/>
  <c r="I1038" i="1"/>
  <c r="R1038" i="1"/>
  <c r="K1038" i="1"/>
  <c r="T1038" i="1"/>
  <c r="L1038" i="1"/>
  <c r="S1038" i="1"/>
  <c r="J1038" i="1"/>
  <c r="Q983" i="1"/>
  <c r="I983" i="1"/>
  <c r="R983" i="1"/>
  <c r="J983" i="1"/>
  <c r="S983" i="1"/>
  <c r="K983" i="1"/>
  <c r="T983" i="1"/>
  <c r="L983" i="1"/>
  <c r="M983" i="1"/>
  <c r="N983" i="1"/>
  <c r="Q931" i="1"/>
  <c r="I931" i="1"/>
  <c r="R931" i="1"/>
  <c r="J931" i="1"/>
  <c r="S931" i="1"/>
  <c r="K931" i="1"/>
  <c r="T931" i="1"/>
  <c r="N931" i="1"/>
  <c r="L931" i="1"/>
  <c r="M931" i="1"/>
  <c r="I868" i="1"/>
  <c r="R868" i="1"/>
  <c r="J868" i="1"/>
  <c r="S868" i="1"/>
  <c r="K868" i="1"/>
  <c r="T868" i="1"/>
  <c r="L868" i="1"/>
  <c r="M868" i="1"/>
  <c r="N868" i="1"/>
  <c r="Q868" i="1"/>
  <c r="N794" i="1"/>
  <c r="Q794" i="1"/>
  <c r="J794" i="1"/>
  <c r="S794" i="1"/>
  <c r="R794" i="1"/>
  <c r="T794" i="1"/>
  <c r="I794" i="1"/>
  <c r="K794" i="1"/>
  <c r="L794" i="1"/>
  <c r="M794" i="1"/>
  <c r="J722" i="1"/>
  <c r="S722" i="1"/>
  <c r="K722" i="1"/>
  <c r="T722" i="1"/>
  <c r="M722" i="1"/>
  <c r="N722" i="1"/>
  <c r="L722" i="1"/>
  <c r="Q722" i="1"/>
  <c r="R722" i="1"/>
  <c r="I722" i="1"/>
  <c r="Q1024" i="1"/>
  <c r="I1024" i="1"/>
  <c r="R1024" i="1"/>
  <c r="J1024" i="1"/>
  <c r="S1024" i="1"/>
  <c r="K1024" i="1"/>
  <c r="T1024" i="1"/>
  <c r="L1024" i="1"/>
  <c r="M1024" i="1"/>
  <c r="N1024" i="1"/>
  <c r="M926" i="1"/>
  <c r="N926" i="1"/>
  <c r="Q926" i="1"/>
  <c r="K926" i="1"/>
  <c r="L926" i="1"/>
  <c r="R926" i="1"/>
  <c r="S926" i="1"/>
  <c r="T926" i="1"/>
  <c r="J926" i="1"/>
  <c r="I926" i="1"/>
  <c r="L1036" i="1"/>
  <c r="M1036" i="1"/>
  <c r="N1036" i="1"/>
  <c r="Q1036" i="1"/>
  <c r="J1036" i="1"/>
  <c r="S1036" i="1"/>
  <c r="K1036" i="1"/>
  <c r="R1036" i="1"/>
  <c r="T1036" i="1"/>
  <c r="I1036" i="1"/>
  <c r="Q986" i="1"/>
  <c r="I986" i="1"/>
  <c r="R986" i="1"/>
  <c r="J986" i="1"/>
  <c r="S986" i="1"/>
  <c r="K986" i="1"/>
  <c r="T986" i="1"/>
  <c r="L986" i="1"/>
  <c r="M986" i="1"/>
  <c r="N986" i="1"/>
  <c r="L900" i="1"/>
  <c r="M900" i="1"/>
  <c r="N900" i="1"/>
  <c r="J900" i="1"/>
  <c r="K900" i="1"/>
  <c r="Q900" i="1"/>
  <c r="R900" i="1"/>
  <c r="S900" i="1"/>
  <c r="T900" i="1"/>
  <c r="I900" i="1"/>
  <c r="L1185" i="1"/>
  <c r="M1185" i="1"/>
  <c r="N1185" i="1"/>
  <c r="Q1185" i="1"/>
  <c r="I1185" i="1"/>
  <c r="J1185" i="1"/>
  <c r="K1185" i="1"/>
  <c r="R1185" i="1"/>
  <c r="S1185" i="1"/>
  <c r="T1185" i="1"/>
  <c r="Q758" i="1"/>
  <c r="I758" i="1"/>
  <c r="R758" i="1"/>
  <c r="J758" i="1"/>
  <c r="S758" i="1"/>
  <c r="L758" i="1"/>
  <c r="T758" i="1"/>
  <c r="K758" i="1"/>
  <c r="M758" i="1"/>
  <c r="N758" i="1"/>
  <c r="M764" i="1"/>
  <c r="N764" i="1"/>
  <c r="I764" i="1"/>
  <c r="R764" i="1"/>
  <c r="J764" i="1"/>
  <c r="K764" i="1"/>
  <c r="L764" i="1"/>
  <c r="Q764" i="1"/>
  <c r="S764" i="1"/>
  <c r="T764" i="1"/>
  <c r="M1084" i="1"/>
  <c r="N1084" i="1"/>
  <c r="Q1084" i="1"/>
  <c r="I1084" i="1"/>
  <c r="R1084" i="1"/>
  <c r="K1084" i="1"/>
  <c r="T1084" i="1"/>
  <c r="J1084" i="1"/>
  <c r="L1084" i="1"/>
  <c r="S1084" i="1"/>
  <c r="L842" i="1"/>
  <c r="M842" i="1"/>
  <c r="N842" i="1"/>
  <c r="J842" i="1"/>
  <c r="S842" i="1"/>
  <c r="R842" i="1"/>
  <c r="T842" i="1"/>
  <c r="K842" i="1"/>
  <c r="Q842" i="1"/>
  <c r="I842" i="1"/>
  <c r="I845" i="1"/>
  <c r="Q845" i="1"/>
  <c r="J845" i="1"/>
  <c r="R845" i="1"/>
  <c r="M845" i="1"/>
  <c r="N845" i="1"/>
  <c r="S845" i="1"/>
  <c r="T845" i="1"/>
  <c r="K845" i="1"/>
  <c r="L845" i="1"/>
  <c r="O750" i="1"/>
  <c r="O749" i="1"/>
  <c r="N1103" i="1"/>
  <c r="Q1103" i="1"/>
  <c r="I1103" i="1"/>
  <c r="R1103" i="1"/>
  <c r="J1103" i="1"/>
  <c r="S1103" i="1"/>
  <c r="L1103" i="1"/>
  <c r="K1103" i="1"/>
  <c r="M1103" i="1"/>
  <c r="T1103" i="1"/>
  <c r="M1205" i="1"/>
  <c r="N1205" i="1"/>
  <c r="I1205" i="1"/>
  <c r="R1205" i="1"/>
  <c r="J1205" i="1"/>
  <c r="K1205" i="1"/>
  <c r="L1205" i="1"/>
  <c r="T1205" i="1"/>
  <c r="S1205" i="1"/>
  <c r="Q1205" i="1"/>
  <c r="K711" i="1"/>
  <c r="T711" i="1"/>
  <c r="L711" i="1"/>
  <c r="M711" i="1"/>
  <c r="N711" i="1"/>
  <c r="Q711" i="1"/>
  <c r="I711" i="1"/>
  <c r="J711" i="1"/>
  <c r="R711" i="1"/>
  <c r="S711" i="1"/>
  <c r="J732" i="1"/>
  <c r="S732" i="1"/>
  <c r="K732" i="1"/>
  <c r="T732" i="1"/>
  <c r="M732" i="1"/>
  <c r="N732" i="1"/>
  <c r="L732" i="1"/>
  <c r="Q732" i="1"/>
  <c r="R732" i="1"/>
  <c r="I732" i="1"/>
  <c r="O744" i="1"/>
  <c r="K837" i="1"/>
  <c r="T837" i="1"/>
  <c r="M837" i="1"/>
  <c r="L837" i="1"/>
  <c r="N837" i="1"/>
  <c r="Q837" i="1"/>
  <c r="R837" i="1"/>
  <c r="I837" i="1"/>
  <c r="J837" i="1"/>
  <c r="S837" i="1"/>
  <c r="K771" i="1"/>
  <c r="S771" i="1"/>
  <c r="L771" i="1"/>
  <c r="T771" i="1"/>
  <c r="M771" i="1"/>
  <c r="N771" i="1"/>
  <c r="Q771" i="1"/>
  <c r="R771" i="1"/>
  <c r="I771" i="1"/>
  <c r="J771" i="1"/>
  <c r="Q917" i="1"/>
  <c r="I917" i="1"/>
  <c r="R917" i="1"/>
  <c r="J917" i="1"/>
  <c r="S917" i="1"/>
  <c r="K917" i="1"/>
  <c r="L917" i="1"/>
  <c r="M917" i="1"/>
  <c r="N917" i="1"/>
  <c r="T917" i="1"/>
  <c r="M889" i="1"/>
  <c r="N889" i="1"/>
  <c r="Q889" i="1"/>
  <c r="I889" i="1"/>
  <c r="R889" i="1"/>
  <c r="J889" i="1"/>
  <c r="S889" i="1"/>
  <c r="T889" i="1"/>
  <c r="K889" i="1"/>
  <c r="L889" i="1"/>
  <c r="L1236" i="1"/>
  <c r="M1236" i="1"/>
  <c r="N1236" i="1"/>
  <c r="I1236" i="1"/>
  <c r="R1236" i="1"/>
  <c r="S1236" i="1"/>
  <c r="T1236" i="1"/>
  <c r="J1236" i="1"/>
  <c r="K1236" i="1"/>
  <c r="Q1236" i="1"/>
  <c r="Q1093" i="1"/>
  <c r="I1093" i="1"/>
  <c r="R1093" i="1"/>
  <c r="J1093" i="1"/>
  <c r="S1093" i="1"/>
  <c r="K1093" i="1"/>
  <c r="T1093" i="1"/>
  <c r="L1093" i="1"/>
  <c r="N1093" i="1"/>
  <c r="M1093" i="1"/>
  <c r="Q1215" i="1"/>
  <c r="I1215" i="1"/>
  <c r="R1215" i="1"/>
  <c r="J1215" i="1"/>
  <c r="S1215" i="1"/>
  <c r="K1215" i="1"/>
  <c r="T1215" i="1"/>
  <c r="M1215" i="1"/>
  <c r="L1215" i="1"/>
  <c r="N1215" i="1"/>
  <c r="N1180" i="1"/>
  <c r="Q1180" i="1"/>
  <c r="I1180" i="1"/>
  <c r="R1180" i="1"/>
  <c r="J1180" i="1"/>
  <c r="S1180" i="1"/>
  <c r="K1180" i="1"/>
  <c r="T1180" i="1"/>
  <c r="L1180" i="1"/>
  <c r="M1180" i="1"/>
  <c r="Q930" i="1"/>
  <c r="I930" i="1"/>
  <c r="R930" i="1"/>
  <c r="J930" i="1"/>
  <c r="S930" i="1"/>
  <c r="K930" i="1"/>
  <c r="T930" i="1"/>
  <c r="N930" i="1"/>
  <c r="L930" i="1"/>
  <c r="M930" i="1"/>
  <c r="K857" i="1"/>
  <c r="T857" i="1"/>
  <c r="L857" i="1"/>
  <c r="M857" i="1"/>
  <c r="N857" i="1"/>
  <c r="R857" i="1"/>
  <c r="S857" i="1"/>
  <c r="I857" i="1"/>
  <c r="J857" i="1"/>
  <c r="Q857" i="1"/>
  <c r="N902" i="1"/>
  <c r="Q902" i="1"/>
  <c r="I902" i="1"/>
  <c r="R902" i="1"/>
  <c r="L902" i="1"/>
  <c r="M902" i="1"/>
  <c r="S902" i="1"/>
  <c r="T902" i="1"/>
  <c r="J902" i="1"/>
  <c r="K902" i="1"/>
  <c r="Q1014" i="1"/>
  <c r="I1014" i="1"/>
  <c r="R1014" i="1"/>
  <c r="J1014" i="1"/>
  <c r="S1014" i="1"/>
  <c r="K1014" i="1"/>
  <c r="T1014" i="1"/>
  <c r="L1014" i="1"/>
  <c r="N1014" i="1"/>
  <c r="M1014" i="1"/>
  <c r="M1005" i="1"/>
  <c r="N1005" i="1"/>
  <c r="Q1005" i="1"/>
  <c r="I1005" i="1"/>
  <c r="R1005" i="1"/>
  <c r="K1005" i="1"/>
  <c r="L1005" i="1"/>
  <c r="S1005" i="1"/>
  <c r="T1005" i="1"/>
  <c r="J1005" i="1"/>
  <c r="L1128" i="1"/>
  <c r="M1128" i="1"/>
  <c r="N1128" i="1"/>
  <c r="Q1128" i="1"/>
  <c r="J1128" i="1"/>
  <c r="S1128" i="1"/>
  <c r="I1128" i="1"/>
  <c r="K1128" i="1"/>
  <c r="R1128" i="1"/>
  <c r="T1128" i="1"/>
  <c r="J707" i="1"/>
  <c r="S707" i="1"/>
  <c r="K707" i="1"/>
  <c r="T707" i="1"/>
  <c r="L707" i="1"/>
  <c r="M707" i="1"/>
  <c r="N707" i="1"/>
  <c r="I707" i="1"/>
  <c r="Q707" i="1"/>
  <c r="R707" i="1"/>
  <c r="N822" i="1"/>
  <c r="I822" i="1"/>
  <c r="Q822" i="1"/>
  <c r="K822" i="1"/>
  <c r="S822" i="1"/>
  <c r="M822" i="1"/>
  <c r="R822" i="1"/>
  <c r="T822" i="1"/>
  <c r="J822" i="1"/>
  <c r="L822" i="1"/>
  <c r="I922" i="1"/>
  <c r="R922" i="1"/>
  <c r="J922" i="1"/>
  <c r="S922" i="1"/>
  <c r="K922" i="1"/>
  <c r="T922" i="1"/>
  <c r="L922" i="1"/>
  <c r="M922" i="1"/>
  <c r="Q922" i="1"/>
  <c r="N922" i="1"/>
  <c r="N1053" i="1"/>
  <c r="Q1053" i="1"/>
  <c r="I1053" i="1"/>
  <c r="R1053" i="1"/>
  <c r="J1053" i="1"/>
  <c r="S1053" i="1"/>
  <c r="L1053" i="1"/>
  <c r="K1053" i="1"/>
  <c r="M1053" i="1"/>
  <c r="T1053" i="1"/>
  <c r="N948" i="1"/>
  <c r="Q948" i="1"/>
  <c r="I948" i="1"/>
  <c r="R948" i="1"/>
  <c r="J948" i="1"/>
  <c r="S948" i="1"/>
  <c r="K948" i="1"/>
  <c r="L948" i="1"/>
  <c r="M948" i="1"/>
  <c r="T948" i="1"/>
  <c r="I730" i="1"/>
  <c r="R730" i="1"/>
  <c r="J730" i="1"/>
  <c r="S730" i="1"/>
  <c r="L730" i="1"/>
  <c r="M730" i="1"/>
  <c r="K730" i="1"/>
  <c r="N730" i="1"/>
  <c r="T730" i="1"/>
  <c r="Q730" i="1"/>
  <c r="Q1072" i="1"/>
  <c r="I1072" i="1"/>
  <c r="R1072" i="1"/>
  <c r="J1072" i="1"/>
  <c r="S1072" i="1"/>
  <c r="K1072" i="1"/>
  <c r="T1072" i="1"/>
  <c r="M1072" i="1"/>
  <c r="L1072" i="1"/>
  <c r="N1072" i="1"/>
  <c r="N742" i="1"/>
  <c r="Q742" i="1"/>
  <c r="I742" i="1"/>
  <c r="R742" i="1"/>
  <c r="J742" i="1"/>
  <c r="S742" i="1"/>
  <c r="K742" i="1"/>
  <c r="T742" i="1"/>
  <c r="L742" i="1"/>
  <c r="M742" i="1"/>
  <c r="Q1135" i="1"/>
  <c r="R1135" i="1"/>
  <c r="J1135" i="1"/>
  <c r="S1135" i="1"/>
  <c r="K1135" i="1"/>
  <c r="T1135" i="1"/>
  <c r="M1135" i="1"/>
  <c r="L1135" i="1"/>
  <c r="N1135" i="1"/>
  <c r="Q1225" i="1"/>
  <c r="I1225" i="1"/>
  <c r="R1225" i="1"/>
  <c r="J1225" i="1"/>
  <c r="S1225" i="1"/>
  <c r="L1225" i="1"/>
  <c r="T1225" i="1"/>
  <c r="K1225" i="1"/>
  <c r="M1225" i="1"/>
  <c r="N1225" i="1"/>
  <c r="K1221" i="1"/>
  <c r="T1221" i="1"/>
  <c r="L1221" i="1"/>
  <c r="M1221" i="1"/>
  <c r="N1221" i="1"/>
  <c r="Q1221" i="1"/>
  <c r="R1221" i="1"/>
  <c r="S1221" i="1"/>
  <c r="I1221" i="1"/>
  <c r="J1221" i="1"/>
  <c r="J1149" i="1"/>
  <c r="R1149" i="1"/>
  <c r="K1149" i="1"/>
  <c r="S1149" i="1"/>
  <c r="L1149" i="1"/>
  <c r="T1149" i="1"/>
  <c r="M1149" i="1"/>
  <c r="N1149" i="1"/>
  <c r="Q1149" i="1"/>
  <c r="I1149" i="1"/>
  <c r="I1173" i="1"/>
  <c r="Q1173" i="1"/>
  <c r="J1173" i="1"/>
  <c r="R1173" i="1"/>
  <c r="K1173" i="1"/>
  <c r="S1173" i="1"/>
  <c r="L1173" i="1"/>
  <c r="T1173" i="1"/>
  <c r="N1173" i="1"/>
  <c r="M1173" i="1"/>
  <c r="K1079" i="1"/>
  <c r="T1079" i="1"/>
  <c r="L1079" i="1"/>
  <c r="M1079" i="1"/>
  <c r="N1079" i="1"/>
  <c r="I1079" i="1"/>
  <c r="R1079" i="1"/>
  <c r="J1079" i="1"/>
  <c r="Q1079" i="1"/>
  <c r="S1079" i="1"/>
  <c r="J942" i="1"/>
  <c r="S942" i="1"/>
  <c r="K942" i="1"/>
  <c r="T942" i="1"/>
  <c r="I942" i="1"/>
  <c r="L942" i="1"/>
  <c r="M942" i="1"/>
  <c r="N942" i="1"/>
  <c r="Q942" i="1"/>
  <c r="R942" i="1"/>
  <c r="N1214" i="1"/>
  <c r="Q1214" i="1"/>
  <c r="I1214" i="1"/>
  <c r="R1214" i="1"/>
  <c r="J1214" i="1"/>
  <c r="S1214" i="1"/>
  <c r="L1214" i="1"/>
  <c r="M1214" i="1"/>
  <c r="K1214" i="1"/>
  <c r="T1214" i="1"/>
  <c r="K944" i="1"/>
  <c r="T944" i="1"/>
  <c r="L944" i="1"/>
  <c r="Q944" i="1"/>
  <c r="R944" i="1"/>
  <c r="S944" i="1"/>
  <c r="I944" i="1"/>
  <c r="J944" i="1"/>
  <c r="M944" i="1"/>
  <c r="N944" i="1"/>
  <c r="L1067" i="1"/>
  <c r="M1067" i="1"/>
  <c r="N1067" i="1"/>
  <c r="Q1067" i="1"/>
  <c r="J1067" i="1"/>
  <c r="S1067" i="1"/>
  <c r="I1067" i="1"/>
  <c r="K1067" i="1"/>
  <c r="R1067" i="1"/>
  <c r="T1067" i="1"/>
  <c r="L899" i="1"/>
  <c r="M899" i="1"/>
  <c r="N899" i="1"/>
  <c r="J899" i="1"/>
  <c r="K899" i="1"/>
  <c r="Q899" i="1"/>
  <c r="R899" i="1"/>
  <c r="S899" i="1"/>
  <c r="I899" i="1"/>
  <c r="T899" i="1"/>
  <c r="N1146" i="1"/>
  <c r="Q1146" i="1"/>
  <c r="I1146" i="1"/>
  <c r="R1146" i="1"/>
  <c r="K1146" i="1"/>
  <c r="T1146" i="1"/>
  <c r="L1146" i="1"/>
  <c r="J1146" i="1"/>
  <c r="M1146" i="1"/>
  <c r="S1146" i="1"/>
  <c r="I1143" i="1"/>
  <c r="R1143" i="1"/>
  <c r="J1143" i="1"/>
  <c r="S1143" i="1"/>
  <c r="K1143" i="1"/>
  <c r="T1143" i="1"/>
  <c r="L1143" i="1"/>
  <c r="N1143" i="1"/>
  <c r="M1143" i="1"/>
  <c r="Q1143" i="1"/>
  <c r="I759" i="1"/>
  <c r="R759" i="1"/>
  <c r="J759" i="1"/>
  <c r="S759" i="1"/>
  <c r="K759" i="1"/>
  <c r="T759" i="1"/>
  <c r="M759" i="1"/>
  <c r="Q759" i="1"/>
  <c r="L759" i="1"/>
  <c r="N759" i="1"/>
  <c r="I1056" i="1"/>
  <c r="R1056" i="1"/>
  <c r="J1056" i="1"/>
  <c r="S1056" i="1"/>
  <c r="K1056" i="1"/>
  <c r="T1056" i="1"/>
  <c r="L1056" i="1"/>
  <c r="M1056" i="1"/>
  <c r="N1056" i="1"/>
  <c r="Q1056" i="1"/>
  <c r="J1237" i="1"/>
  <c r="S1237" i="1"/>
  <c r="K1237" i="1"/>
  <c r="T1237" i="1"/>
  <c r="L1237" i="1"/>
  <c r="M1237" i="1"/>
  <c r="I1237" i="1"/>
  <c r="N1237" i="1"/>
  <c r="Q1237" i="1"/>
  <c r="R1237" i="1"/>
  <c r="K1197" i="1"/>
  <c r="S1197" i="1"/>
  <c r="L1197" i="1"/>
  <c r="T1197" i="1"/>
  <c r="N1197" i="1"/>
  <c r="I1197" i="1"/>
  <c r="M1197" i="1"/>
  <c r="J1197" i="1"/>
  <c r="Q1197" i="1"/>
  <c r="R1197" i="1"/>
  <c r="J1026" i="1"/>
  <c r="S1026" i="1"/>
  <c r="K1026" i="1"/>
  <c r="T1026" i="1"/>
  <c r="L1026" i="1"/>
  <c r="M1026" i="1"/>
  <c r="N1026" i="1"/>
  <c r="Q1026" i="1"/>
  <c r="R1026" i="1"/>
  <c r="I1026" i="1"/>
  <c r="N1069" i="1"/>
  <c r="Q1069" i="1"/>
  <c r="I1069" i="1"/>
  <c r="R1069" i="1"/>
  <c r="J1069" i="1"/>
  <c r="S1069" i="1"/>
  <c r="L1069" i="1"/>
  <c r="K1069" i="1"/>
  <c r="M1069" i="1"/>
  <c r="T1069" i="1"/>
  <c r="M887" i="1"/>
  <c r="N887" i="1"/>
  <c r="Q887" i="1"/>
  <c r="T887" i="1"/>
  <c r="I887" i="1"/>
  <c r="J887" i="1"/>
  <c r="K887" i="1"/>
  <c r="R887" i="1"/>
  <c r="S887" i="1"/>
  <c r="L887" i="1"/>
  <c r="Q1134" i="1"/>
  <c r="I1134" i="1"/>
  <c r="R1134" i="1"/>
  <c r="J1134" i="1"/>
  <c r="S1134" i="1"/>
  <c r="K1134" i="1"/>
  <c r="T1134" i="1"/>
  <c r="M1134" i="1"/>
  <c r="L1134" i="1"/>
  <c r="N1134" i="1"/>
  <c r="Q967" i="1"/>
  <c r="I967" i="1"/>
  <c r="R967" i="1"/>
  <c r="J967" i="1"/>
  <c r="S967" i="1"/>
  <c r="K967" i="1"/>
  <c r="T967" i="1"/>
  <c r="L967" i="1"/>
  <c r="M967" i="1"/>
  <c r="N967" i="1"/>
  <c r="M793" i="1"/>
  <c r="N793" i="1"/>
  <c r="I793" i="1"/>
  <c r="R793" i="1"/>
  <c r="Q793" i="1"/>
  <c r="S793" i="1"/>
  <c r="T793" i="1"/>
  <c r="K793" i="1"/>
  <c r="L793" i="1"/>
  <c r="J793" i="1"/>
  <c r="I987" i="1"/>
  <c r="R987" i="1"/>
  <c r="J987" i="1"/>
  <c r="S987" i="1"/>
  <c r="K987" i="1"/>
  <c r="T987" i="1"/>
  <c r="L987" i="1"/>
  <c r="M987" i="1"/>
  <c r="N987" i="1"/>
  <c r="Q987" i="1"/>
  <c r="I943" i="1"/>
  <c r="R943" i="1"/>
  <c r="J943" i="1"/>
  <c r="S943" i="1"/>
  <c r="M943" i="1"/>
  <c r="N943" i="1"/>
  <c r="Q943" i="1"/>
  <c r="T943" i="1"/>
  <c r="K943" i="1"/>
  <c r="L943" i="1"/>
  <c r="Q866" i="1"/>
  <c r="I866" i="1"/>
  <c r="R866" i="1"/>
  <c r="J866" i="1"/>
  <c r="S866" i="1"/>
  <c r="K866" i="1"/>
  <c r="T866" i="1"/>
  <c r="L866" i="1"/>
  <c r="M866" i="1"/>
  <c r="N866" i="1"/>
  <c r="N754" i="1"/>
  <c r="Q754" i="1"/>
  <c r="J754" i="1"/>
  <c r="S754" i="1"/>
  <c r="R754" i="1"/>
  <c r="T754" i="1"/>
  <c r="I754" i="1"/>
  <c r="K754" i="1"/>
  <c r="L754" i="1"/>
  <c r="M754" i="1"/>
  <c r="K1219" i="1"/>
  <c r="S1219" i="1"/>
  <c r="L1219" i="1"/>
  <c r="T1219" i="1"/>
  <c r="M1219" i="1"/>
  <c r="N1219" i="1"/>
  <c r="I1219" i="1"/>
  <c r="J1219" i="1"/>
  <c r="Q1219" i="1"/>
  <c r="R1219" i="1"/>
  <c r="Q1018" i="1"/>
  <c r="I1018" i="1"/>
  <c r="R1018" i="1"/>
  <c r="J1018" i="1"/>
  <c r="S1018" i="1"/>
  <c r="K1018" i="1"/>
  <c r="T1018" i="1"/>
  <c r="L1018" i="1"/>
  <c r="M1018" i="1"/>
  <c r="N1018" i="1"/>
  <c r="J966" i="1"/>
  <c r="S966" i="1"/>
  <c r="K966" i="1"/>
  <c r="T966" i="1"/>
  <c r="L966" i="1"/>
  <c r="M966" i="1"/>
  <c r="N966" i="1"/>
  <c r="I966" i="1"/>
  <c r="Q966" i="1"/>
  <c r="R966" i="1"/>
  <c r="I914" i="1"/>
  <c r="R914" i="1"/>
  <c r="J914" i="1"/>
  <c r="S914" i="1"/>
  <c r="K914" i="1"/>
  <c r="T914" i="1"/>
  <c r="L914" i="1"/>
  <c r="Q914" i="1"/>
  <c r="M914" i="1"/>
  <c r="N914" i="1"/>
  <c r="Q796" i="1"/>
  <c r="I796" i="1"/>
  <c r="R796" i="1"/>
  <c r="J796" i="1"/>
  <c r="S796" i="1"/>
  <c r="L796" i="1"/>
  <c r="T796" i="1"/>
  <c r="K796" i="1"/>
  <c r="M796" i="1"/>
  <c r="N796" i="1"/>
  <c r="L735" i="1"/>
  <c r="M735" i="1"/>
  <c r="Q735" i="1"/>
  <c r="N735" i="1"/>
  <c r="R735" i="1"/>
  <c r="S735" i="1"/>
  <c r="I735" i="1"/>
  <c r="J735" i="1"/>
  <c r="K735" i="1"/>
  <c r="T735" i="1"/>
  <c r="M814" i="1"/>
  <c r="N814" i="1"/>
  <c r="Q814" i="1"/>
  <c r="K814" i="1"/>
  <c r="T814" i="1"/>
  <c r="J814" i="1"/>
  <c r="L814" i="1"/>
  <c r="R814" i="1"/>
  <c r="S814" i="1"/>
  <c r="I814" i="1"/>
  <c r="K871" i="1"/>
  <c r="T871" i="1"/>
  <c r="L871" i="1"/>
  <c r="M871" i="1"/>
  <c r="N871" i="1"/>
  <c r="I871" i="1"/>
  <c r="J871" i="1"/>
  <c r="Q871" i="1"/>
  <c r="R871" i="1"/>
  <c r="S871" i="1"/>
  <c r="L802" i="1"/>
  <c r="M802" i="1"/>
  <c r="N802" i="1"/>
  <c r="Q802" i="1"/>
  <c r="I802" i="1"/>
  <c r="J802" i="1"/>
  <c r="K802" i="1"/>
  <c r="R802" i="1"/>
  <c r="S802" i="1"/>
  <c r="T802" i="1"/>
  <c r="I1034" i="1"/>
  <c r="R1034" i="1"/>
  <c r="J1034" i="1"/>
  <c r="S1034" i="1"/>
  <c r="K1034" i="1"/>
  <c r="T1034" i="1"/>
  <c r="L1034" i="1"/>
  <c r="M1034" i="1"/>
  <c r="N1034" i="1"/>
  <c r="Q1034" i="1"/>
  <c r="N959" i="1"/>
  <c r="Q959" i="1"/>
  <c r="I959" i="1"/>
  <c r="R959" i="1"/>
  <c r="J959" i="1"/>
  <c r="S959" i="1"/>
  <c r="L959" i="1"/>
  <c r="M959" i="1"/>
  <c r="T959" i="1"/>
  <c r="K959" i="1"/>
  <c r="K923" i="1"/>
  <c r="T923" i="1"/>
  <c r="L923" i="1"/>
  <c r="M923" i="1"/>
  <c r="N923" i="1"/>
  <c r="I923" i="1"/>
  <c r="J923" i="1"/>
  <c r="Q923" i="1"/>
  <c r="R923" i="1"/>
  <c r="S923" i="1"/>
  <c r="N877" i="1"/>
  <c r="Q877" i="1"/>
  <c r="I877" i="1"/>
  <c r="R877" i="1"/>
  <c r="L877" i="1"/>
  <c r="M877" i="1"/>
  <c r="S877" i="1"/>
  <c r="T877" i="1"/>
  <c r="J877" i="1"/>
  <c r="K877" i="1"/>
  <c r="J789" i="1"/>
  <c r="S789" i="1"/>
  <c r="K789" i="1"/>
  <c r="T789" i="1"/>
  <c r="L789" i="1"/>
  <c r="N789" i="1"/>
  <c r="M789" i="1"/>
  <c r="Q789" i="1"/>
  <c r="R789" i="1"/>
  <c r="I789" i="1"/>
  <c r="N1008" i="1"/>
  <c r="Q1008" i="1"/>
  <c r="I1008" i="1"/>
  <c r="R1008" i="1"/>
  <c r="J1008" i="1"/>
  <c r="S1008" i="1"/>
  <c r="L1008" i="1"/>
  <c r="M1008" i="1"/>
  <c r="T1008" i="1"/>
  <c r="K1008" i="1"/>
  <c r="K1241" i="1"/>
  <c r="T1241" i="1"/>
  <c r="L1241" i="1"/>
  <c r="M1241" i="1"/>
  <c r="N1241" i="1"/>
  <c r="I1241" i="1"/>
  <c r="J1241" i="1"/>
  <c r="Q1241" i="1"/>
  <c r="R1241" i="1"/>
  <c r="S1241" i="1"/>
  <c r="N765" i="1"/>
  <c r="Q765" i="1"/>
  <c r="J765" i="1"/>
  <c r="S765" i="1"/>
  <c r="I765" i="1"/>
  <c r="K765" i="1"/>
  <c r="L765" i="1"/>
  <c r="M765" i="1"/>
  <c r="R765" i="1"/>
  <c r="T765" i="1"/>
  <c r="M1031" i="1"/>
  <c r="Q1031" i="1"/>
  <c r="I1031" i="1"/>
  <c r="R1031" i="1"/>
  <c r="J1031" i="1"/>
  <c r="K1031" i="1"/>
  <c r="L1031" i="1"/>
  <c r="S1031" i="1"/>
  <c r="N1031" i="1"/>
  <c r="T1031" i="1"/>
  <c r="M980" i="1"/>
  <c r="N980" i="1"/>
  <c r="Q980" i="1"/>
  <c r="I980" i="1"/>
  <c r="R980" i="1"/>
  <c r="K980" i="1"/>
  <c r="L980" i="1"/>
  <c r="S980" i="1"/>
  <c r="T980" i="1"/>
  <c r="J980" i="1"/>
  <c r="K1238" i="1"/>
  <c r="T1238" i="1"/>
  <c r="L1238" i="1"/>
  <c r="M1238" i="1"/>
  <c r="N1238" i="1"/>
  <c r="I1238" i="1"/>
  <c r="J1238" i="1"/>
  <c r="Q1238" i="1"/>
  <c r="R1238" i="1"/>
  <c r="S1238" i="1"/>
  <c r="I748" i="1"/>
  <c r="R748" i="1"/>
  <c r="J748" i="1"/>
  <c r="S748" i="1"/>
  <c r="K748" i="1"/>
  <c r="T748" i="1"/>
  <c r="M748" i="1"/>
  <c r="L748" i="1"/>
  <c r="N748" i="1"/>
  <c r="Q748" i="1"/>
  <c r="Q1136" i="1"/>
  <c r="I1136" i="1"/>
  <c r="R1136" i="1"/>
  <c r="J1136" i="1"/>
  <c r="S1136" i="1"/>
  <c r="K1136" i="1"/>
  <c r="T1136" i="1"/>
  <c r="M1136" i="1"/>
  <c r="L1136" i="1"/>
  <c r="N1136" i="1"/>
  <c r="Q1164" i="1"/>
  <c r="I1164" i="1"/>
  <c r="R1164" i="1"/>
  <c r="J1164" i="1"/>
  <c r="S1164" i="1"/>
  <c r="K1164" i="1"/>
  <c r="T1164" i="1"/>
  <c r="L1164" i="1"/>
  <c r="M1164" i="1"/>
  <c r="N1164" i="1"/>
  <c r="M849" i="1"/>
  <c r="N849" i="1"/>
  <c r="Q849" i="1"/>
  <c r="K849" i="1"/>
  <c r="L849" i="1"/>
  <c r="R849" i="1"/>
  <c r="S849" i="1"/>
  <c r="T849" i="1"/>
  <c r="I849" i="1"/>
  <c r="J849" i="1"/>
  <c r="Q1148" i="1"/>
  <c r="I1148" i="1"/>
  <c r="R1148" i="1"/>
  <c r="K1148" i="1"/>
  <c r="T1148" i="1"/>
  <c r="J1148" i="1"/>
  <c r="L1148" i="1"/>
  <c r="M1148" i="1"/>
  <c r="N1148" i="1"/>
  <c r="S1148" i="1"/>
  <c r="M828" i="1"/>
  <c r="J828" i="1"/>
  <c r="S828" i="1"/>
  <c r="K828" i="1"/>
  <c r="L828" i="1"/>
  <c r="Q828" i="1"/>
  <c r="I828" i="1"/>
  <c r="N828" i="1"/>
  <c r="R828" i="1"/>
  <c r="T828" i="1"/>
  <c r="Q1065" i="1"/>
  <c r="I1065" i="1"/>
  <c r="R1065" i="1"/>
  <c r="J1065" i="1"/>
  <c r="S1065" i="1"/>
  <c r="K1065" i="1"/>
  <c r="T1065" i="1"/>
  <c r="M1065" i="1"/>
  <c r="N1065" i="1"/>
  <c r="L1065" i="1"/>
  <c r="O745" i="1"/>
  <c r="O819" i="1"/>
  <c r="O812" i="1"/>
  <c r="U334" i="1" l="1"/>
  <c r="J1245" i="1"/>
  <c r="D20" i="2" s="1"/>
  <c r="I1245" i="1"/>
  <c r="D21" i="2" s="1"/>
  <c r="M1245" i="1"/>
  <c r="D17" i="2" s="1"/>
  <c r="S1245" i="1"/>
  <c r="D11" i="2" s="1"/>
  <c r="Q1245" i="1"/>
  <c r="D9" i="2" s="1"/>
  <c r="N1245" i="1"/>
  <c r="D16" i="2" s="1"/>
  <c r="T1245" i="1"/>
  <c r="D12" i="2" s="1"/>
  <c r="K1245" i="1"/>
  <c r="D19" i="2" s="1"/>
  <c r="R1245" i="1"/>
  <c r="D10" i="2" s="1"/>
  <c r="L1245" i="1"/>
  <c r="D18" i="2" s="1"/>
  <c r="U1148" i="1"/>
  <c r="U914" i="1"/>
  <c r="O967" i="1"/>
  <c r="U1031" i="1"/>
  <c r="U1164" i="1"/>
  <c r="O866" i="1"/>
  <c r="U967" i="1"/>
  <c r="U1069" i="1"/>
  <c r="U1225" i="1"/>
  <c r="O1093" i="1"/>
  <c r="U1024" i="1"/>
  <c r="U799" i="1"/>
  <c r="U971" i="1"/>
  <c r="U1120" i="1"/>
  <c r="U824" i="1"/>
  <c r="U978" i="1"/>
  <c r="U1090" i="1"/>
  <c r="U1102" i="1"/>
  <c r="U1105" i="1"/>
  <c r="U737" i="1"/>
  <c r="U1076" i="1"/>
  <c r="U823" i="1"/>
  <c r="U1187" i="1"/>
  <c r="U1080" i="1"/>
  <c r="U835" i="1"/>
  <c r="U800" i="1"/>
  <c r="U708" i="1"/>
  <c r="U956" i="1"/>
  <c r="U999" i="1"/>
  <c r="U1125" i="1"/>
  <c r="O1075" i="1"/>
  <c r="U885" i="1"/>
  <c r="U1020" i="1"/>
  <c r="U1160" i="1"/>
  <c r="U1016" i="1"/>
  <c r="U874" i="1"/>
  <c r="U863" i="1"/>
  <c r="U1172" i="1"/>
  <c r="U1017" i="1"/>
  <c r="O1019" i="1"/>
  <c r="U785" i="1"/>
  <c r="U1141" i="1"/>
  <c r="U815" i="1"/>
  <c r="U1063" i="1"/>
  <c r="U1001" i="1"/>
  <c r="U1056" i="1"/>
  <c r="U1129" i="1"/>
  <c r="O931" i="1"/>
  <c r="U959" i="1"/>
  <c r="O942" i="1"/>
  <c r="O1221" i="1"/>
  <c r="U771" i="1"/>
  <c r="O1088" i="1"/>
  <c r="U1008" i="1"/>
  <c r="O1053" i="1"/>
  <c r="O857" i="1"/>
  <c r="U1084" i="1"/>
  <c r="U983" i="1"/>
  <c r="O1120" i="1"/>
  <c r="O702" i="1"/>
  <c r="O1138" i="1"/>
  <c r="O913" i="1"/>
  <c r="O1182" i="1"/>
  <c r="U700" i="1"/>
  <c r="U802" i="1"/>
  <c r="O796" i="1"/>
  <c r="O1146" i="1"/>
  <c r="O930" i="1"/>
  <c r="O711" i="1"/>
  <c r="O878" i="1"/>
  <c r="U1203" i="1"/>
  <c r="U736" i="1"/>
  <c r="O761" i="1"/>
  <c r="O966" i="1"/>
  <c r="U1026" i="1"/>
  <c r="O1072" i="1"/>
  <c r="O889" i="1"/>
  <c r="O1153" i="1"/>
  <c r="U829" i="1"/>
  <c r="O911" i="1"/>
  <c r="O775" i="1"/>
  <c r="U1058" i="1"/>
  <c r="U1011" i="1"/>
  <c r="U818" i="1"/>
  <c r="U1075" i="1"/>
  <c r="U973" i="1"/>
  <c r="U1019" i="1"/>
  <c r="U911" i="1"/>
  <c r="U1207" i="1"/>
  <c r="O1233" i="1"/>
  <c r="U972" i="1"/>
  <c r="U1167" i="1"/>
  <c r="O876" i="1"/>
  <c r="O901" i="1"/>
  <c r="O806" i="1"/>
  <c r="O885" i="1"/>
  <c r="O1201" i="1"/>
  <c r="U1165" i="1"/>
  <c r="U924" i="1"/>
  <c r="O1094" i="1"/>
  <c r="O714" i="1"/>
  <c r="U1153" i="1"/>
  <c r="O1010" i="1"/>
  <c r="O1133" i="1"/>
  <c r="O839" i="1"/>
  <c r="U798" i="1"/>
  <c r="U1057" i="1"/>
  <c r="U796" i="1"/>
  <c r="U707" i="1"/>
  <c r="U837" i="1"/>
  <c r="U732" i="1"/>
  <c r="U1021" i="1"/>
  <c r="U757" i="1"/>
  <c r="U869" i="1"/>
  <c r="U908" i="1"/>
  <c r="O867" i="1"/>
  <c r="U713" i="1"/>
  <c r="U989" i="1"/>
  <c r="U834" i="1"/>
  <c r="U779" i="1"/>
  <c r="U1137" i="1"/>
  <c r="U1239" i="1"/>
  <c r="U1043" i="1"/>
  <c r="U1078" i="1"/>
  <c r="U1062" i="1"/>
  <c r="O716" i="1"/>
  <c r="O792" i="1"/>
  <c r="O760" i="1"/>
  <c r="O965" i="1"/>
  <c r="U832" i="1"/>
  <c r="O1013" i="1"/>
  <c r="O1112" i="1"/>
  <c r="U1055" i="1"/>
  <c r="U1081" i="1"/>
  <c r="U918" i="1"/>
  <c r="O997" i="1"/>
  <c r="U803" i="1"/>
  <c r="O1011" i="1"/>
  <c r="O1111" i="1"/>
  <c r="O898" i="1"/>
  <c r="O1032" i="1"/>
  <c r="U941" i="1"/>
  <c r="O774" i="1"/>
  <c r="O1089" i="1"/>
  <c r="U920" i="1"/>
  <c r="O906" i="1"/>
  <c r="U937" i="1"/>
  <c r="U728" i="1"/>
  <c r="U1159" i="1"/>
  <c r="U946" i="1"/>
  <c r="U1123" i="1"/>
  <c r="U1224" i="1"/>
  <c r="U907" i="1"/>
  <c r="U795" i="1"/>
  <c r="U1051" i="1"/>
  <c r="U1115" i="1"/>
  <c r="U1133" i="1"/>
  <c r="U836" i="1"/>
  <c r="U797" i="1"/>
  <c r="O1104" i="1"/>
  <c r="U817" i="1"/>
  <c r="O949" i="1"/>
  <c r="U1044" i="1"/>
  <c r="O1099" i="1"/>
  <c r="O969" i="1"/>
  <c r="U1047" i="1"/>
  <c r="U712" i="1"/>
  <c r="U913" i="1"/>
  <c r="U833" i="1"/>
  <c r="O726" i="1"/>
  <c r="O947" i="1"/>
  <c r="O1101" i="1"/>
  <c r="O780" i="1"/>
  <c r="O1097" i="1"/>
  <c r="U921" i="1"/>
  <c r="U984" i="1"/>
  <c r="U1136" i="1"/>
  <c r="O748" i="1"/>
  <c r="O1241" i="1"/>
  <c r="O789" i="1"/>
  <c r="O877" i="1"/>
  <c r="O923" i="1"/>
  <c r="U1034" i="1"/>
  <c r="U866" i="1"/>
  <c r="U987" i="1"/>
  <c r="U887" i="1"/>
  <c r="O1197" i="1"/>
  <c r="U759" i="1"/>
  <c r="U1149" i="1"/>
  <c r="U730" i="1"/>
  <c r="U1053" i="1"/>
  <c r="O822" i="1"/>
  <c r="U822" i="1"/>
  <c r="U930" i="1"/>
  <c r="O917" i="1"/>
  <c r="U711" i="1"/>
  <c r="U1205" i="1"/>
  <c r="U845" i="1"/>
  <c r="U1185" i="1"/>
  <c r="O900" i="1"/>
  <c r="O1036" i="1"/>
  <c r="U794" i="1"/>
  <c r="U931" i="1"/>
  <c r="U1189" i="1"/>
  <c r="U915" i="1"/>
  <c r="O992" i="1"/>
  <c r="U988" i="1"/>
  <c r="O824" i="1"/>
  <c r="O770" i="1"/>
  <c r="O1130" i="1"/>
  <c r="U1170" i="1"/>
  <c r="O961" i="1"/>
  <c r="U1107" i="1"/>
  <c r="O962" i="1"/>
  <c r="U1186" i="1"/>
  <c r="U854" i="1"/>
  <c r="O747" i="1"/>
  <c r="U867" i="1"/>
  <c r="U912" i="1"/>
  <c r="O895" i="1"/>
  <c r="O1183" i="1"/>
  <c r="O844" i="1"/>
  <c r="O1158" i="1"/>
  <c r="U1158" i="1"/>
  <c r="U753" i="1"/>
  <c r="U1027" i="1"/>
  <c r="O851" i="1"/>
  <c r="U963" i="1"/>
  <c r="O1155" i="1"/>
  <c r="O1216" i="1"/>
  <c r="O1229" i="1"/>
  <c r="O751" i="1"/>
  <c r="U1111" i="1"/>
  <c r="O743" i="1"/>
  <c r="O823" i="1"/>
  <c r="U1096" i="1"/>
  <c r="O788" i="1"/>
  <c r="O1209" i="1"/>
  <c r="O1066" i="1"/>
  <c r="O1132" i="1"/>
  <c r="O1184" i="1"/>
  <c r="U936" i="1"/>
  <c r="U1166" i="1"/>
  <c r="U792" i="1"/>
  <c r="O1028" i="1"/>
  <c r="U756" i="1"/>
  <c r="O935" i="1"/>
  <c r="O1110" i="1"/>
  <c r="U762" i="1"/>
  <c r="O989" i="1"/>
  <c r="U1074" i="1"/>
  <c r="U760" i="1"/>
  <c r="O852" i="1"/>
  <c r="O718" i="1"/>
  <c r="O1243" i="1"/>
  <c r="O955" i="1"/>
  <c r="U1033" i="1"/>
  <c r="O741" i="1"/>
  <c r="U808" i="1"/>
  <c r="O1004" i="1"/>
  <c r="O805" i="1"/>
  <c r="O855" i="1"/>
  <c r="O964" i="1"/>
  <c r="O1017" i="1"/>
  <c r="O1124" i="1"/>
  <c r="O710" i="1"/>
  <c r="U1121" i="1"/>
  <c r="O1122" i="1"/>
  <c r="U774" i="1"/>
  <c r="O1144" i="1"/>
  <c r="U1118" i="1"/>
  <c r="U704" i="1"/>
  <c r="U1112" i="1"/>
  <c r="O1059" i="1"/>
  <c r="O927" i="1"/>
  <c r="U1174" i="1"/>
  <c r="U1208" i="1"/>
  <c r="U1073" i="1"/>
  <c r="O782" i="1"/>
  <c r="U873" i="1"/>
  <c r="U1114" i="1"/>
  <c r="U1242" i="1"/>
  <c r="O1100" i="1"/>
  <c r="O1142" i="1"/>
  <c r="O1224" i="1"/>
  <c r="U982" i="1"/>
  <c r="U919" i="1"/>
  <c r="O1025" i="1"/>
  <c r="U859" i="1"/>
  <c r="O1218" i="1"/>
  <c r="U780" i="1"/>
  <c r="O1115" i="1"/>
  <c r="O821" i="1"/>
  <c r="O909" i="1"/>
  <c r="O1244" i="1"/>
  <c r="O1193" i="1"/>
  <c r="O1113" i="1"/>
  <c r="O790" i="1"/>
  <c r="O1086" i="1"/>
  <c r="O1048" i="1"/>
  <c r="O1205" i="1"/>
  <c r="O1038" i="1"/>
  <c r="O934" i="1"/>
  <c r="O958" i="1"/>
  <c r="O1031" i="1"/>
  <c r="O871" i="1"/>
  <c r="U878" i="1"/>
  <c r="O858" i="1"/>
  <c r="U952" i="1"/>
  <c r="O897" i="1"/>
  <c r="O715" i="1"/>
  <c r="U961" i="1"/>
  <c r="U1182" i="1"/>
  <c r="O870" i="1"/>
  <c r="O833" i="1"/>
  <c r="O1006" i="1"/>
  <c r="U1161" i="1"/>
  <c r="O960" i="1"/>
  <c r="O1091" i="1"/>
  <c r="O825" i="1"/>
  <c r="O700" i="1"/>
  <c r="U844" i="1"/>
  <c r="O734" i="1"/>
  <c r="O810" i="1"/>
  <c r="O717" i="1"/>
  <c r="U1233" i="1"/>
  <c r="U743" i="1"/>
  <c r="O727" i="1"/>
  <c r="U883" i="1"/>
  <c r="U1194" i="1"/>
  <c r="O1211" i="1"/>
  <c r="U1200" i="1"/>
  <c r="U1209" i="1"/>
  <c r="O820" i="1"/>
  <c r="O1228" i="1"/>
  <c r="U1132" i="1"/>
  <c r="O896" i="1"/>
  <c r="O1117" i="1"/>
  <c r="U791" i="1"/>
  <c r="O826" i="1"/>
  <c r="O772" i="1"/>
  <c r="U830" i="1"/>
  <c r="O864" i="1"/>
  <c r="U1028" i="1"/>
  <c r="U968" i="1"/>
  <c r="O1042" i="1"/>
  <c r="U1150" i="1"/>
  <c r="U1204" i="1"/>
  <c r="U733" i="1"/>
  <c r="U840" i="1"/>
  <c r="O973" i="1"/>
  <c r="O1016" i="1"/>
  <c r="U1169" i="1"/>
  <c r="O1163" i="1"/>
  <c r="U955" i="1"/>
  <c r="O862" i="1"/>
  <c r="U709" i="1"/>
  <c r="O1234" i="1"/>
  <c r="O838" i="1"/>
  <c r="O720" i="1"/>
  <c r="U855" i="1"/>
  <c r="O1239" i="1"/>
  <c r="U945" i="1"/>
  <c r="O903" i="1"/>
  <c r="O1212" i="1"/>
  <c r="U1212" i="1"/>
  <c r="O1210" i="1"/>
  <c r="U998" i="1"/>
  <c r="U993" i="1"/>
  <c r="O731" i="1"/>
  <c r="O1145" i="1"/>
  <c r="U928" i="1"/>
  <c r="O881" i="1"/>
  <c r="O873" i="1"/>
  <c r="U906" i="1"/>
  <c r="O1140" i="1"/>
  <c r="O848" i="1"/>
  <c r="O1023" i="1"/>
  <c r="O982" i="1"/>
  <c r="O950" i="1"/>
  <c r="O880" i="1"/>
  <c r="O954" i="1"/>
  <c r="U804" i="1"/>
  <c r="U916" i="1"/>
  <c r="O1051" i="1"/>
  <c r="O1206" i="1"/>
  <c r="O1195" i="1"/>
  <c r="O1045" i="1"/>
  <c r="O1207" i="1"/>
  <c r="U699" i="1"/>
  <c r="U1048" i="1"/>
  <c r="O1067" i="1"/>
  <c r="U1130" i="1"/>
  <c r="U1065" i="1"/>
  <c r="U849" i="1"/>
  <c r="U1238" i="1"/>
  <c r="O980" i="1"/>
  <c r="U765" i="1"/>
  <c r="U1241" i="1"/>
  <c r="U923" i="1"/>
  <c r="O1018" i="1"/>
  <c r="U1018" i="1"/>
  <c r="O1143" i="1"/>
  <c r="U1146" i="1"/>
  <c r="O899" i="1"/>
  <c r="U944" i="1"/>
  <c r="U942" i="1"/>
  <c r="U1079" i="1"/>
  <c r="O1173" i="1"/>
  <c r="U742" i="1"/>
  <c r="U1072" i="1"/>
  <c r="O948" i="1"/>
  <c r="U1128" i="1"/>
  <c r="U1005" i="1"/>
  <c r="U902" i="1"/>
  <c r="U1093" i="1"/>
  <c r="O1236" i="1"/>
  <c r="U1103" i="1"/>
  <c r="O1185" i="1"/>
  <c r="U986" i="1"/>
  <c r="O983" i="1"/>
  <c r="U1038" i="1"/>
  <c r="O856" i="1"/>
  <c r="O971" i="1"/>
  <c r="U897" i="1"/>
  <c r="O740" i="1"/>
  <c r="U1088" i="1"/>
  <c r="U925" i="1"/>
  <c r="O978" i="1"/>
  <c r="O719" i="1"/>
  <c r="U781" i="1"/>
  <c r="O703" i="1"/>
  <c r="U1035" i="1"/>
  <c r="O739" i="1"/>
  <c r="U1061" i="1"/>
  <c r="O1061" i="1"/>
  <c r="U747" i="1"/>
  <c r="U1012" i="1"/>
  <c r="U960" i="1"/>
  <c r="O957" i="1"/>
  <c r="U825" i="1"/>
  <c r="U767" i="1"/>
  <c r="U910" i="1"/>
  <c r="U816" i="1"/>
  <c r="O786" i="1"/>
  <c r="U997" i="1"/>
  <c r="O752" i="1"/>
  <c r="O737" i="1"/>
  <c r="O860" i="1"/>
  <c r="U705" i="1"/>
  <c r="U851" i="1"/>
  <c r="O963" i="1"/>
  <c r="U1216" i="1"/>
  <c r="O932" i="1"/>
  <c r="U729" i="1"/>
  <c r="O883" i="1"/>
  <c r="U1117" i="1"/>
  <c r="O936" i="1"/>
  <c r="O891" i="1"/>
  <c r="O939" i="1"/>
  <c r="U1046" i="1"/>
  <c r="U876" i="1"/>
  <c r="O1007" i="1"/>
  <c r="O1119" i="1"/>
  <c r="O756" i="1"/>
  <c r="U898" i="1"/>
  <c r="U1003" i="1"/>
  <c r="U1042" i="1"/>
  <c r="U1157" i="1"/>
  <c r="U990" i="1"/>
  <c r="U1000" i="1"/>
  <c r="O1000" i="1"/>
  <c r="O1083" i="1"/>
  <c r="O970" i="1"/>
  <c r="U965" i="1"/>
  <c r="U1243" i="1"/>
  <c r="U1092" i="1"/>
  <c r="O832" i="1"/>
  <c r="U827" i="1"/>
  <c r="O843" i="1"/>
  <c r="O1232" i="1"/>
  <c r="U766" i="1"/>
  <c r="U904" i="1"/>
  <c r="U725" i="1"/>
  <c r="O763" i="1"/>
  <c r="O945" i="1"/>
  <c r="O991" i="1"/>
  <c r="O1039" i="1"/>
  <c r="O728" i="1"/>
  <c r="U778" i="1"/>
  <c r="O998" i="1"/>
  <c r="U1015" i="1"/>
  <c r="O1015" i="1"/>
  <c r="U1177" i="1"/>
  <c r="U807" i="1"/>
  <c r="O1154" i="1"/>
  <c r="U958" i="1"/>
  <c r="U723" i="1"/>
  <c r="O888" i="1"/>
  <c r="O933" i="1"/>
  <c r="U933" i="1"/>
  <c r="U1142" i="1"/>
  <c r="U783" i="1"/>
  <c r="U969" i="1"/>
  <c r="U773" i="1"/>
  <c r="O907" i="1"/>
  <c r="O1047" i="1"/>
  <c r="U853" i="1"/>
  <c r="O905" i="1"/>
  <c r="U905" i="1"/>
  <c r="U784" i="1"/>
  <c r="U1002" i="1"/>
  <c r="O804" i="1"/>
  <c r="O859" i="1"/>
  <c r="U977" i="1"/>
  <c r="U1010" i="1"/>
  <c r="U1101" i="1"/>
  <c r="O1055" i="1"/>
  <c r="U839" i="1"/>
  <c r="O1139" i="1"/>
  <c r="U775" i="1"/>
  <c r="O979" i="1"/>
  <c r="U1095" i="1"/>
  <c r="O776" i="1"/>
  <c r="O721" i="1"/>
  <c r="U831" i="1"/>
  <c r="U790" i="1"/>
  <c r="O1148" i="1"/>
  <c r="O793" i="1"/>
  <c r="U1214" i="1"/>
  <c r="U1221" i="1"/>
  <c r="O1103" i="1"/>
  <c r="U764" i="1"/>
  <c r="O926" i="1"/>
  <c r="U868" i="1"/>
  <c r="U748" i="1"/>
  <c r="U871" i="1"/>
  <c r="O814" i="1"/>
  <c r="O754" i="1"/>
  <c r="U1197" i="1"/>
  <c r="O759" i="1"/>
  <c r="U922" i="1"/>
  <c r="U917" i="1"/>
  <c r="O771" i="1"/>
  <c r="O845" i="1"/>
  <c r="U900" i="1"/>
  <c r="O1188" i="1"/>
  <c r="O915" i="1"/>
  <c r="U992" i="1"/>
  <c r="O1203" i="1"/>
  <c r="U740" i="1"/>
  <c r="O925" i="1"/>
  <c r="U770" i="1"/>
  <c r="O724" i="1"/>
  <c r="U1226" i="1"/>
  <c r="O1235" i="1"/>
  <c r="U872" i="1"/>
  <c r="U870" i="1"/>
  <c r="O1213" i="1"/>
  <c r="U1213" i="1"/>
  <c r="U1098" i="1"/>
  <c r="O854" i="1"/>
  <c r="O1035" i="1"/>
  <c r="U1082" i="1"/>
  <c r="O1082" i="1"/>
  <c r="O1012" i="1"/>
  <c r="U1183" i="1"/>
  <c r="U846" i="1"/>
  <c r="O1175" i="1"/>
  <c r="U786" i="1"/>
  <c r="O1041" i="1"/>
  <c r="U1041" i="1"/>
  <c r="U752" i="1"/>
  <c r="O753" i="1"/>
  <c r="O995" i="1"/>
  <c r="U995" i="1"/>
  <c r="O1196" i="1"/>
  <c r="U1196" i="1"/>
  <c r="U1155" i="1"/>
  <c r="O755" i="1"/>
  <c r="U932" i="1"/>
  <c r="U717" i="1"/>
  <c r="U751" i="1"/>
  <c r="U1131" i="1"/>
  <c r="O1131" i="1"/>
  <c r="U974" i="1"/>
  <c r="U716" i="1"/>
  <c r="U788" i="1"/>
  <c r="O1080" i="1"/>
  <c r="U820" i="1"/>
  <c r="U1228" i="1"/>
  <c r="U1066" i="1"/>
  <c r="O777" i="1"/>
  <c r="U826" i="1"/>
  <c r="O1167" i="1"/>
  <c r="U891" i="1"/>
  <c r="U801" i="1"/>
  <c r="O768" i="1"/>
  <c r="U1119" i="1"/>
  <c r="O894" i="1"/>
  <c r="U865" i="1"/>
  <c r="U1030" i="1"/>
  <c r="O1003" i="1"/>
  <c r="U847" i="1"/>
  <c r="O1087" i="1"/>
  <c r="U852" i="1"/>
  <c r="O1162" i="1"/>
  <c r="U718" i="1"/>
  <c r="O1068" i="1"/>
  <c r="U1106" i="1"/>
  <c r="O1106" i="1"/>
  <c r="U1234" i="1"/>
  <c r="O1176" i="1"/>
  <c r="U838" i="1"/>
  <c r="O850" i="1"/>
  <c r="O875" i="1"/>
  <c r="U1004" i="1"/>
  <c r="U805" i="1"/>
  <c r="O766" i="1"/>
  <c r="O904" i="1"/>
  <c r="O1116" i="1"/>
  <c r="U1116" i="1"/>
  <c r="U903" i="1"/>
  <c r="U1151" i="1"/>
  <c r="U1210" i="1"/>
  <c r="U710" i="1"/>
  <c r="U1122" i="1"/>
  <c r="O1177" i="1"/>
  <c r="U1144" i="1"/>
  <c r="O994" i="1"/>
  <c r="U1059" i="1"/>
  <c r="O1009" i="1"/>
  <c r="O1029" i="1"/>
  <c r="O1050" i="1"/>
  <c r="U1050" i="1"/>
  <c r="U1202" i="1"/>
  <c r="U1178" i="1"/>
  <c r="U1230" i="1"/>
  <c r="U1126" i="1"/>
  <c r="O1190" i="1"/>
  <c r="U1037" i="1"/>
  <c r="O1152" i="1"/>
  <c r="U782" i="1"/>
  <c r="O1022" i="1"/>
  <c r="O1240" i="1"/>
  <c r="U888" i="1"/>
  <c r="U1100" i="1"/>
  <c r="U1140" i="1"/>
  <c r="U706" i="1"/>
  <c r="O919" i="1"/>
  <c r="U1222" i="1"/>
  <c r="O1171" i="1"/>
  <c r="U1218" i="1"/>
  <c r="U821" i="1"/>
  <c r="U1109" i="1"/>
  <c r="U1085" i="1"/>
  <c r="U1113" i="1"/>
  <c r="O831" i="1"/>
  <c r="O984" i="1"/>
  <c r="O1057" i="1"/>
  <c r="U1086" i="1"/>
  <c r="O836" i="1"/>
  <c r="O732" i="1"/>
  <c r="O1217" i="1"/>
  <c r="O1129" i="1"/>
  <c r="O801" i="1"/>
  <c r="O784" i="1"/>
  <c r="O742" i="1"/>
  <c r="O1005" i="1"/>
  <c r="O794" i="1"/>
  <c r="U856" i="1"/>
  <c r="O1065" i="1"/>
  <c r="O849" i="1"/>
  <c r="O1008" i="1"/>
  <c r="O1034" i="1"/>
  <c r="O802" i="1"/>
  <c r="U735" i="1"/>
  <c r="O914" i="1"/>
  <c r="U1219" i="1"/>
  <c r="U754" i="1"/>
  <c r="O987" i="1"/>
  <c r="U793" i="1"/>
  <c r="O1134" i="1"/>
  <c r="O1026" i="1"/>
  <c r="U1237" i="1"/>
  <c r="U1143" i="1"/>
  <c r="U1067" i="1"/>
  <c r="O1214" i="1"/>
  <c r="U1173" i="1"/>
  <c r="O1135" i="1"/>
  <c r="O730" i="1"/>
  <c r="O1014" i="1"/>
  <c r="O1180" i="1"/>
  <c r="U889" i="1"/>
  <c r="O837" i="1"/>
  <c r="U842" i="1"/>
  <c r="O842" i="1"/>
  <c r="O1084" i="1"/>
  <c r="U926" i="1"/>
  <c r="O908" i="1"/>
  <c r="U1217" i="1"/>
  <c r="O1226" i="1"/>
  <c r="U719" i="1"/>
  <c r="U962" i="1"/>
  <c r="U1231" i="1"/>
  <c r="O1186" i="1"/>
  <c r="O951" i="1"/>
  <c r="U1199" i="1"/>
  <c r="O1161" i="1"/>
  <c r="O918" i="1"/>
  <c r="U761" i="1"/>
  <c r="U1138" i="1"/>
  <c r="O1040" i="1"/>
  <c r="O797" i="1"/>
  <c r="O893" i="1"/>
  <c r="O803" i="1"/>
  <c r="U882" i="1"/>
  <c r="U1229" i="1"/>
  <c r="O1078" i="1"/>
  <c r="O879" i="1"/>
  <c r="O1187" i="1"/>
  <c r="O972" i="1"/>
  <c r="O835" i="1"/>
  <c r="U929" i="1"/>
  <c r="O1200" i="1"/>
  <c r="O886" i="1"/>
  <c r="U886" i="1"/>
  <c r="O800" i="1"/>
  <c r="O1191" i="1"/>
  <c r="O708" i="1"/>
  <c r="O956" i="1"/>
  <c r="O861" i="1"/>
  <c r="O791" i="1"/>
  <c r="O818" i="1"/>
  <c r="U777" i="1"/>
  <c r="O1166" i="1"/>
  <c r="O1168" i="1"/>
  <c r="U772" i="1"/>
  <c r="O830" i="1"/>
  <c r="U864" i="1"/>
  <c r="U894" i="1"/>
  <c r="O865" i="1"/>
  <c r="U935" i="1"/>
  <c r="O1150" i="1"/>
  <c r="O990" i="1"/>
  <c r="U1087" i="1"/>
  <c r="U1201" i="1"/>
  <c r="O1020" i="1"/>
  <c r="U1162" i="1"/>
  <c r="O874" i="1"/>
  <c r="O1127" i="1"/>
  <c r="O1137" i="1"/>
  <c r="U1068" i="1"/>
  <c r="O827" i="1"/>
  <c r="O809" i="1"/>
  <c r="O1070" i="1"/>
  <c r="O1172" i="1"/>
  <c r="U953" i="1"/>
  <c r="U720" i="1"/>
  <c r="U1013" i="1"/>
  <c r="U763" i="1"/>
  <c r="O1049" i="1"/>
  <c r="U1049" i="1"/>
  <c r="U1094" i="1"/>
  <c r="U890" i="1"/>
  <c r="O1044" i="1"/>
  <c r="O884" i="1"/>
  <c r="O1159" i="1"/>
  <c r="U731" i="1"/>
  <c r="U1145" i="1"/>
  <c r="O946" i="1"/>
  <c r="O1043" i="1"/>
  <c r="U1009" i="1"/>
  <c r="U1089" i="1"/>
  <c r="O1179" i="1"/>
  <c r="O976" i="1"/>
  <c r="O1037" i="1"/>
  <c r="U1240" i="1"/>
  <c r="U1099" i="1"/>
  <c r="U848" i="1"/>
  <c r="O738" i="1"/>
  <c r="O783" i="1"/>
  <c r="U1023" i="1"/>
  <c r="O773" i="1"/>
  <c r="O795" i="1"/>
  <c r="O712" i="1"/>
  <c r="U954" i="1"/>
  <c r="O815" i="1"/>
  <c r="O916" i="1"/>
  <c r="U947" i="1"/>
  <c r="U1171" i="1"/>
  <c r="O1156" i="1"/>
  <c r="O1054" i="1"/>
  <c r="U1206" i="1"/>
  <c r="O1181" i="1"/>
  <c r="O1109" i="1"/>
  <c r="O1085" i="1"/>
  <c r="U1195" i="1"/>
  <c r="U1244" i="1"/>
  <c r="U1045" i="1"/>
  <c r="O921" i="1"/>
  <c r="U776" i="1"/>
  <c r="U1193" i="1"/>
  <c r="O798" i="1"/>
  <c r="O699" i="1"/>
  <c r="O1136" i="1"/>
  <c r="O1198" i="1"/>
  <c r="O902" i="1"/>
  <c r="U828" i="1"/>
  <c r="O828" i="1"/>
  <c r="U980" i="1"/>
  <c r="U789" i="1"/>
  <c r="U877" i="1"/>
  <c r="O959" i="1"/>
  <c r="O1219" i="1"/>
  <c r="U943" i="1"/>
  <c r="U1134" i="1"/>
  <c r="O887" i="1"/>
  <c r="U899" i="1"/>
  <c r="O944" i="1"/>
  <c r="O1079" i="1"/>
  <c r="U1135" i="1"/>
  <c r="U948" i="1"/>
  <c r="O1128" i="1"/>
  <c r="U1014" i="1"/>
  <c r="U857" i="1"/>
  <c r="U1180" i="1"/>
  <c r="U1236" i="1"/>
  <c r="O764" i="1"/>
  <c r="O1189" i="1"/>
  <c r="O799" i="1"/>
  <c r="O757" i="1"/>
  <c r="U715" i="1"/>
  <c r="O1170" i="1"/>
  <c r="U1235" i="1"/>
  <c r="O872" i="1"/>
  <c r="O1107" i="1"/>
  <c r="O781" i="1"/>
  <c r="U702" i="1"/>
  <c r="O1231" i="1"/>
  <c r="U1006" i="1"/>
  <c r="O1098" i="1"/>
  <c r="U739" i="1"/>
  <c r="O1199" i="1"/>
  <c r="O975" i="1"/>
  <c r="O787" i="1"/>
  <c r="U957" i="1"/>
  <c r="O841" i="1"/>
  <c r="O846" i="1"/>
  <c r="O767" i="1"/>
  <c r="O910" i="1"/>
  <c r="O996" i="1"/>
  <c r="U1040" i="1"/>
  <c r="O816" i="1"/>
  <c r="O937" i="1"/>
  <c r="U734" i="1"/>
  <c r="U934" i="1"/>
  <c r="O981" i="1"/>
  <c r="O705" i="1"/>
  <c r="O882" i="1"/>
  <c r="U810" i="1"/>
  <c r="U755" i="1"/>
  <c r="O974" i="1"/>
  <c r="O1223" i="1"/>
  <c r="O729" i="1"/>
  <c r="O1096" i="1"/>
  <c r="O1071" i="1"/>
  <c r="O929" i="1"/>
  <c r="O1194" i="1"/>
  <c r="U1184" i="1"/>
  <c r="U1168" i="1"/>
  <c r="U939" i="1"/>
  <c r="O1046" i="1"/>
  <c r="U940" i="1"/>
  <c r="O892" i="1"/>
  <c r="U901" i="1"/>
  <c r="U938" i="1"/>
  <c r="U1007" i="1"/>
  <c r="U1227" i="1"/>
  <c r="O701" i="1"/>
  <c r="O985" i="1"/>
  <c r="O1157" i="1"/>
  <c r="O1204" i="1"/>
  <c r="O1074" i="1"/>
  <c r="O733" i="1"/>
  <c r="O834" i="1"/>
  <c r="U1083" i="1"/>
  <c r="O779" i="1"/>
  <c r="U970" i="1"/>
  <c r="O1160" i="1"/>
  <c r="O1092" i="1"/>
  <c r="U1127" i="1"/>
  <c r="U741" i="1"/>
  <c r="O1108" i="1"/>
  <c r="O808" i="1"/>
  <c r="U1070" i="1"/>
  <c r="U843" i="1"/>
  <c r="U850" i="1"/>
  <c r="O1165" i="1"/>
  <c r="U1232" i="1"/>
  <c r="U949" i="1"/>
  <c r="O941" i="1"/>
  <c r="O725" i="1"/>
  <c r="U991" i="1"/>
  <c r="U1039" i="1"/>
  <c r="U964" i="1"/>
  <c r="O924" i="1"/>
  <c r="O890" i="1"/>
  <c r="O1121" i="1"/>
  <c r="U884" i="1"/>
  <c r="O807" i="1"/>
  <c r="O1118" i="1"/>
  <c r="U1154" i="1"/>
  <c r="O704" i="1"/>
  <c r="U714" i="1"/>
  <c r="U1029" i="1"/>
  <c r="U927" i="1"/>
  <c r="O1174" i="1"/>
  <c r="O1208" i="1"/>
  <c r="U1179" i="1"/>
  <c r="O920" i="1"/>
  <c r="O1123" i="1"/>
  <c r="O1114" i="1"/>
  <c r="U1022" i="1"/>
  <c r="O829" i="1"/>
  <c r="U738" i="1"/>
  <c r="U950" i="1"/>
  <c r="O1222" i="1"/>
  <c r="U1156" i="1"/>
  <c r="U1054" i="1"/>
  <c r="U1052" i="1"/>
  <c r="O1052" i="1"/>
  <c r="U1181" i="1"/>
  <c r="U979" i="1"/>
  <c r="O1095" i="1"/>
  <c r="U721" i="1"/>
  <c r="U1064" i="1"/>
  <c r="U861" i="1"/>
  <c r="O713" i="1"/>
  <c r="O847" i="1"/>
  <c r="O765" i="1"/>
  <c r="O1237" i="1"/>
  <c r="U1215" i="1"/>
  <c r="U1036" i="1"/>
  <c r="O988" i="1"/>
  <c r="O1164" i="1"/>
  <c r="O1238" i="1"/>
  <c r="U814" i="1"/>
  <c r="O735" i="1"/>
  <c r="U966" i="1"/>
  <c r="O943" i="1"/>
  <c r="O1069" i="1"/>
  <c r="O1056" i="1"/>
  <c r="O1149" i="1"/>
  <c r="O1225" i="1"/>
  <c r="O922" i="1"/>
  <c r="O707" i="1"/>
  <c r="O1215" i="1"/>
  <c r="U758" i="1"/>
  <c r="O758" i="1"/>
  <c r="O986" i="1"/>
  <c r="O1024" i="1"/>
  <c r="U722" i="1"/>
  <c r="O722" i="1"/>
  <c r="O868" i="1"/>
  <c r="U1188" i="1"/>
  <c r="U858" i="1"/>
  <c r="O1021" i="1"/>
  <c r="O869" i="1"/>
  <c r="O952" i="1"/>
  <c r="U724" i="1"/>
  <c r="O1081" i="1"/>
  <c r="O1090" i="1"/>
  <c r="O1102" i="1"/>
  <c r="O736" i="1"/>
  <c r="U703" i="1"/>
  <c r="U951" i="1"/>
  <c r="U975" i="1"/>
  <c r="U787" i="1"/>
  <c r="O1105" i="1"/>
  <c r="U1091" i="1"/>
  <c r="O912" i="1"/>
  <c r="U895" i="1"/>
  <c r="U841" i="1"/>
  <c r="U1175" i="1"/>
  <c r="U996" i="1"/>
  <c r="U893" i="1"/>
  <c r="U860" i="1"/>
  <c r="U981" i="1"/>
  <c r="O1027" i="1"/>
  <c r="U1104" i="1"/>
  <c r="O1076" i="1"/>
  <c r="O1062" i="1"/>
  <c r="U727" i="1"/>
  <c r="U879" i="1"/>
  <c r="U1223" i="1"/>
  <c r="U1071" i="1"/>
  <c r="U1211" i="1"/>
  <c r="O817" i="1"/>
  <c r="U1191" i="1"/>
  <c r="U896" i="1"/>
  <c r="O999" i="1"/>
  <c r="U1220" i="1"/>
  <c r="O1220" i="1"/>
  <c r="O940" i="1"/>
  <c r="U892" i="1"/>
  <c r="O938" i="1"/>
  <c r="U768" i="1"/>
  <c r="O1227" i="1"/>
  <c r="U701" i="1"/>
  <c r="U985" i="1"/>
  <c r="O1030" i="1"/>
  <c r="U1192" i="1"/>
  <c r="O1192" i="1"/>
  <c r="O968" i="1"/>
  <c r="O1125" i="1"/>
  <c r="U1110" i="1"/>
  <c r="U1198" i="1"/>
  <c r="O762" i="1"/>
  <c r="O1147" i="1"/>
  <c r="U1147" i="1"/>
  <c r="U806" i="1"/>
  <c r="O840" i="1"/>
  <c r="O1169" i="1"/>
  <c r="U1163" i="1"/>
  <c r="U862" i="1"/>
  <c r="O1033" i="1"/>
  <c r="U1108" i="1"/>
  <c r="O709" i="1"/>
  <c r="U1176" i="1"/>
  <c r="O863" i="1"/>
  <c r="U809" i="1"/>
  <c r="U875" i="1"/>
  <c r="O953" i="1"/>
  <c r="U1032" i="1"/>
  <c r="O778" i="1"/>
  <c r="U1124" i="1"/>
  <c r="O1151" i="1"/>
  <c r="U726" i="1"/>
  <c r="O993" i="1"/>
  <c r="U994" i="1"/>
  <c r="O785" i="1"/>
  <c r="O1202" i="1"/>
  <c r="O1178" i="1"/>
  <c r="O1230" i="1"/>
  <c r="O928" i="1"/>
  <c r="O1073" i="1"/>
  <c r="O1126" i="1"/>
  <c r="O723" i="1"/>
  <c r="U881" i="1"/>
  <c r="U1190" i="1"/>
  <c r="U976" i="1"/>
  <c r="U1152" i="1"/>
  <c r="O1242" i="1"/>
  <c r="O706" i="1"/>
  <c r="O853" i="1"/>
  <c r="U1025" i="1"/>
  <c r="O1141" i="1"/>
  <c r="U880" i="1"/>
  <c r="O1002" i="1"/>
  <c r="O977" i="1"/>
  <c r="U1097" i="1"/>
  <c r="O1063" i="1"/>
  <c r="U909" i="1"/>
  <c r="U1060" i="1"/>
  <c r="O1060" i="1"/>
  <c r="U1139" i="1"/>
  <c r="O1058" i="1"/>
  <c r="O1001" i="1"/>
  <c r="O1064" i="1"/>
  <c r="O1245" i="1" l="1"/>
  <c r="U1245" i="1"/>
  <c r="D6" i="2"/>
  <c r="D14" i="2"/>
  <c r="D24" i="2" l="1"/>
  <c r="E12" i="2" l="1"/>
  <c r="E18" i="2"/>
  <c r="E8" i="2"/>
  <c r="E17" i="2"/>
  <c r="E10" i="2"/>
  <c r="E24" i="2"/>
  <c r="E11" i="2"/>
  <c r="E20" i="2"/>
  <c r="E9" i="2"/>
  <c r="E22" i="2"/>
  <c r="E21" i="2"/>
  <c r="E19" i="2"/>
  <c r="E6" i="2"/>
  <c r="E16" i="2"/>
  <c r="E14" i="2"/>
  <c r="S163" i="2"/>
  <c r="T163" i="2" s="1"/>
  <c r="S185" i="2"/>
  <c r="T185" i="2" s="1"/>
  <c r="S187" i="2" l="1"/>
  <c r="T187" i="2" s="1"/>
  <c r="S132" i="2"/>
  <c r="T132" i="2" s="1"/>
  <c r="S115" i="2"/>
  <c r="T115" i="2" s="1"/>
  <c r="S203" i="2"/>
  <c r="T203" i="2" s="1"/>
  <c r="S194" i="2"/>
  <c r="T194" i="2" s="1"/>
  <c r="S168" i="2"/>
  <c r="T168" i="2" s="1"/>
  <c r="S161" i="2"/>
  <c r="T161" i="2" s="1"/>
  <c r="S152" i="2"/>
  <c r="T152" i="2" s="1"/>
  <c r="S142" i="2"/>
  <c r="T142" i="2" s="1"/>
  <c r="S123" i="2"/>
  <c r="T123" i="2" s="1"/>
  <c r="S113" i="2"/>
  <c r="T113" i="2" s="1"/>
  <c r="S80" i="2"/>
  <c r="T80" i="2" s="1"/>
  <c r="S71" i="2"/>
  <c r="T71" i="2" s="1"/>
  <c r="S198" i="2"/>
  <c r="T198" i="2" s="1"/>
  <c r="S181" i="2"/>
  <c r="T181" i="2" s="1"/>
  <c r="S172" i="2"/>
  <c r="T172" i="2" s="1"/>
  <c r="S105" i="2"/>
  <c r="T105" i="2" s="1"/>
  <c r="S93" i="2"/>
  <c r="T93" i="2" s="1"/>
  <c r="S57" i="2"/>
  <c r="T57" i="2" s="1"/>
  <c r="S49" i="2"/>
  <c r="T49" i="2" s="1"/>
  <c r="S82" i="2"/>
  <c r="T82" i="2" s="1"/>
  <c r="S65" i="2"/>
  <c r="T65" i="2" s="1"/>
  <c r="S108" i="2"/>
  <c r="T108" i="2" s="1"/>
  <c r="S206" i="2"/>
  <c r="T206" i="2" s="1"/>
  <c r="S205" i="2"/>
  <c r="T205" i="2" s="1"/>
  <c r="S204" i="2"/>
  <c r="T204" i="2" s="1"/>
  <c r="S202" i="2"/>
  <c r="T202" i="2" s="1"/>
  <c r="S201" i="2"/>
  <c r="T201" i="2" s="1"/>
  <c r="S200" i="2"/>
  <c r="T200" i="2" s="1"/>
  <c r="S199" i="2"/>
  <c r="T199" i="2" s="1"/>
  <c r="S197" i="2"/>
  <c r="T197" i="2" s="1"/>
  <c r="S196" i="2"/>
  <c r="T196" i="2" s="1"/>
  <c r="S195" i="2"/>
  <c r="T195" i="2" s="1"/>
  <c r="S193" i="2"/>
  <c r="T193" i="2" s="1"/>
  <c r="S192" i="2"/>
  <c r="T192" i="2" s="1"/>
  <c r="S191" i="2"/>
  <c r="T191" i="2" s="1"/>
  <c r="S190" i="2"/>
  <c r="T190" i="2" s="1"/>
  <c r="S189" i="2"/>
  <c r="T189" i="2" s="1"/>
  <c r="S188" i="2"/>
  <c r="T188" i="2" s="1"/>
  <c r="S186" i="2"/>
  <c r="T186" i="2" s="1"/>
  <c r="S184" i="2"/>
  <c r="T184" i="2" s="1"/>
  <c r="S183" i="2"/>
  <c r="T183" i="2" s="1"/>
  <c r="S182" i="2"/>
  <c r="T182" i="2" s="1"/>
  <c r="S180" i="2"/>
  <c r="T180" i="2" s="1"/>
  <c r="S179" i="2"/>
  <c r="T179" i="2" s="1"/>
  <c r="S178" i="2"/>
  <c r="T178" i="2" s="1"/>
  <c r="S177" i="2"/>
  <c r="T177" i="2" s="1"/>
  <c r="S176" i="2"/>
  <c r="T176" i="2" s="1"/>
  <c r="S175" i="2"/>
  <c r="T175" i="2" s="1"/>
  <c r="S174" i="2"/>
  <c r="T174" i="2" s="1"/>
  <c r="S173" i="2"/>
  <c r="T173" i="2" s="1"/>
  <c r="S171" i="2"/>
  <c r="T171" i="2" s="1"/>
  <c r="S170" i="2"/>
  <c r="T170" i="2" s="1"/>
  <c r="S169" i="2"/>
  <c r="T169" i="2" s="1"/>
  <c r="S167" i="2"/>
  <c r="T167" i="2" s="1"/>
  <c r="S166" i="2"/>
  <c r="T166" i="2" s="1"/>
  <c r="S165" i="2"/>
  <c r="T165" i="2" s="1"/>
  <c r="S164" i="2"/>
  <c r="T164" i="2" s="1"/>
  <c r="S162" i="2"/>
  <c r="T162" i="2" s="1"/>
  <c r="S160" i="2"/>
  <c r="T160" i="2" s="1"/>
  <c r="S159" i="2"/>
  <c r="T159" i="2" s="1"/>
  <c r="S158" i="2"/>
  <c r="T158" i="2" s="1"/>
  <c r="S157" i="2"/>
  <c r="T157" i="2" s="1"/>
  <c r="S156" i="2"/>
  <c r="T156" i="2" s="1"/>
  <c r="S155" i="2"/>
  <c r="T155" i="2" s="1"/>
  <c r="S154" i="2"/>
  <c r="T154" i="2" s="1"/>
  <c r="S153" i="2"/>
  <c r="T153" i="2" s="1"/>
  <c r="S151" i="2"/>
  <c r="T151" i="2" s="1"/>
  <c r="S150" i="2"/>
  <c r="T150" i="2" s="1"/>
  <c r="S149" i="2"/>
  <c r="T149" i="2" s="1"/>
  <c r="S147" i="2"/>
  <c r="T147" i="2" s="1"/>
  <c r="S146" i="2"/>
  <c r="T146" i="2" s="1"/>
  <c r="S145" i="2"/>
  <c r="T145" i="2" s="1"/>
  <c r="S144" i="2"/>
  <c r="T144" i="2" s="1"/>
  <c r="S140" i="2"/>
  <c r="T140" i="2" s="1"/>
  <c r="S139" i="2"/>
  <c r="T139" i="2" s="1"/>
  <c r="S138" i="2"/>
  <c r="T138" i="2" s="1"/>
  <c r="S137" i="2"/>
  <c r="T137" i="2" s="1"/>
  <c r="S136" i="2"/>
  <c r="T136" i="2" s="1"/>
  <c r="S135" i="2"/>
  <c r="T135" i="2" s="1"/>
  <c r="S131" i="2"/>
  <c r="T131" i="2" s="1"/>
  <c r="S130" i="2"/>
  <c r="T130" i="2" s="1"/>
  <c r="S129" i="2"/>
  <c r="T129" i="2" s="1"/>
  <c r="S128" i="2"/>
  <c r="T128" i="2" s="1"/>
  <c r="S127" i="2"/>
  <c r="T127" i="2" s="1"/>
  <c r="S126" i="2"/>
  <c r="T126" i="2" s="1"/>
  <c r="S125" i="2"/>
  <c r="T125" i="2" s="1"/>
  <c r="S122" i="2"/>
  <c r="T122" i="2" s="1"/>
  <c r="S121" i="2"/>
  <c r="T121" i="2" s="1"/>
  <c r="S120" i="2"/>
  <c r="T120" i="2" s="1"/>
  <c r="S119" i="2"/>
  <c r="T119" i="2" s="1"/>
  <c r="S117" i="2"/>
  <c r="T117" i="2" s="1"/>
  <c r="S116" i="2"/>
  <c r="T116" i="2" s="1"/>
  <c r="S114" i="2"/>
  <c r="T114" i="2" s="1"/>
  <c r="S112" i="2"/>
  <c r="T112" i="2" s="1"/>
  <c r="S110" i="2"/>
  <c r="T110" i="2" s="1"/>
  <c r="S109" i="2"/>
  <c r="T109" i="2" s="1"/>
  <c r="S107" i="2"/>
  <c r="T107" i="2" s="1"/>
  <c r="S106" i="2"/>
  <c r="T106" i="2" s="1"/>
  <c r="S104" i="2"/>
  <c r="T104" i="2" s="1"/>
  <c r="S103" i="2"/>
  <c r="T103" i="2" s="1"/>
  <c r="S101" i="2"/>
  <c r="T101" i="2" s="1"/>
  <c r="S100" i="2"/>
  <c r="T100" i="2" s="1"/>
  <c r="S99" i="2"/>
  <c r="T99" i="2" s="1"/>
  <c r="S97" i="2"/>
  <c r="T97" i="2" s="1"/>
  <c r="S96" i="2"/>
  <c r="T96" i="2" s="1"/>
  <c r="S95" i="2"/>
  <c r="T95" i="2" s="1"/>
  <c r="S94" i="2"/>
  <c r="T94" i="2" s="1"/>
  <c r="S92" i="2"/>
  <c r="T92" i="2" s="1"/>
  <c r="S91" i="2"/>
  <c r="T91" i="2" s="1"/>
  <c r="S90" i="2"/>
  <c r="T90" i="2" s="1"/>
  <c r="S88" i="2"/>
  <c r="T88" i="2" s="1"/>
  <c r="S87" i="2"/>
  <c r="T87" i="2" s="1"/>
  <c r="S86" i="2"/>
  <c r="T86" i="2" s="1"/>
  <c r="S85" i="2"/>
  <c r="T85" i="2" s="1"/>
  <c r="S83" i="2"/>
  <c r="T83" i="2" s="1"/>
  <c r="S81" i="2"/>
  <c r="T81" i="2" s="1"/>
  <c r="S79" i="2"/>
  <c r="T79" i="2" s="1"/>
  <c r="S78" i="2"/>
  <c r="T78" i="2" s="1"/>
  <c r="S77" i="2"/>
  <c r="T77" i="2" s="1"/>
  <c r="S75" i="2"/>
  <c r="T75" i="2" s="1"/>
  <c r="S74" i="2"/>
  <c r="T74" i="2" s="1"/>
  <c r="S73" i="2"/>
  <c r="T73" i="2" s="1"/>
  <c r="S72" i="2"/>
  <c r="T72" i="2" s="1"/>
  <c r="S70" i="2"/>
  <c r="T70" i="2" s="1"/>
  <c r="S69" i="2"/>
  <c r="T69" i="2" s="1"/>
  <c r="S68" i="2"/>
  <c r="T68" i="2" s="1"/>
  <c r="S67" i="2"/>
  <c r="T67" i="2" s="1"/>
  <c r="S66" i="2"/>
  <c r="T66" i="2" s="1"/>
  <c r="S64" i="2"/>
  <c r="T64" i="2" s="1"/>
  <c r="S63" i="2"/>
  <c r="T63" i="2" s="1"/>
  <c r="S60" i="2"/>
  <c r="T60" i="2" s="1"/>
  <c r="S59" i="2"/>
  <c r="T59" i="2" s="1"/>
  <c r="S58" i="2"/>
  <c r="T58" i="2" s="1"/>
  <c r="S56" i="2"/>
  <c r="T56" i="2" s="1"/>
  <c r="S55" i="2"/>
  <c r="T55" i="2" s="1"/>
  <c r="S54" i="2"/>
  <c r="T54" i="2" s="1"/>
  <c r="S53" i="2"/>
  <c r="T53" i="2" s="1"/>
  <c r="S50" i="2"/>
  <c r="T50" i="2" s="1"/>
  <c r="S47" i="2"/>
  <c r="T47" i="2" s="1"/>
  <c r="S46" i="2"/>
  <c r="T46" i="2" s="1"/>
  <c r="S45" i="2"/>
  <c r="T45" i="2" s="1"/>
  <c r="S44" i="2"/>
  <c r="T44" i="2" s="1"/>
  <c r="S43" i="2"/>
  <c r="T43" i="2" s="1"/>
  <c r="S42" i="2"/>
  <c r="T42" i="2" s="1"/>
  <c r="S41" i="2"/>
  <c r="T41" i="2" s="1"/>
  <c r="S40" i="2"/>
  <c r="T40" i="2" s="1"/>
  <c r="S39" i="2"/>
  <c r="T39" i="2" s="1"/>
  <c r="S38" i="2"/>
  <c r="T38" i="2" s="1"/>
  <c r="S37" i="2"/>
  <c r="T37" i="2" s="1"/>
  <c r="S36" i="2"/>
  <c r="T36" i="2" s="1"/>
  <c r="S35" i="2"/>
  <c r="T35" i="2" s="1"/>
  <c r="S34" i="2"/>
  <c r="T34" i="2" s="1"/>
  <c r="D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Terco Grant Thornton</author>
  </authors>
  <commentList>
    <comment ref="D4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 xml:space="preserve">inserir data base 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<sst xmlns="http://schemas.openxmlformats.org/spreadsheetml/2006/main" count="3753" uniqueCount="1813">
  <si>
    <t>TOTAL</t>
  </si>
  <si>
    <t>Emissão</t>
  </si>
  <si>
    <t>121 a 150 dias</t>
  </si>
  <si>
    <t>151 a 180 dias</t>
  </si>
  <si>
    <t>acima de  120 dias</t>
  </si>
  <si>
    <t>Valor - R$</t>
  </si>
  <si>
    <t>Descrição</t>
  </si>
  <si>
    <t>% repres.</t>
  </si>
  <si>
    <t>de 0 a 30 dias</t>
  </si>
  <si>
    <t>de 31 a 60 dias</t>
  </si>
  <si>
    <t>de 61 a 90 dias</t>
  </si>
  <si>
    <t>de 91 a 120 dias</t>
  </si>
  <si>
    <t>acima de 120 dias</t>
  </si>
  <si>
    <t>A vencer</t>
  </si>
  <si>
    <t>Total clientes</t>
  </si>
  <si>
    <t>( = ) Variação</t>
  </si>
  <si>
    <t>Vencidos</t>
  </si>
  <si>
    <t>Vincendo</t>
  </si>
  <si>
    <t>Cliente</t>
  </si>
  <si>
    <t>Nota Fiscal</t>
  </si>
  <si>
    <t>Vencimento</t>
  </si>
  <si>
    <t>Dias Vencido</t>
  </si>
  <si>
    <t>91 a 120 dias</t>
  </si>
  <si>
    <t>61 a 90 dias</t>
  </si>
  <si>
    <t>31 a 60 dias</t>
  </si>
  <si>
    <t>30 dias</t>
  </si>
  <si>
    <t>acima de 181 dias</t>
  </si>
  <si>
    <t>de 151 a 180 dias</t>
  </si>
  <si>
    <t>Aging list Clientes</t>
  </si>
  <si>
    <t>Saldo em:</t>
  </si>
  <si>
    <t>Clientes - Aging List analítico</t>
  </si>
  <si>
    <t>Dados</t>
  </si>
  <si>
    <t xml:space="preserve">acima de 181 dias </t>
  </si>
  <si>
    <t xml:space="preserve">151 a 180 dias </t>
  </si>
  <si>
    <t xml:space="preserve">91 a 120 dias </t>
  </si>
  <si>
    <t xml:space="preserve">61 a 90 dias </t>
  </si>
  <si>
    <t xml:space="preserve">31 a 60 dias </t>
  </si>
  <si>
    <t xml:space="preserve">30 dias </t>
  </si>
  <si>
    <t xml:space="preserve">30 dias  </t>
  </si>
  <si>
    <t xml:space="preserve">31 a 60 dias  </t>
  </si>
  <si>
    <t xml:space="preserve">61 a 90 dias  </t>
  </si>
  <si>
    <t xml:space="preserve">91 a 120 dias  </t>
  </si>
  <si>
    <t xml:space="preserve">acima de 120 dias  </t>
  </si>
  <si>
    <t>VENCIDOS</t>
  </si>
  <si>
    <t>VINCENDOS</t>
  </si>
  <si>
    <t xml:space="preserve">  121 a 150 dias </t>
  </si>
  <si>
    <t xml:space="preserve">TOTAL  </t>
  </si>
  <si>
    <t xml:space="preserve">TOTAL </t>
  </si>
  <si>
    <t>Total Geral</t>
  </si>
  <si>
    <t>ASSIM SAUDE</t>
  </si>
  <si>
    <t>FAJ</t>
  </si>
  <si>
    <t>HEMOCOR</t>
  </si>
  <si>
    <t>POSTAL SAUDE</t>
  </si>
  <si>
    <t>HOSPITAL ASSUNCAO</t>
  </si>
  <si>
    <t>UNIMED-RIO</t>
  </si>
  <si>
    <t>BOM SAMARITANO</t>
  </si>
  <si>
    <t>BIOMEDICAL - BAHIA</t>
  </si>
  <si>
    <t>HEMOBAHIA</t>
  </si>
  <si>
    <t>HOSPITAL VITORIA</t>
  </si>
  <si>
    <t>PROCORDIS S/A</t>
  </si>
  <si>
    <t>PRONTOCOR</t>
  </si>
  <si>
    <t>UNIMED NACIONAL</t>
  </si>
  <si>
    <t>GRUPO CEMERU SAUDE</t>
  </si>
  <si>
    <t>HOSPITAL VIDA</t>
  </si>
  <si>
    <t>UNIMED FEDERACAO</t>
  </si>
  <si>
    <t>HOSPITAL SANTA CRUZ</t>
  </si>
  <si>
    <t>RADIOCLINIC</t>
  </si>
  <si>
    <t>UNIMED CURITIBA</t>
  </si>
  <si>
    <t>UNIMED SAO CARLOS</t>
  </si>
  <si>
    <t>HOSPITAL VIVALLE</t>
  </si>
  <si>
    <t>SAO JOSE DE PIRANHAS</t>
  </si>
  <si>
    <t>SONICARDIO</t>
  </si>
  <si>
    <t>HOSPITAL DE BASE</t>
  </si>
  <si>
    <t>000212601</t>
  </si>
  <si>
    <t>000006101</t>
  </si>
  <si>
    <t>000212602</t>
  </si>
  <si>
    <t>000006102</t>
  </si>
  <si>
    <t>000243502</t>
  </si>
  <si>
    <t>002713301</t>
  </si>
  <si>
    <t>000051328</t>
  </si>
  <si>
    <t>000050836</t>
  </si>
  <si>
    <t>000050837</t>
  </si>
  <si>
    <t>000050838</t>
  </si>
  <si>
    <t>000050874</t>
  </si>
  <si>
    <t>000050875</t>
  </si>
  <si>
    <t>000050876</t>
  </si>
  <si>
    <t>000050928</t>
  </si>
  <si>
    <t>000050934</t>
  </si>
  <si>
    <t>000050937</t>
  </si>
  <si>
    <t>000051021</t>
  </si>
  <si>
    <t>000051329</t>
  </si>
  <si>
    <t>000051331</t>
  </si>
  <si>
    <t>000051556</t>
  </si>
  <si>
    <t>000051557</t>
  </si>
  <si>
    <t>000051702</t>
  </si>
  <si>
    <t>000051714</t>
  </si>
  <si>
    <t>000051745</t>
  </si>
  <si>
    <t>000052752</t>
  </si>
  <si>
    <t>000052753</t>
  </si>
  <si>
    <t>000052755</t>
  </si>
  <si>
    <t>000053473</t>
  </si>
  <si>
    <t>000049165</t>
  </si>
  <si>
    <t>000049006</t>
  </si>
  <si>
    <t>000047665</t>
  </si>
  <si>
    <t>000047567</t>
  </si>
  <si>
    <t>000052346</t>
  </si>
  <si>
    <t>000896902</t>
  </si>
  <si>
    <t>000896903</t>
  </si>
  <si>
    <t>000906903</t>
  </si>
  <si>
    <t>000912803</t>
  </si>
  <si>
    <t>000894304</t>
  </si>
  <si>
    <t>000896904</t>
  </si>
  <si>
    <t>000906904</t>
  </si>
  <si>
    <t>000912804</t>
  </si>
  <si>
    <t>000844902</t>
  </si>
  <si>
    <t>000844903</t>
  </si>
  <si>
    <t>000844904</t>
  </si>
  <si>
    <t>000864001</t>
  </si>
  <si>
    <t>000864002</t>
  </si>
  <si>
    <t>000864003</t>
  </si>
  <si>
    <t>000864004</t>
  </si>
  <si>
    <t>000894301</t>
  </si>
  <si>
    <t>000894302</t>
  </si>
  <si>
    <t>000894303</t>
  </si>
  <si>
    <t>000896901</t>
  </si>
  <si>
    <t>000844901</t>
  </si>
  <si>
    <t>000906901</t>
  </si>
  <si>
    <t>000912801</t>
  </si>
  <si>
    <t>CASSI SAO PAULO - SP</t>
  </si>
  <si>
    <t>000250101</t>
  </si>
  <si>
    <t>000035001</t>
  </si>
  <si>
    <t>004142501</t>
  </si>
  <si>
    <t>004143001</t>
  </si>
  <si>
    <t>004159401</t>
  </si>
  <si>
    <t>004159501</t>
  </si>
  <si>
    <t>004159601</t>
  </si>
  <si>
    <t>004181701</t>
  </si>
  <si>
    <t>004181801</t>
  </si>
  <si>
    <t>004187201</t>
  </si>
  <si>
    <t>004195601</t>
  </si>
  <si>
    <t>004195701</t>
  </si>
  <si>
    <t>004195801</t>
  </si>
  <si>
    <t>004195901</t>
  </si>
  <si>
    <t>004197301</t>
  </si>
  <si>
    <t>004197401</t>
  </si>
  <si>
    <t>004203101</t>
  </si>
  <si>
    <t>004203201</t>
  </si>
  <si>
    <t>004203301</t>
  </si>
  <si>
    <t>004205401</t>
  </si>
  <si>
    <t>004209601</t>
  </si>
  <si>
    <t>004217701</t>
  </si>
  <si>
    <t>004217801</t>
  </si>
  <si>
    <t>000026401</t>
  </si>
  <si>
    <t>000026501</t>
  </si>
  <si>
    <t>004483701</t>
  </si>
  <si>
    <t>004483801</t>
  </si>
  <si>
    <t>004536201</t>
  </si>
  <si>
    <t>004592601</t>
  </si>
  <si>
    <t>004621901</t>
  </si>
  <si>
    <t>004401302</t>
  </si>
  <si>
    <t>004460801</t>
  </si>
  <si>
    <t>004490701</t>
  </si>
  <si>
    <t>004502901</t>
  </si>
  <si>
    <t>000006499</t>
  </si>
  <si>
    <t>000004543</t>
  </si>
  <si>
    <t>003242704</t>
  </si>
  <si>
    <t>002960101</t>
  </si>
  <si>
    <t>002997801</t>
  </si>
  <si>
    <t>002960102</t>
  </si>
  <si>
    <t>003006001</t>
  </si>
  <si>
    <t>002997802</t>
  </si>
  <si>
    <t>002960103</t>
  </si>
  <si>
    <t>003006002</t>
  </si>
  <si>
    <t>002997803</t>
  </si>
  <si>
    <t>002960104</t>
  </si>
  <si>
    <t>003006003</t>
  </si>
  <si>
    <t>002936104</t>
  </si>
  <si>
    <t>003114501</t>
  </si>
  <si>
    <t>002997804</t>
  </si>
  <si>
    <t>003006004</t>
  </si>
  <si>
    <t>003114502</t>
  </si>
  <si>
    <t>003114503</t>
  </si>
  <si>
    <t>003114504</t>
  </si>
  <si>
    <t>003242701</t>
  </si>
  <si>
    <t>003242702</t>
  </si>
  <si>
    <t>003242703</t>
  </si>
  <si>
    <t>001992502</t>
  </si>
  <si>
    <t>002048702</t>
  </si>
  <si>
    <t>002058102</t>
  </si>
  <si>
    <t>002052002</t>
  </si>
  <si>
    <t>002060902</t>
  </si>
  <si>
    <t>002048603</t>
  </si>
  <si>
    <t>002131402</t>
  </si>
  <si>
    <t>002123802</t>
  </si>
  <si>
    <t>002170503</t>
  </si>
  <si>
    <t>001992403</t>
  </si>
  <si>
    <t>000005181</t>
  </si>
  <si>
    <t>004415401</t>
  </si>
  <si>
    <t>000006345</t>
  </si>
  <si>
    <t>000052802</t>
  </si>
  <si>
    <t>000179901</t>
  </si>
  <si>
    <t>000180301</t>
  </si>
  <si>
    <t>004504501</t>
  </si>
  <si>
    <t>000050895</t>
  </si>
  <si>
    <t>000050536</t>
  </si>
  <si>
    <t>000050540</t>
  </si>
  <si>
    <t>000050539</t>
  </si>
  <si>
    <t>001932301</t>
  </si>
  <si>
    <t>002053101</t>
  </si>
  <si>
    <t>002053201</t>
  </si>
  <si>
    <t>000050769</t>
  </si>
  <si>
    <t>001659701</t>
  </si>
  <si>
    <t>001710901</t>
  </si>
  <si>
    <t>001710902</t>
  </si>
  <si>
    <t>001730201</t>
  </si>
  <si>
    <t>001748301</t>
  </si>
  <si>
    <t>001748302</t>
  </si>
  <si>
    <t>001873401</t>
  </si>
  <si>
    <t>001659703</t>
  </si>
  <si>
    <t>001873402</t>
  </si>
  <si>
    <t>000053815</t>
  </si>
  <si>
    <t>000047198</t>
  </si>
  <si>
    <t>000053827</t>
  </si>
  <si>
    <t>000470903</t>
  </si>
  <si>
    <t>000470904</t>
  </si>
  <si>
    <t>000470905</t>
  </si>
  <si>
    <t>000471203</t>
  </si>
  <si>
    <t>000471204</t>
  </si>
  <si>
    <t>000471205</t>
  </si>
  <si>
    <t>000507602</t>
  </si>
  <si>
    <t>000507603</t>
  </si>
  <si>
    <t>000507604</t>
  </si>
  <si>
    <t>000532401</t>
  </si>
  <si>
    <t>000532402</t>
  </si>
  <si>
    <t>000532403</t>
  </si>
  <si>
    <t>000547001</t>
  </si>
  <si>
    <t>000547002</t>
  </si>
  <si>
    <t>000547003</t>
  </si>
  <si>
    <t>000568701</t>
  </si>
  <si>
    <t>000568702</t>
  </si>
  <si>
    <t>000568703</t>
  </si>
  <si>
    <t>000568704</t>
  </si>
  <si>
    <t>000585901</t>
  </si>
  <si>
    <t>000585902</t>
  </si>
  <si>
    <t>000585903</t>
  </si>
  <si>
    <t>000586401</t>
  </si>
  <si>
    <t>000586402</t>
  </si>
  <si>
    <t>000586403</t>
  </si>
  <si>
    <t>000586404</t>
  </si>
  <si>
    <t>260620241</t>
  </si>
  <si>
    <t>000727901</t>
  </si>
  <si>
    <t>000855601</t>
  </si>
  <si>
    <t>000855602</t>
  </si>
  <si>
    <t>000855603</t>
  </si>
  <si>
    <t>000007408</t>
  </si>
  <si>
    <t>000007443</t>
  </si>
  <si>
    <t>000068501</t>
  </si>
  <si>
    <t>002124601</t>
  </si>
  <si>
    <t>002096001</t>
  </si>
  <si>
    <t>002957201</t>
  </si>
  <si>
    <t>003283401</t>
  </si>
  <si>
    <t>004675402</t>
  </si>
  <si>
    <t>000004596</t>
  </si>
  <si>
    <t>000004641</t>
  </si>
  <si>
    <t>000004742</t>
  </si>
  <si>
    <t>000004792</t>
  </si>
  <si>
    <t>000004793</t>
  </si>
  <si>
    <t>000004898</t>
  </si>
  <si>
    <t>000004968</t>
  </si>
  <si>
    <t>000004982</t>
  </si>
  <si>
    <t>000004984</t>
  </si>
  <si>
    <t>000005104</t>
  </si>
  <si>
    <t>000005177</t>
  </si>
  <si>
    <t>000005178</t>
  </si>
  <si>
    <t>000005179</t>
  </si>
  <si>
    <t>000005180</t>
  </si>
  <si>
    <t>000005184</t>
  </si>
  <si>
    <t>000005284</t>
  </si>
  <si>
    <t>000006318</t>
  </si>
  <si>
    <t>000006319</t>
  </si>
  <si>
    <t>000006320</t>
  </si>
  <si>
    <t>000006321</t>
  </si>
  <si>
    <t>004069201</t>
  </si>
  <si>
    <t>004081701</t>
  </si>
  <si>
    <t>004106701</t>
  </si>
  <si>
    <t>004164301</t>
  </si>
  <si>
    <t>004172801</t>
  </si>
  <si>
    <t>004174501</t>
  </si>
  <si>
    <t>004194101</t>
  </si>
  <si>
    <t>004185101</t>
  </si>
  <si>
    <t>004212701</t>
  </si>
  <si>
    <t>002564601</t>
  </si>
  <si>
    <t>000340001</t>
  </si>
  <si>
    <t>000340101</t>
  </si>
  <si>
    <t>001294901</t>
  </si>
  <si>
    <t>001294902</t>
  </si>
  <si>
    <t>001294903</t>
  </si>
  <si>
    <t>001296601</t>
  </si>
  <si>
    <t>001317801</t>
  </si>
  <si>
    <t>001347701</t>
  </si>
  <si>
    <t>001376901</t>
  </si>
  <si>
    <t>001433201</t>
  </si>
  <si>
    <t>000051776</t>
  </si>
  <si>
    <t>000051052</t>
  </si>
  <si>
    <t>REAL E BENEMERITA AS</t>
  </si>
  <si>
    <t>HOSPITAL DE CLINICAS</t>
  </si>
  <si>
    <t>PRONTOCARDIO PRONTO</t>
  </si>
  <si>
    <t>HOSPITAL REGIONAL DO</t>
  </si>
  <si>
    <t>000054320</t>
  </si>
  <si>
    <t>000054731</t>
  </si>
  <si>
    <t>000054854</t>
  </si>
  <si>
    <t>000055197</t>
  </si>
  <si>
    <t>000008143</t>
  </si>
  <si>
    <t>000008144</t>
  </si>
  <si>
    <t>000008146</t>
  </si>
  <si>
    <t>000008148</t>
  </si>
  <si>
    <t>000008149</t>
  </si>
  <si>
    <t>HOSPITAL SAO LUCAS D</t>
  </si>
  <si>
    <t>HOSPITAL SAO VICENTE</t>
  </si>
  <si>
    <t>000055482</t>
  </si>
  <si>
    <t>000055588</t>
  </si>
  <si>
    <t>000055286</t>
  </si>
  <si>
    <t>000055380</t>
  </si>
  <si>
    <t>SEGUROS UNIMED</t>
  </si>
  <si>
    <t>SMH SOCIEDADE MEDICO</t>
  </si>
  <si>
    <t>AMIL ASSISTENCIA MED</t>
  </si>
  <si>
    <t>ANGIOCOR</t>
  </si>
  <si>
    <t>000056098</t>
  </si>
  <si>
    <t>000055868</t>
  </si>
  <si>
    <t>CASA DE SAUDE NOSSA</t>
  </si>
  <si>
    <t>000008409</t>
  </si>
  <si>
    <t>000008416</t>
  </si>
  <si>
    <t>000008422</t>
  </si>
  <si>
    <t>000008424</t>
  </si>
  <si>
    <t>000008426</t>
  </si>
  <si>
    <t>000008430</t>
  </si>
  <si>
    <t>000008434</t>
  </si>
  <si>
    <t>000008437</t>
  </si>
  <si>
    <t>000008439</t>
  </si>
  <si>
    <t>000008443</t>
  </si>
  <si>
    <t>000008444</t>
  </si>
  <si>
    <t>000008445</t>
  </si>
  <si>
    <t>000008447</t>
  </si>
  <si>
    <t>000008448</t>
  </si>
  <si>
    <t>000008449</t>
  </si>
  <si>
    <t>000008457</t>
  </si>
  <si>
    <t>000008472</t>
  </si>
  <si>
    <t>000008474</t>
  </si>
  <si>
    <t>000008478</t>
  </si>
  <si>
    <t>000008486</t>
  </si>
  <si>
    <t>MEDSENIOR</t>
  </si>
  <si>
    <t>000055727</t>
  </si>
  <si>
    <t>000008484</t>
  </si>
  <si>
    <t>HOSPITAL E MATERNIDA</t>
  </si>
  <si>
    <t>000008567</t>
  </si>
  <si>
    <t>HS COR SERVICOS DE H</t>
  </si>
  <si>
    <t>de 121 a 150 dias</t>
  </si>
  <si>
    <t>000298301</t>
  </si>
  <si>
    <t>000008658</t>
  </si>
  <si>
    <t>SUL AMERICA SERVICOS</t>
  </si>
  <si>
    <t>000000001</t>
  </si>
  <si>
    <t>000005317</t>
  </si>
  <si>
    <t>000005209</t>
  </si>
  <si>
    <t>MED INOVACAO</t>
  </si>
  <si>
    <t>000009089</t>
  </si>
  <si>
    <t>HOSPITAL ICARAI</t>
  </si>
  <si>
    <t>CRUZ VERMELHA BRASIL</t>
  </si>
  <si>
    <t>HOSPITAL ILHA DO GOV</t>
  </si>
  <si>
    <t>GERENCIA REGIONAL DO</t>
  </si>
  <si>
    <t>HCOR - HOSPITAL DO C</t>
  </si>
  <si>
    <t>UNIMED LESTE FLUMINE</t>
  </si>
  <si>
    <t>HOSPITAL PORTUGUES D</t>
  </si>
  <si>
    <t>000009282</t>
  </si>
  <si>
    <t>UNIVERSIDADE FEDERAL</t>
  </si>
  <si>
    <t>CLINICA MÉDICA NOSSA</t>
  </si>
  <si>
    <t>G E R</t>
  </si>
  <si>
    <t>048398</t>
  </si>
  <si>
    <t>054077</t>
  </si>
  <si>
    <t>000005208</t>
  </si>
  <si>
    <t>000009489</t>
  </si>
  <si>
    <t>000058745</t>
  </si>
  <si>
    <t>000009485</t>
  </si>
  <si>
    <t>000009487</t>
  </si>
  <si>
    <t>000009483</t>
  </si>
  <si>
    <t>000009533</t>
  </si>
  <si>
    <t>000009544</t>
  </si>
  <si>
    <t>000009554</t>
  </si>
  <si>
    <t>004459701</t>
  </si>
  <si>
    <t>000009790</t>
  </si>
  <si>
    <t>000058965</t>
  </si>
  <si>
    <t>HOSPITAL SAO PAULO</t>
  </si>
  <si>
    <t>000058860</t>
  </si>
  <si>
    <t>000059357</t>
  </si>
  <si>
    <t>MED-TOUR SAUDE</t>
  </si>
  <si>
    <t>000009733</t>
  </si>
  <si>
    <t>000009665</t>
  </si>
  <si>
    <t>000009666</t>
  </si>
  <si>
    <t>000009668</t>
  </si>
  <si>
    <t>000009670</t>
  </si>
  <si>
    <t>000009671</t>
  </si>
  <si>
    <t>000009799</t>
  </si>
  <si>
    <t>000059621</t>
  </si>
  <si>
    <t>HOSPITAL UNIMED AMER</t>
  </si>
  <si>
    <t>INTENSIVA DAY HOSPIT</t>
  </si>
  <si>
    <t>000060000</t>
  </si>
  <si>
    <t>TOTAL MEDCARE</t>
  </si>
  <si>
    <t>000059975</t>
  </si>
  <si>
    <t>000059978</t>
  </si>
  <si>
    <t>HOSPITAL BARRA D'OR</t>
  </si>
  <si>
    <t>HOSPITAL DA FUNDACAO</t>
  </si>
  <si>
    <t>HOSPITAL SAO CAMILO</t>
  </si>
  <si>
    <t>000060511</t>
  </si>
  <si>
    <t>000060639</t>
  </si>
  <si>
    <t>000010401</t>
  </si>
  <si>
    <t>INSTITUTO DE NEUROLO</t>
  </si>
  <si>
    <t>000060314</t>
  </si>
  <si>
    <t>000060741</t>
  </si>
  <si>
    <t>KLINI PLANOS DE SAUD</t>
  </si>
  <si>
    <t>NEUROCOR - MS DIAGNO</t>
  </si>
  <si>
    <t>PROMEDICA PATRIMONIA</t>
  </si>
  <si>
    <t>REDE PRIMAVERA - HOS</t>
  </si>
  <si>
    <t>000061164</t>
  </si>
  <si>
    <t>SANTA CASA DE SANTOS</t>
  </si>
  <si>
    <t>SURGMED COMERCIO IMP</t>
  </si>
  <si>
    <t>000060510</t>
  </si>
  <si>
    <t>000061116</t>
  </si>
  <si>
    <t>000010225</t>
  </si>
  <si>
    <t>000010402</t>
  </si>
  <si>
    <t>000008343</t>
  </si>
  <si>
    <t>000062132</t>
  </si>
  <si>
    <t>CABERJ INTEGRAL SAUD</t>
  </si>
  <si>
    <t>000061712</t>
  </si>
  <si>
    <t>000062238</t>
  </si>
  <si>
    <t>COMPLEXO HOSPITALAR</t>
  </si>
  <si>
    <t>FUSVE</t>
  </si>
  <si>
    <t>000010679</t>
  </si>
  <si>
    <t>HOSPITAL MATERNIDADE</t>
  </si>
  <si>
    <t>HOSPITAL SAMCORDIS</t>
  </si>
  <si>
    <t>HOSPITAL SANTA IZABE</t>
  </si>
  <si>
    <t>HOSPITAL SANTA VIRGI</t>
  </si>
  <si>
    <t>000061764</t>
  </si>
  <si>
    <t>000010750</t>
  </si>
  <si>
    <t>000010751</t>
  </si>
  <si>
    <t>000010752</t>
  </si>
  <si>
    <t>000010753</t>
  </si>
  <si>
    <t>000010755</t>
  </si>
  <si>
    <t>000010757</t>
  </si>
  <si>
    <t>000010758</t>
  </si>
  <si>
    <t>000010761</t>
  </si>
  <si>
    <t>000010762</t>
  </si>
  <si>
    <t>000010841</t>
  </si>
  <si>
    <t>000010842</t>
  </si>
  <si>
    <t>000010843</t>
  </si>
  <si>
    <t>000010844</t>
  </si>
  <si>
    <t>000010845</t>
  </si>
  <si>
    <t>000061804</t>
  </si>
  <si>
    <t>000061760</t>
  </si>
  <si>
    <t>SERGIO MILEV</t>
  </si>
  <si>
    <t>000062145</t>
  </si>
  <si>
    <t>SUL AMERICA COMPANHI</t>
  </si>
  <si>
    <t>UNIMED CASCAVEL</t>
  </si>
  <si>
    <t>000061939</t>
  </si>
  <si>
    <t>UNIMED DE GUARATINGU</t>
  </si>
  <si>
    <t>UNIMED DE PINDAMONHA</t>
  </si>
  <si>
    <t>000010584</t>
  </si>
  <si>
    <t>000010585</t>
  </si>
  <si>
    <t>000010669</t>
  </si>
  <si>
    <t>000010690</t>
  </si>
  <si>
    <t>000010838</t>
  </si>
  <si>
    <t>UNIMED OESTE DO PARA</t>
  </si>
  <si>
    <t>000061892</t>
  </si>
  <si>
    <t>IRMANDADE DA SANTA C</t>
  </si>
  <si>
    <t>HOSP REGIONAL DE SOR</t>
  </si>
  <si>
    <t>ASSISTENCIA MEDICA E</t>
  </si>
  <si>
    <t>ASSOCIACAO AUXILIADO</t>
  </si>
  <si>
    <t>ASSOCIACAO BENEFICEN</t>
  </si>
  <si>
    <t>UNIMED DO SUDOESTE C</t>
  </si>
  <si>
    <t>NOTRE DAME INTERMEDI</t>
  </si>
  <si>
    <t>CENTRO MEDICO SANTA</t>
  </si>
  <si>
    <t>EDSON DOS SANTOS MAR</t>
  </si>
  <si>
    <t>ATIVA MEDICAL COMERC</t>
  </si>
  <si>
    <t>ATIVIA SERVICOS DE S</t>
  </si>
  <si>
    <t>BANCO BRADESCO S.A.</t>
  </si>
  <si>
    <t>004367601</t>
  </si>
  <si>
    <t>004367602</t>
  </si>
  <si>
    <t>004386001</t>
  </si>
  <si>
    <t>BANCO DO BRASIL S.A.</t>
  </si>
  <si>
    <t>004692301</t>
  </si>
  <si>
    <t>HOSPITAL ANGELINA CA</t>
  </si>
  <si>
    <t>000202224</t>
  </si>
  <si>
    <t>000202233</t>
  </si>
  <si>
    <t>000202234</t>
  </si>
  <si>
    <t>000202235</t>
  </si>
  <si>
    <t>000202237</t>
  </si>
  <si>
    <t>FUNDACAO BAHIANA DE</t>
  </si>
  <si>
    <t>PRONTO S.CARDIOLOGIC</t>
  </si>
  <si>
    <t>FUNDACAO FELÍCIO ROC</t>
  </si>
  <si>
    <t>HOSP. CASA EVANGELIC</t>
  </si>
  <si>
    <t>HOSPITAL LEFORTE - L</t>
  </si>
  <si>
    <t>VISION MED ASSISTENC</t>
  </si>
  <si>
    <t>INTRAMEDICAL COMERCI</t>
  </si>
  <si>
    <t>SANTA CASA DE SÃO PA</t>
  </si>
  <si>
    <t>MED-WAY</t>
  </si>
  <si>
    <t>UNIMED REGIONAL MARI</t>
  </si>
  <si>
    <t>PLENA COMÉRCIO E REP</t>
  </si>
  <si>
    <t>HOSPITAL VITA CURITI</t>
  </si>
  <si>
    <t>SERMED SERVIÇO MEDIC</t>
  </si>
  <si>
    <t>UNIDADE DE DOENÇAS C</t>
  </si>
  <si>
    <t>UNIMED DE PRES PRUDE</t>
  </si>
  <si>
    <t>UNIMED DE TAUBATE CO</t>
  </si>
  <si>
    <t>UNIMED LESTE PAULIST</t>
  </si>
  <si>
    <t>HOSPITAL SANTA HELEN</t>
  </si>
  <si>
    <t>GS - PLANO GLOBAL DE</t>
  </si>
  <si>
    <t>HOSP CASA SAO BERNAR</t>
  </si>
  <si>
    <t>SANTA CASA DE MISERI</t>
  </si>
  <si>
    <t>HOSPITAL COPA DOR ST</t>
  </si>
  <si>
    <t>000062726</t>
  </si>
  <si>
    <t>000063306</t>
  </si>
  <si>
    <t>000063491</t>
  </si>
  <si>
    <t>CASSEMS</t>
  </si>
  <si>
    <t>000063086</t>
  </si>
  <si>
    <t>000063136</t>
  </si>
  <si>
    <t>SANTA CASA</t>
  </si>
  <si>
    <t>000062766</t>
  </si>
  <si>
    <t>000063003</t>
  </si>
  <si>
    <t>000063219</t>
  </si>
  <si>
    <t>HOSPITAL UNIVERSITAR</t>
  </si>
  <si>
    <t>000011126</t>
  </si>
  <si>
    <t>000011228</t>
  </si>
  <si>
    <t>000011258</t>
  </si>
  <si>
    <t>000010922</t>
  </si>
  <si>
    <t>000010927</t>
  </si>
  <si>
    <t>000010928</t>
  </si>
  <si>
    <t>000010929</t>
  </si>
  <si>
    <t>000010930</t>
  </si>
  <si>
    <t>000010931</t>
  </si>
  <si>
    <t>000011115</t>
  </si>
  <si>
    <t>000011116</t>
  </si>
  <si>
    <t>000011117</t>
  </si>
  <si>
    <t>000011118</t>
  </si>
  <si>
    <t>000011119</t>
  </si>
  <si>
    <t>000011120</t>
  </si>
  <si>
    <t>000011121</t>
  </si>
  <si>
    <t>000011122</t>
  </si>
  <si>
    <t>000011123</t>
  </si>
  <si>
    <t>000011144</t>
  </si>
  <si>
    <t>000011145</t>
  </si>
  <si>
    <t>000011146</t>
  </si>
  <si>
    <t>000011185</t>
  </si>
  <si>
    <t>000011186</t>
  </si>
  <si>
    <t>000011187</t>
  </si>
  <si>
    <t>000011188</t>
  </si>
  <si>
    <t>000011189</t>
  </si>
  <si>
    <t>000011223</t>
  </si>
  <si>
    <t>000011225</t>
  </si>
  <si>
    <t>000011226</t>
  </si>
  <si>
    <t>000011227</t>
  </si>
  <si>
    <t>000011253</t>
  </si>
  <si>
    <t>SILVESTRE SAUDE</t>
  </si>
  <si>
    <t>000011037</t>
  </si>
  <si>
    <t>000011148</t>
  </si>
  <si>
    <t>000011254</t>
  </si>
  <si>
    <t>000011260</t>
  </si>
  <si>
    <t>000064243</t>
  </si>
  <si>
    <t>000064284</t>
  </si>
  <si>
    <t>AUSTACLINICAS ASSIST</t>
  </si>
  <si>
    <t>SÃO FRANCISCO VIDA</t>
  </si>
  <si>
    <t>BRUNO LEONARDO SANTO</t>
  </si>
  <si>
    <t>000063641</t>
  </si>
  <si>
    <t>000064196</t>
  </si>
  <si>
    <t>PROGRAMA DE ASSISTEN</t>
  </si>
  <si>
    <t>000063638</t>
  </si>
  <si>
    <t>HOSPITAL DA BAHIA</t>
  </si>
  <si>
    <t>000064491</t>
  </si>
  <si>
    <t>HOSPITAL CEPOG LTDA</t>
  </si>
  <si>
    <t>000064220</t>
  </si>
  <si>
    <t>000064191</t>
  </si>
  <si>
    <t>000064192</t>
  </si>
  <si>
    <t>000064231</t>
  </si>
  <si>
    <t>000064232</t>
  </si>
  <si>
    <t>000064234</t>
  </si>
  <si>
    <t>000063630</t>
  </si>
  <si>
    <t>000063712</t>
  </si>
  <si>
    <t>000063713</t>
  </si>
  <si>
    <t>000063720</t>
  </si>
  <si>
    <t>000064210</t>
  </si>
  <si>
    <t>000064240</t>
  </si>
  <si>
    <t>000064246</t>
  </si>
  <si>
    <t>000064405</t>
  </si>
  <si>
    <t>000064407</t>
  </si>
  <si>
    <t>000064409</t>
  </si>
  <si>
    <t>000064417</t>
  </si>
  <si>
    <t>000064418</t>
  </si>
  <si>
    <t>000064431</t>
  </si>
  <si>
    <t>000063938</t>
  </si>
  <si>
    <t>000063937</t>
  </si>
  <si>
    <t>000063702</t>
  </si>
  <si>
    <t>000011505</t>
  </si>
  <si>
    <t>000011506</t>
  </si>
  <si>
    <t>000011507</t>
  </si>
  <si>
    <t>000011508</t>
  </si>
  <si>
    <t>000011509</t>
  </si>
  <si>
    <t>000011266</t>
  </si>
  <si>
    <t>000011267</t>
  </si>
  <si>
    <t>000011357</t>
  </si>
  <si>
    <t>000011481</t>
  </si>
  <si>
    <t>000011482</t>
  </si>
  <si>
    <t>000011483</t>
  </si>
  <si>
    <t>000011484</t>
  </si>
  <si>
    <t>000011486</t>
  </si>
  <si>
    <t>000011488</t>
  </si>
  <si>
    <t>000011595</t>
  </si>
  <si>
    <t>000011597</t>
  </si>
  <si>
    <t>000011598</t>
  </si>
  <si>
    <t>000011599</t>
  </si>
  <si>
    <t>000011600</t>
  </si>
  <si>
    <t>000011601</t>
  </si>
  <si>
    <t>000011602</t>
  </si>
  <si>
    <t>000011603</t>
  </si>
  <si>
    <t>000011604</t>
  </si>
  <si>
    <t>000011398</t>
  </si>
  <si>
    <t>000011399</t>
  </si>
  <si>
    <t>000011400</t>
  </si>
  <si>
    <t>000011348</t>
  </si>
  <si>
    <t>000011471</t>
  </si>
  <si>
    <t>000011353</t>
  </si>
  <si>
    <t>000011417</t>
  </si>
  <si>
    <t>000011517</t>
  </si>
  <si>
    <t>000011536</t>
  </si>
  <si>
    <t>000011926</t>
  </si>
  <si>
    <t>000011641</t>
  </si>
  <si>
    <t>000065334</t>
  </si>
  <si>
    <t>000065397</t>
  </si>
  <si>
    <t>FENIX MEDICAL</t>
  </si>
  <si>
    <t>FOR LIFE MATERIAIS H</t>
  </si>
  <si>
    <t>000065150</t>
  </si>
  <si>
    <t>000065204</t>
  </si>
  <si>
    <t>000065207</t>
  </si>
  <si>
    <t>000065170</t>
  </si>
  <si>
    <t>HELENA DE LIMA BRAGA</t>
  </si>
  <si>
    <t>000065237</t>
  </si>
  <si>
    <t>000011735</t>
  </si>
  <si>
    <t>000064919</t>
  </si>
  <si>
    <t>HOSPITAL E CLINICA S</t>
  </si>
  <si>
    <t>000011823</t>
  </si>
  <si>
    <t>000064967</t>
  </si>
  <si>
    <t>000065259</t>
  </si>
  <si>
    <t>HOSPITAL ESPERANCA O</t>
  </si>
  <si>
    <t>000065163</t>
  </si>
  <si>
    <t>000011923</t>
  </si>
  <si>
    <t>HOSPITAL MATER DEI S</t>
  </si>
  <si>
    <t>000065153</t>
  </si>
  <si>
    <t>000065162</t>
  </si>
  <si>
    <t>000064792</t>
  </si>
  <si>
    <t>000064793</t>
  </si>
  <si>
    <t>000065492</t>
  </si>
  <si>
    <t>000065550</t>
  </si>
  <si>
    <t>000064726</t>
  </si>
  <si>
    <t>000065238</t>
  </si>
  <si>
    <t>000065750</t>
  </si>
  <si>
    <t>000065266</t>
  </si>
  <si>
    <t>000065443</t>
  </si>
  <si>
    <t>000065691</t>
  </si>
  <si>
    <t>000064964</t>
  </si>
  <si>
    <t>000065241</t>
  </si>
  <si>
    <t>000011772</t>
  </si>
  <si>
    <t>000011773</t>
  </si>
  <si>
    <t>000011822</t>
  </si>
  <si>
    <t>000011672</t>
  </si>
  <si>
    <t>000011673</t>
  </si>
  <si>
    <t>000011674</t>
  </si>
  <si>
    <t>000011676</t>
  </si>
  <si>
    <t>000011677</t>
  </si>
  <si>
    <t>000011811</t>
  </si>
  <si>
    <t>000011813</t>
  </si>
  <si>
    <t>000011814</t>
  </si>
  <si>
    <t>000011815</t>
  </si>
  <si>
    <t>000011816</t>
  </si>
  <si>
    <t>000011817</t>
  </si>
  <si>
    <t>000011818</t>
  </si>
  <si>
    <t>000011819</t>
  </si>
  <si>
    <t>000011820</t>
  </si>
  <si>
    <t>000011821</t>
  </si>
  <si>
    <t>000011938</t>
  </si>
  <si>
    <t>000011940</t>
  </si>
  <si>
    <t>000011941</t>
  </si>
  <si>
    <t>000011942</t>
  </si>
  <si>
    <t>000065603</t>
  </si>
  <si>
    <t>OBRA DE AÇÃO SOCIAL</t>
  </si>
  <si>
    <t>000065052</t>
  </si>
  <si>
    <t>000011644</t>
  </si>
  <si>
    <t>000011646</t>
  </si>
  <si>
    <t>000011647</t>
  </si>
  <si>
    <t>000065143</t>
  </si>
  <si>
    <t>000065173</t>
  </si>
  <si>
    <t>000065532</t>
  </si>
  <si>
    <t>UNIMED</t>
  </si>
  <si>
    <t>UNIMED DE JUNDIAI</t>
  </si>
  <si>
    <t>000065006</t>
  </si>
  <si>
    <t>000065271</t>
  </si>
  <si>
    <t>000065401</t>
  </si>
  <si>
    <t>000011678</t>
  </si>
  <si>
    <t>000011679</t>
  </si>
  <si>
    <t>000011760</t>
  </si>
  <si>
    <t>000011854</t>
  </si>
  <si>
    <t>000011855</t>
  </si>
  <si>
    <t>000011856</t>
  </si>
  <si>
    <t>000011857</t>
  </si>
  <si>
    <t>000011878</t>
  </si>
  <si>
    <t>000011922</t>
  </si>
  <si>
    <t>000011945</t>
  </si>
  <si>
    <t>000065411</t>
  </si>
  <si>
    <t>000064835</t>
  </si>
  <si>
    <t>000064962</t>
  </si>
  <si>
    <t>000065200</t>
  </si>
  <si>
    <t>000065201</t>
  </si>
  <si>
    <t>000065407</t>
  </si>
  <si>
    <t>000011715</t>
  </si>
  <si>
    <t>VS MEDICINA ESPECIAL</t>
  </si>
  <si>
    <t>000065364</t>
  </si>
  <si>
    <t>000012015</t>
  </si>
  <si>
    <t>000065792</t>
  </si>
  <si>
    <t>000065790</t>
  </si>
  <si>
    <t>000065776</t>
  </si>
  <si>
    <t>000066788</t>
  </si>
  <si>
    <t>000065789</t>
  </si>
  <si>
    <t>HOSPITAL SANTA CECIL</t>
  </si>
  <si>
    <t>000012397</t>
  </si>
  <si>
    <t>000012352</t>
  </si>
  <si>
    <t>000012038</t>
  </si>
  <si>
    <t>000012327</t>
  </si>
  <si>
    <t>000012328</t>
  </si>
  <si>
    <t>000012330</t>
  </si>
  <si>
    <t>000012016</t>
  </si>
  <si>
    <t>HOSPITAL ESPERANCA S</t>
  </si>
  <si>
    <t>000066723</t>
  </si>
  <si>
    <t>000065858</t>
  </si>
  <si>
    <t>UNIMED SAO JOSE DOS</t>
  </si>
  <si>
    <t>000066083</t>
  </si>
  <si>
    <t>000066424</t>
  </si>
  <si>
    <t>000012037</t>
  </si>
  <si>
    <t>OPLAN SAUDE</t>
  </si>
  <si>
    <t>000012256</t>
  </si>
  <si>
    <t>000066105</t>
  </si>
  <si>
    <t>000012034</t>
  </si>
  <si>
    <t>000012035</t>
  </si>
  <si>
    <t>000012334</t>
  </si>
  <si>
    <t>000066195</t>
  </si>
  <si>
    <t>000066157</t>
  </si>
  <si>
    <t>000012030</t>
  </si>
  <si>
    <t>000065856</t>
  </si>
  <si>
    <t>000012368</t>
  </si>
  <si>
    <t>000012370</t>
  </si>
  <si>
    <t>000012109</t>
  </si>
  <si>
    <t>000012043</t>
  </si>
  <si>
    <t>000012331</t>
  </si>
  <si>
    <t>000012044</t>
  </si>
  <si>
    <t>000012017</t>
  </si>
  <si>
    <t>000012373</t>
  </si>
  <si>
    <t>000012376</t>
  </si>
  <si>
    <t>000066755</t>
  </si>
  <si>
    <t>000012090</t>
  </si>
  <si>
    <t>000066846</t>
  </si>
  <si>
    <t>000065788</t>
  </si>
  <si>
    <t>000012018</t>
  </si>
  <si>
    <t>000012011</t>
  </si>
  <si>
    <t>000066598</t>
  </si>
  <si>
    <t>000012158</t>
  </si>
  <si>
    <t>000065787</t>
  </si>
  <si>
    <t>000066706</t>
  </si>
  <si>
    <t>PLANO SANTA SAUDE</t>
  </si>
  <si>
    <t>000066117</t>
  </si>
  <si>
    <t>000065780</t>
  </si>
  <si>
    <t>MEDICAL SUPPORT MATE</t>
  </si>
  <si>
    <t>000012350</t>
  </si>
  <si>
    <t>000012014</t>
  </si>
  <si>
    <t>000012333</t>
  </si>
  <si>
    <t>000066082</t>
  </si>
  <si>
    <t>HOSPITAL PRO-CARDIAC</t>
  </si>
  <si>
    <t>000012349</t>
  </si>
  <si>
    <t>000012095</t>
  </si>
  <si>
    <t>HOSPITAL DOM JOAQUIM</t>
  </si>
  <si>
    <t>000066521</t>
  </si>
  <si>
    <t>000066779</t>
  </si>
  <si>
    <t>000065778</t>
  </si>
  <si>
    <t>000065765</t>
  </si>
  <si>
    <t>000012061</t>
  </si>
  <si>
    <t>000012332</t>
  </si>
  <si>
    <t>000066789</t>
  </si>
  <si>
    <t>000066784</t>
  </si>
  <si>
    <t>000066085</t>
  </si>
  <si>
    <t>ASSOCIACAO HOSPITALA</t>
  </si>
  <si>
    <t>000066729</t>
  </si>
  <si>
    <t>000012033</t>
  </si>
  <si>
    <t>000012091</t>
  </si>
  <si>
    <t>000012028</t>
  </si>
  <si>
    <t>000066422</t>
  </si>
  <si>
    <t>000012029</t>
  </si>
  <si>
    <t>000012019</t>
  </si>
  <si>
    <t>000066703</t>
  </si>
  <si>
    <t>000065764</t>
  </si>
  <si>
    <t>000012045</t>
  </si>
  <si>
    <t>000066716</t>
  </si>
  <si>
    <t>000065860</t>
  </si>
  <si>
    <t>000066241</t>
  </si>
  <si>
    <t>000065799</t>
  </si>
  <si>
    <t>000012065</t>
  </si>
  <si>
    <t>000012036</t>
  </si>
  <si>
    <t>000012049</t>
  </si>
  <si>
    <t>000012051</t>
  </si>
  <si>
    <t>000012339</t>
  </si>
  <si>
    <t>000012067</t>
  </si>
  <si>
    <t>000012329</t>
  </si>
  <si>
    <t>000066135</t>
  </si>
  <si>
    <t>000066702</t>
  </si>
  <si>
    <t>000012076</t>
  </si>
  <si>
    <t>000065793</t>
  </si>
  <si>
    <t>000012046</t>
  </si>
  <si>
    <t>000012052</t>
  </si>
  <si>
    <t>000012031</t>
  </si>
  <si>
    <t>000012023</t>
  </si>
  <si>
    <t>000066240</t>
  </si>
  <si>
    <t>000012351</t>
  </si>
  <si>
    <t>000012047</t>
  </si>
  <si>
    <t>000066715</t>
  </si>
  <si>
    <t>000012032</t>
  </si>
  <si>
    <t>000065763</t>
  </si>
  <si>
    <t>000012340</t>
  </si>
  <si>
    <t>000065876</t>
  </si>
  <si>
    <t>000065805</t>
  </si>
  <si>
    <t>000066770</t>
  </si>
  <si>
    <t>000065869</t>
  </si>
  <si>
    <t>000065895</t>
  </si>
  <si>
    <t>000066679</t>
  </si>
  <si>
    <t>000066213</t>
  </si>
  <si>
    <t>000066790</t>
  </si>
  <si>
    <t>000065761</t>
  </si>
  <si>
    <t>UNIMED DE CAMPOS</t>
  </si>
  <si>
    <t>000012079</t>
  </si>
  <si>
    <t>000012147</t>
  </si>
  <si>
    <t>000066485</t>
  </si>
  <si>
    <t>HOSPITAL UNIMED</t>
  </si>
  <si>
    <t>000066317</t>
  </si>
  <si>
    <t>000066748</t>
  </si>
  <si>
    <t>000012326</t>
  </si>
  <si>
    <t>000066006</t>
  </si>
  <si>
    <t>000066420</t>
  </si>
  <si>
    <t>000065775</t>
  </si>
  <si>
    <t>AMEPLAN ASSISTENCIA</t>
  </si>
  <si>
    <t>000067618</t>
  </si>
  <si>
    <t>000012646</t>
  </si>
  <si>
    <t>000067672</t>
  </si>
  <si>
    <t>000067674</t>
  </si>
  <si>
    <t>000067242</t>
  </si>
  <si>
    <t>000067550</t>
  </si>
  <si>
    <t>000067056</t>
  </si>
  <si>
    <t>000067059</t>
  </si>
  <si>
    <t>000067062</t>
  </si>
  <si>
    <t>000067512</t>
  </si>
  <si>
    <t>000067513</t>
  </si>
  <si>
    <t>000067515</t>
  </si>
  <si>
    <t>000066868</t>
  </si>
  <si>
    <t>000067169</t>
  </si>
  <si>
    <t>000067599</t>
  </si>
  <si>
    <t>000067600</t>
  </si>
  <si>
    <t>HOSPITAL BENEFICIENC</t>
  </si>
  <si>
    <t>000067491</t>
  </si>
  <si>
    <t>000067094</t>
  </si>
  <si>
    <t>000066899</t>
  </si>
  <si>
    <t>000067551</t>
  </si>
  <si>
    <t>000067552</t>
  </si>
  <si>
    <t>000067555</t>
  </si>
  <si>
    <t>000067678</t>
  </si>
  <si>
    <t>000066929</t>
  </si>
  <si>
    <t>000066930</t>
  </si>
  <si>
    <t>000067602</t>
  </si>
  <si>
    <t>HOSPITAL DO SERVIDOR</t>
  </si>
  <si>
    <t>000067011</t>
  </si>
  <si>
    <t>000067036</t>
  </si>
  <si>
    <t>000067037</t>
  </si>
  <si>
    <t>000067038</t>
  </si>
  <si>
    <t>HOSPITAL ESCOLA ALVA</t>
  </si>
  <si>
    <t>000012604</t>
  </si>
  <si>
    <t>000012606</t>
  </si>
  <si>
    <t>HOSPITAL LUXEMBURGO</t>
  </si>
  <si>
    <t>000066900</t>
  </si>
  <si>
    <t>000067589</t>
  </si>
  <si>
    <t>HOSPITAL POLICLIN</t>
  </si>
  <si>
    <t>000067492</t>
  </si>
  <si>
    <t>000067605</t>
  </si>
  <si>
    <t>000067608</t>
  </si>
  <si>
    <t>00010595C</t>
  </si>
  <si>
    <t>000067511</t>
  </si>
  <si>
    <t>HOSPITAL SAO JOSE</t>
  </si>
  <si>
    <t>000012644</t>
  </si>
  <si>
    <t>000067166</t>
  </si>
  <si>
    <t>000067168</t>
  </si>
  <si>
    <t>000012469</t>
  </si>
  <si>
    <t>IBG SAUDE</t>
  </si>
  <si>
    <t>000067080</t>
  </si>
  <si>
    <t>000066975</t>
  </si>
  <si>
    <t>000067019</t>
  </si>
  <si>
    <t>000067570</t>
  </si>
  <si>
    <t>000067571</t>
  </si>
  <si>
    <t>LACIC - RONDONOPOLIS</t>
  </si>
  <si>
    <t>000067670</t>
  </si>
  <si>
    <t>000067367</t>
  </si>
  <si>
    <t>000012621</t>
  </si>
  <si>
    <t>000067075</t>
  </si>
  <si>
    <t>000067510</t>
  </si>
  <si>
    <t>000067070</t>
  </si>
  <si>
    <t>REAL HOSPITAL PORTUG</t>
  </si>
  <si>
    <t>000067556</t>
  </si>
  <si>
    <t>000012601</t>
  </si>
  <si>
    <t>000067683</t>
  </si>
  <si>
    <t>UNIMED DE SANTOS COO</t>
  </si>
  <si>
    <t>000067520</t>
  </si>
  <si>
    <t>12082026</t>
  </si>
  <si>
    <t>000012426</t>
  </si>
  <si>
    <t>000067620</t>
  </si>
  <si>
    <t>000067641</t>
  </si>
  <si>
    <t>000067559</t>
  </si>
  <si>
    <t>000067560</t>
  </si>
  <si>
    <t>000067566</t>
  </si>
  <si>
    <t>000067568</t>
  </si>
  <si>
    <t>AUSTACOR</t>
  </si>
  <si>
    <t>000068460</t>
  </si>
  <si>
    <t>BIOCATH</t>
  </si>
  <si>
    <t>000068006</t>
  </si>
  <si>
    <t>000067788</t>
  </si>
  <si>
    <t>000067789</t>
  </si>
  <si>
    <t>000067890</t>
  </si>
  <si>
    <t>CASA DE SAUDE SANTA</t>
  </si>
  <si>
    <t>000067858</t>
  </si>
  <si>
    <t>000068090</t>
  </si>
  <si>
    <t>CENTRO TRASMONTANO D</t>
  </si>
  <si>
    <t>000068091</t>
  </si>
  <si>
    <t>000012735</t>
  </si>
  <si>
    <t>000068546</t>
  </si>
  <si>
    <t>000067823</t>
  </si>
  <si>
    <t>000068322</t>
  </si>
  <si>
    <t>000068562</t>
  </si>
  <si>
    <t>000068450</t>
  </si>
  <si>
    <t>000068068</t>
  </si>
  <si>
    <t>000012702</t>
  </si>
  <si>
    <t>000067785</t>
  </si>
  <si>
    <t>HOSPITAL BENEFICENTE</t>
  </si>
  <si>
    <t>000067872</t>
  </si>
  <si>
    <t>000067869</t>
  </si>
  <si>
    <t>000068250</t>
  </si>
  <si>
    <t>000068497</t>
  </si>
  <si>
    <t>000067803</t>
  </si>
  <si>
    <t>000068557</t>
  </si>
  <si>
    <t>000068558</t>
  </si>
  <si>
    <t>000068559</t>
  </si>
  <si>
    <t>000012700</t>
  </si>
  <si>
    <t>000068254</t>
  </si>
  <si>
    <t>000068494</t>
  </si>
  <si>
    <t>000067845</t>
  </si>
  <si>
    <t>HOSPITAL REGIONAL DE</t>
  </si>
  <si>
    <t>000068135</t>
  </si>
  <si>
    <t>000068137</t>
  </si>
  <si>
    <t>000068024</t>
  </si>
  <si>
    <t>000068482</t>
  </si>
  <si>
    <t>000068484</t>
  </si>
  <si>
    <t>000068486</t>
  </si>
  <si>
    <t>000068522</t>
  </si>
  <si>
    <t>HOSPITAL SAO LUCAS</t>
  </si>
  <si>
    <t>000012780</t>
  </si>
  <si>
    <t>000067757</t>
  </si>
  <si>
    <t>000067887</t>
  </si>
  <si>
    <t>000068101</t>
  </si>
  <si>
    <t>000068251</t>
  </si>
  <si>
    <t>000068054</t>
  </si>
  <si>
    <t>000068057</t>
  </si>
  <si>
    <t>000068095</t>
  </si>
  <si>
    <t>000068100</t>
  </si>
  <si>
    <t>HUGOL</t>
  </si>
  <si>
    <t>000067895</t>
  </si>
  <si>
    <t>000068549</t>
  </si>
  <si>
    <t>000067808</t>
  </si>
  <si>
    <t>12082027</t>
  </si>
  <si>
    <t>LIV SAUDE</t>
  </si>
  <si>
    <t>000012712</t>
  </si>
  <si>
    <t>000012709</t>
  </si>
  <si>
    <t>000012710</t>
  </si>
  <si>
    <t>000012711</t>
  </si>
  <si>
    <t>NOSSA SAUDE</t>
  </si>
  <si>
    <t>000068022</t>
  </si>
  <si>
    <t>000068333</t>
  </si>
  <si>
    <t>POLICLIN SAUDE S A</t>
  </si>
  <si>
    <t>000067809</t>
  </si>
  <si>
    <t>000068037</t>
  </si>
  <si>
    <t>000068039</t>
  </si>
  <si>
    <t>000068529</t>
  </si>
  <si>
    <t>000068530</t>
  </si>
  <si>
    <t>000068472</t>
  </si>
  <si>
    <t>000068051</t>
  </si>
  <si>
    <t>000068452</t>
  </si>
  <si>
    <t>000068455</t>
  </si>
  <si>
    <t>000068448</t>
  </si>
  <si>
    <t>SERVIMED</t>
  </si>
  <si>
    <t>000068296</t>
  </si>
  <si>
    <t>000068059</t>
  </si>
  <si>
    <t>000068046</t>
  </si>
  <si>
    <t>000068269</t>
  </si>
  <si>
    <t>UNIMED CAMPO GRANDE</t>
  </si>
  <si>
    <t>000068510</t>
  </si>
  <si>
    <t>000068512</t>
  </si>
  <si>
    <t>000068049</t>
  </si>
  <si>
    <t>000068499</t>
  </si>
  <si>
    <t>000068268</t>
  </si>
  <si>
    <t>000068552</t>
  </si>
  <si>
    <t>UNIMED DE RIO CLARO</t>
  </si>
  <si>
    <t>000068520</t>
  </si>
  <si>
    <t>UNIMED PETROPOLIS</t>
  </si>
  <si>
    <t>000012759</t>
  </si>
  <si>
    <t>UNIMED SANTA MARIA/R</t>
  </si>
  <si>
    <t>000068451</t>
  </si>
  <si>
    <t>000068426</t>
  </si>
  <si>
    <t>000068434</t>
  </si>
  <si>
    <t>000068438</t>
  </si>
  <si>
    <t>000068439</t>
  </si>
  <si>
    <t>000068440</t>
  </si>
  <si>
    <t>000068441</t>
  </si>
  <si>
    <t>000068447</t>
  </si>
  <si>
    <t>000068496</t>
  </si>
  <si>
    <t>30 dias2</t>
  </si>
  <si>
    <t>31 a 60 dias3</t>
  </si>
  <si>
    <t>61 a 90 dias4</t>
  </si>
  <si>
    <t>91 a 120 dias5</t>
  </si>
  <si>
    <t>TOTAL6</t>
  </si>
  <si>
    <t>Total</t>
  </si>
  <si>
    <t>MICROMEDICAL IMPLANTES DO BRASIL LTDA</t>
  </si>
  <si>
    <t>1.1.20.100.002</t>
  </si>
  <si>
    <t>CAIXA BENEF. DOS FUNCIONARIOS DO BANCO ESTADO SAO PAULO</t>
  </si>
  <si>
    <t>1.1.20.100.003</t>
  </si>
  <si>
    <t>AMIL ASSISTENCIA MEDICA INTERNACIONAL SA</t>
  </si>
  <si>
    <t>1.1.20.100.004</t>
  </si>
  <si>
    <t>HOSPITAL ALVORADA TAGUATINGA LTDA</t>
  </si>
  <si>
    <t>1.1.20.100.005</t>
  </si>
  <si>
    <t>SOC BENEFICIENTE DE SENHORAS HOSPITAL SIRIO LIBANES</t>
  </si>
  <si>
    <t>1.1.20.100.006</t>
  </si>
  <si>
    <t>1.1.20.100.007</t>
  </si>
  <si>
    <t>PRONCOR UNIDADE INTENSIVA CARDIORESPIRATORIA S A</t>
  </si>
  <si>
    <t>1.1.20.100.008</t>
  </si>
  <si>
    <t>FUND DE APOIO AO ENSINO PESQ E ASSISTENCIA HCFMRPUSP</t>
  </si>
  <si>
    <t>1.1.20.100.009</t>
  </si>
  <si>
    <t>UNIMED SERRA GAUCHA/RS COOPERATIVA DE ASSISTENCIA A SAUDE LT</t>
  </si>
  <si>
    <t>1.1.20.100.010</t>
  </si>
  <si>
    <t>FUNDACAO SANEPAR DE ASSISTENCIA SOCIAL</t>
  </si>
  <si>
    <t>1.1.20.100.011</t>
  </si>
  <si>
    <t>SPDM - ASSOC PAULISTA PARA O DES DA MEDICINA</t>
  </si>
  <si>
    <t>1.1.20.100.012</t>
  </si>
  <si>
    <t>UNIMED RECIFE COOPERATIVA DE TRABALHO MEDICO</t>
  </si>
  <si>
    <t>1.1.20.100.013</t>
  </si>
  <si>
    <t>ASSOCIACAO SANTA SAUDE</t>
  </si>
  <si>
    <t>1.1.20.100.014</t>
  </si>
  <si>
    <t>FUNDACAO FACULDADE REGIONAL DE MEDICINA S.J.RIO PRETO</t>
  </si>
  <si>
    <t>1.1.20.100.015</t>
  </si>
  <si>
    <t>HOSPITAL E MATERNIDADE DR CHRISTOVAO DA GAMA S A</t>
  </si>
  <si>
    <t>1.1.20.100.016</t>
  </si>
  <si>
    <t>CORIS MEDICINA VASCULAR LTDA</t>
  </si>
  <si>
    <t>1.1.20.100.017</t>
  </si>
  <si>
    <t>1.1.20.100.018</t>
  </si>
  <si>
    <t>SUL AMERICA SERVICOS DE SAUDE S/A</t>
  </si>
  <si>
    <t>1.1.20.100.019</t>
  </si>
  <si>
    <t>UNIMED DE PRES PRUDENTE COOPERATIVA DE TRABALHO MEDICO</t>
  </si>
  <si>
    <t>1.1.20.100.020</t>
  </si>
  <si>
    <t>SURGMED COMERCIO IMP E EXP PROD P/ USO MEDICOS E HOSP LTDA</t>
  </si>
  <si>
    <t>1.1.20.100.021</t>
  </si>
  <si>
    <t>SOCIEDADE BENEFICENTE SAGRADA FAMILIA</t>
  </si>
  <si>
    <t>1.1.20.100.022</t>
  </si>
  <si>
    <t>POLICLIN S A SERVICOS MEDICO HOSPITALARES</t>
  </si>
  <si>
    <t>1.1.20.100.023</t>
  </si>
  <si>
    <t>IRMANDADE DA SANTA CASA DE MISERICORDIA DE MATAO</t>
  </si>
  <si>
    <t>1.1.20.100.024</t>
  </si>
  <si>
    <t>HOSPITAL DA FUNDACAO CASA DE CARIDADE DE SAO LOURENCO</t>
  </si>
  <si>
    <t>1.1.20.100.025</t>
  </si>
  <si>
    <t>IRMANDADE DA SANTA CASA DE MISERICORDIA DE SANTOS</t>
  </si>
  <si>
    <t>1.1.20.100.026</t>
  </si>
  <si>
    <t>IMPAR SERVICOS HOSPITALARES S/A</t>
  </si>
  <si>
    <t>1.1.20.100.027</t>
  </si>
  <si>
    <t>REDE DOR SAO LUIZ S.A.</t>
  </si>
  <si>
    <t>1.1.20.100.028</t>
  </si>
  <si>
    <t>REAL SOCIEDADE PORTUGUESA DE BENEF 16 DE SETEMBRO</t>
  </si>
  <si>
    <t>1.1.20.100.029</t>
  </si>
  <si>
    <t>SUL AMERICA COMPANHIA DE SEGURO SAUDE</t>
  </si>
  <si>
    <t>1.1.20.100.030</t>
  </si>
  <si>
    <t>UNIMED DE PIRACICABA SOCIEDADE COOPERATIVA DE SERVICOS MEDIC</t>
  </si>
  <si>
    <t>1.1.20.100.031</t>
  </si>
  <si>
    <t>GOCARE PLANOS DE SAUDE LTDA</t>
  </si>
  <si>
    <t>1.1.20.100.032</t>
  </si>
  <si>
    <t>REAL HOSPITAL PORTUGUES DE BENEFICENCIA EM PERNAMBUCO</t>
  </si>
  <si>
    <t>1.1.20.100.033</t>
  </si>
  <si>
    <t>1.1.20.100.034</t>
  </si>
  <si>
    <t>PLENA SAUDE S.A.</t>
  </si>
  <si>
    <t>1.1.20.100.035</t>
  </si>
  <si>
    <t>REAL E BENEMERITA ASSOCIACAO PORTUGUESA DE BENEFICENCIA</t>
  </si>
  <si>
    <t>1.1.20.100.036</t>
  </si>
  <si>
    <t>SELECT OPERADORA DE PLANO DE SAUDE LTDA</t>
  </si>
  <si>
    <t>1.1.20.100.037</t>
  </si>
  <si>
    <t>1.1.20.100.038</t>
  </si>
  <si>
    <t>HOSPITAL EVANGELICO DE LONDRINA</t>
  </si>
  <si>
    <t>1.1.20.100.039</t>
  </si>
  <si>
    <t>1.1.20.100.040</t>
  </si>
  <si>
    <t>NOTRE DAME INTERMEDICA SAUDE S.A.</t>
  </si>
  <si>
    <t>1.1.20.100.041</t>
  </si>
  <si>
    <t>1.1.20.100.042</t>
  </si>
  <si>
    <t>HOSPITAL DO SERVIDOR PUBLICO MUNICIPAL</t>
  </si>
  <si>
    <t>1.1.20.100.043</t>
  </si>
  <si>
    <t>CASA DE SAUDE SANTA MARCELINA</t>
  </si>
  <si>
    <t>1.1.20.100.044</t>
  </si>
  <si>
    <t>CENTRAL NACIONAL UNIMED - COOPERATIVA CENTRAL</t>
  </si>
  <si>
    <t>1.1.20.100.045</t>
  </si>
  <si>
    <t>ASSOCIACAO BENEFICENTE HOSPITAL UNIVERSITARIO</t>
  </si>
  <si>
    <t>1.1.20.100.046</t>
  </si>
  <si>
    <t>UNIMED SERGIPE - COOPERATIVA DE TRABALHO MEDICO</t>
  </si>
  <si>
    <t>1.1.20.100.047</t>
  </si>
  <si>
    <t>INSTITUTO SOCRATES GUANAES - ISG</t>
  </si>
  <si>
    <t>1.1.20.100.048</t>
  </si>
  <si>
    <t>ASSOCIACAO BENEFICENTE BOM SAMARITANO</t>
  </si>
  <si>
    <t>1.1.20.100.049</t>
  </si>
  <si>
    <t>ASSOCIACAO DO PLANO DE SAUDE DA SANTA CASA DE MISERICORDIA D</t>
  </si>
  <si>
    <t>1.1.20.100.050</t>
  </si>
  <si>
    <t>UNIMED JOAO PESSOA COOPERATIVA DE TRABALHO MEDICO</t>
  </si>
  <si>
    <t>1.1.20.100.051</t>
  </si>
  <si>
    <t>HOSPITAL DE CLINICAS ANTONIO AFONSO</t>
  </si>
  <si>
    <t>1.1.20.100.052</t>
  </si>
  <si>
    <t>UNIAO BRASILEIRA DE EDUCACAO E ASSISTENCIA</t>
  </si>
  <si>
    <t>1.1.20.100.053</t>
  </si>
  <si>
    <t>ASSOCIACAO PORTUGUESA DE BENEFICENCIA DE SAO JOSE DO RIO PRE</t>
  </si>
  <si>
    <t>1.1.20.100.054</t>
  </si>
  <si>
    <t>ASSOCIACAO BENEFICENTE SIRIA</t>
  </si>
  <si>
    <t>1.1.20.100.055</t>
  </si>
  <si>
    <t>HOSPITAL PALMAS MEDICAL S.A</t>
  </si>
  <si>
    <t>1.1.20.100.056</t>
  </si>
  <si>
    <t>INSTITUTO DE ANGIOLOGIA E CARDIOLOGIA DE GOIANIA LTDA</t>
  </si>
  <si>
    <t>1.1.20.100.057</t>
  </si>
  <si>
    <t>UNIMED DE SAO CARLOS - COOPERATIVA DE TRABALHO MEDICO</t>
  </si>
  <si>
    <t>1.1.20.100.058</t>
  </si>
  <si>
    <t>ASSOCIACAO CONGREGACAO SANTA CATARINA</t>
  </si>
  <si>
    <t>1.1.20.100.059</t>
  </si>
  <si>
    <t>UNIMED DE JUNDIAI COOPERATIVA DE TRABALHO MEDICO</t>
  </si>
  <si>
    <t>1.1.20.100.060</t>
  </si>
  <si>
    <t>SAMEL PLANO DE SAUDE LTDA.</t>
  </si>
  <si>
    <t>1.1.20.100.061</t>
  </si>
  <si>
    <t>RC RADIOLOGIA INTERVENCIONISTA LTDA</t>
  </si>
  <si>
    <t>1.1.20.100.062</t>
  </si>
  <si>
    <t>UNIMED DE BOTUCATU COOPERATIVA DE TRABALHO MEDICO</t>
  </si>
  <si>
    <t>1.1.20.100.063</t>
  </si>
  <si>
    <t>UNIVERSIDADE ESTADUAL DO OESTE DO PARANA</t>
  </si>
  <si>
    <t>1.1.20.100.064</t>
  </si>
  <si>
    <t>CLINICA DE CAMPO GRANDE S A</t>
  </si>
  <si>
    <t>1.1.20.100.065</t>
  </si>
  <si>
    <t>REDE D´OR SAO LUIZ S.A.</t>
  </si>
  <si>
    <t>1.1.20.100.066</t>
  </si>
  <si>
    <t>HOSPITAL SANTA CLARA</t>
  </si>
  <si>
    <t>1.1.20.100.067</t>
  </si>
  <si>
    <t>FUNDACAO FELICE ROSSO</t>
  </si>
  <si>
    <t>1.1.20.100.068</t>
  </si>
  <si>
    <t>SAMEDIL - SERVICOS DE ATENDIMENTO MEDICO S/A</t>
  </si>
  <si>
    <t>1.1.20.100.069</t>
  </si>
  <si>
    <t>UNIMED LITORAL COOPERATIVA DE TRABALHO MEDICO LTDA</t>
  </si>
  <si>
    <t>1.1.20.100.070</t>
  </si>
  <si>
    <t>UNIMED MACEIO COOPERATIVA DE TRABALHO MEDICO</t>
  </si>
  <si>
    <t>1.1.20.100.071</t>
  </si>
  <si>
    <t>SERVICO DE HEMODINAMICA E DIAGNOSTICO POR IMAGEM DO HOSPITAL</t>
  </si>
  <si>
    <t>1.1.20.100.072</t>
  </si>
  <si>
    <t>SOCIEDADE BENEFICENTE SAO CAMILO</t>
  </si>
  <si>
    <t>1.1.20.100.073</t>
  </si>
  <si>
    <t>SOCIEDADE BENEFICENTE SAO CAMILO-SANTANA</t>
  </si>
  <si>
    <t>1.1.20.100.074</t>
  </si>
  <si>
    <t>UNIMED SALTO/ITU - COOPERATIVA MEDICA</t>
  </si>
  <si>
    <t>1.1.20.100.075</t>
  </si>
  <si>
    <t>CAIXA DE ASSIST DOS SERV DO ESTADO DE MA</t>
  </si>
  <si>
    <t>1.1.20.100.076</t>
  </si>
  <si>
    <t>ASHOPE - ASSOCIACAO DE SERVICOS HOSPITALARES</t>
  </si>
  <si>
    <t>1.1.20.100.077</t>
  </si>
  <si>
    <t>1.1.20.100.078</t>
  </si>
  <si>
    <t>PROTECARDIO - CLINICA DE HEMODINAMICA, DIAGNOSTICO E TRATAME</t>
  </si>
  <si>
    <t>1.1.20.100.079</t>
  </si>
  <si>
    <t>BANCO BRADESCO SAUDE S/A</t>
  </si>
  <si>
    <t>1.1.20.100.080</t>
  </si>
  <si>
    <t>HOSPITAL MATER DEI S/A</t>
  </si>
  <si>
    <t>1.1.20.100.081</t>
  </si>
  <si>
    <t>UNIMAGEM UNIDADE DE DIAGNOSTICO POR IMAGEM SAO FRANCISCO DE</t>
  </si>
  <si>
    <t>1.1.20.100.082</t>
  </si>
  <si>
    <t>SECRETARIA DE ESTADO DE SAUDE DE MATO GROSSO - SES</t>
  </si>
  <si>
    <t>1.1.20.100.083</t>
  </si>
  <si>
    <t>UNIMED CURITIBA - SOCIEDADE COOPERATIVA DE MEDICOS</t>
  </si>
  <si>
    <t>1.1.20.100.084</t>
  </si>
  <si>
    <t>HBA SA ASSISTENCIA MEDICA E HOSPITALAR</t>
  </si>
  <si>
    <t>1.1.20.100.085</t>
  </si>
  <si>
    <t>1.1.20.100.086</t>
  </si>
  <si>
    <t>ARRUDA &amp; ARRUDA JUNIOR LTDA</t>
  </si>
  <si>
    <t>1.1.20.100.087</t>
  </si>
  <si>
    <t>UNIMED SAO JOSE DOS CAMPOS - COOPERATIVA DE TRABALHO MEDICO</t>
  </si>
  <si>
    <t>1.1.20.100.088</t>
  </si>
  <si>
    <t>UNIMED SAO JOSE DOS CAMPOS COOPERATIVA TRABALHO MEDICO</t>
  </si>
  <si>
    <t>1.1.20.100.089</t>
  </si>
  <si>
    <t>1.1.20.100.090</t>
  </si>
  <si>
    <t>SOCIEDADE B H SANTA CASA DE MISERICORDIA DE R PRETO</t>
  </si>
  <si>
    <t>1.1.20.100.091</t>
  </si>
  <si>
    <t>POSTAL SAUDE - CAIXA DE ASSIST E SAUDE DOS FUNC DOS CORREIOS</t>
  </si>
  <si>
    <t>1.1.20.100.092</t>
  </si>
  <si>
    <t>SANTA HELENA ASSISTENCIA MEDICA S/A</t>
  </si>
  <si>
    <t>1.1.20.100.093</t>
  </si>
  <si>
    <t>FUNDACAO GERALDO CORREA</t>
  </si>
  <si>
    <t>1.1.20.100.094</t>
  </si>
  <si>
    <t>NOSSA SAUDE OPERADORA DE PLANOS PRIVADOS DE ASSISTENCIA A SA</t>
  </si>
  <si>
    <t>1.1.20.100.095</t>
  </si>
  <si>
    <t>UNIMED REGIONAL JAU COOPERATIVA DE TRABALHO MEDICO</t>
  </si>
  <si>
    <t>1.1.20.100.096</t>
  </si>
  <si>
    <t>SANTA CASA DE MISERICORDIA DE MARILIA</t>
  </si>
  <si>
    <t>1.1.20.100.097</t>
  </si>
  <si>
    <t>AMICO SAUDE LTDA</t>
  </si>
  <si>
    <t>1.1.20.100.098</t>
  </si>
  <si>
    <t>ASSOCIACAO SAO FRANCISCO VIDA</t>
  </si>
  <si>
    <t>1.1.20.100.099</t>
  </si>
  <si>
    <t>ASSOCIACAO DOS AGENTES FISCAIS DE RENDAS DO ESTADO DE SAO PA</t>
  </si>
  <si>
    <t>1.1.20.100.1</t>
  </si>
  <si>
    <t>INSTITUTO NACIONAL DE TECNOLOGIA E SAUDE</t>
  </si>
  <si>
    <t>1.1.20.100.10</t>
  </si>
  <si>
    <t>CAIXA DE ASSISTENCIA OSWALDO CRUZ</t>
  </si>
  <si>
    <t>FUNDACAO HOSPITALAR SAO LUCAS</t>
  </si>
  <si>
    <t>HOSPITAIS INTEGRADOS DA GAVEA S/A</t>
  </si>
  <si>
    <t>HOSPITAL DO CORACAO DE GOIAS LTDA</t>
  </si>
  <si>
    <t>HOSPITAL ESPERANCA SA</t>
  </si>
  <si>
    <t>INSTITUTO PERNAMBUCO DE CIRURGIA E ORTOPEDIA LTDA</t>
  </si>
  <si>
    <t>IRMANDADE DA SANTA CASA DE MISERICORDIA DE LIMEIRA</t>
  </si>
  <si>
    <t>NATHALIA MARQUES CATELAN</t>
  </si>
  <si>
    <t>SECRETARIA DE ESTADO DA SAUDE - SUSAM</t>
  </si>
  <si>
    <t>UNIMED DE MACAE COOPERATIVA DE ASSISTENCIA A SAUDE</t>
  </si>
  <si>
    <t>UNIMED SAO GONCALO NITEROI SOC COOP SERV MED HOSP LTDA</t>
  </si>
  <si>
    <t>1.1.20.100.100</t>
  </si>
  <si>
    <t>1.1.20.100.101</t>
  </si>
  <si>
    <t>AUSTACLINICAS ASSISTENCIA MEDICA E HOSPITALAR LTDA</t>
  </si>
  <si>
    <t>1.1.20.100.102</t>
  </si>
  <si>
    <t>SOCIEDADE BENEFICENTE SAO CAMILO- POMPEIA</t>
  </si>
  <si>
    <t>1.1.20.100.103</t>
  </si>
  <si>
    <t>UNIMED GRANDE FLORIANOPOLIS - COOPERATIVA DE TRABALHO MEDICO</t>
  </si>
  <si>
    <t>1.1.20.100.104</t>
  </si>
  <si>
    <t>SANTA CASA DE MISERICORDIA DA BAHIA</t>
  </si>
  <si>
    <t>1.1.20.100.105</t>
  </si>
  <si>
    <t>HOSPITAL POLICLINICA CASCAVEL S.A.</t>
  </si>
  <si>
    <t>1.1.20.100.106</t>
  </si>
  <si>
    <t>UNIMED REGIONAL MARINGA - COOPERATIVA DE TRABALHO MEDICO</t>
  </si>
  <si>
    <t>1.1.20.100.107</t>
  </si>
  <si>
    <t>UNIMED DE LONDRINA COOPERATIVA DE TRABALHO MEDICO</t>
  </si>
  <si>
    <t>1.1.20.100.108</t>
  </si>
  <si>
    <t>UNIMED DE SANTOS COOP DE TRABALHO MEDICO</t>
  </si>
  <si>
    <t>1.1.20.100.109</t>
  </si>
  <si>
    <t>ASSOCIACAO HOSPITALAR FILHAS DE NOSSA SENHORA DO MONTE CALVA</t>
  </si>
  <si>
    <t>1.1.20.100.11</t>
  </si>
  <si>
    <t>CENTRO DE CARDIOLOGIA E RADIOLOGIA INTERVENCIONISTA LTDA</t>
  </si>
  <si>
    <t>CONFERENCIA SAO JOSE DO AVAI</t>
  </si>
  <si>
    <t>ESHO EMPRESA DE SERVICOS HOSPITALARES S.A.</t>
  </si>
  <si>
    <t>HOSPITAL ENCORE LTDA</t>
  </si>
  <si>
    <t>HOSPITAL SANTA JULIA LTDA</t>
  </si>
  <si>
    <t>NEUROCOR - DIAGNOSTICO E TERAPEUTICA ENDOVASCULAR LTDA</t>
  </si>
  <si>
    <t>THOMAS PESSOA DO NASCIMENTO</t>
  </si>
  <si>
    <t>1.1.20.100.110</t>
  </si>
  <si>
    <t>ASSOCIACAO POLICIAL DE ASSISTENCIA A SAUDE DE BAURU</t>
  </si>
  <si>
    <t>1.1.20.100.111</t>
  </si>
  <si>
    <t>PREVENT SENIOR ATENDIMENTO A SAUDE LTDA.</t>
  </si>
  <si>
    <t>1.1.20.100.112</t>
  </si>
  <si>
    <t>ENDOCATH DIAGNOSTICOS E TRATAMENTOS LTDA</t>
  </si>
  <si>
    <t>1.1.20.100.113</t>
  </si>
  <si>
    <t>HUMANA SAUDE LTDA</t>
  </si>
  <si>
    <t>1.1.20.100.114</t>
  </si>
  <si>
    <t>ASSOCIACAO MAIS SAUDE SANTA CASA DE SAO</t>
  </si>
  <si>
    <t>1.1.20.100.115</t>
  </si>
  <si>
    <t>PROMEDICA PATRIMONIAL S A PROPAT</t>
  </si>
  <si>
    <t>1.1.20.100.116</t>
  </si>
  <si>
    <t>1.1.20.100.117</t>
  </si>
  <si>
    <t>UNIMED GOIANIA COOPERATIVA DE TRABALHO MEDICO</t>
  </si>
  <si>
    <t>1.1.20.100.118</t>
  </si>
  <si>
    <t>INSTITUTO DAS PEQUENAS MISSIONARIAS DE MARIA IMACULADA</t>
  </si>
  <si>
    <t>1.1.20.100.119</t>
  </si>
  <si>
    <t>HOSPITAL DE CLINICAS JARDIM HELENA LTDA</t>
  </si>
  <si>
    <t>1.1.20.100.12</t>
  </si>
  <si>
    <t>FUNDACAO BAHIANA DE CARDIOLOGIA</t>
  </si>
  <si>
    <t>HEITOR FERREIRA BUREI</t>
  </si>
  <si>
    <t>HOSPITAL PROHOPE LTDA</t>
  </si>
  <si>
    <t>LETICIA VITORIA ROCHA FEITOSA</t>
  </si>
  <si>
    <t>SANTA CASA DE MISERICORDIA DE BARRA MANSA</t>
  </si>
  <si>
    <t>UNIMED ANHANGUERA COOPERATIVA DE TRABALHO MEDICO</t>
  </si>
  <si>
    <t>UNIMED CASCAVEL - COOP. DE TRABALHO MEDICO LTDA</t>
  </si>
  <si>
    <t>1.1.20.100.120</t>
  </si>
  <si>
    <t>CAIXA DE PREVIDENCIA E ASSISTENCIA DOS SERVIDORES DA FUNDACA</t>
  </si>
  <si>
    <t>1.1.20.100.121</t>
  </si>
  <si>
    <t>SF SISTEMA DE SAUDE LTDA</t>
  </si>
  <si>
    <t>1.1.20.100.122</t>
  </si>
  <si>
    <t>REDE DOR SAO LUIZ S.A- OSASCO</t>
  </si>
  <si>
    <t>1.1.20.100.123</t>
  </si>
  <si>
    <t>HSS SAUDE S/A</t>
  </si>
  <si>
    <t>1.1.20.100.124</t>
  </si>
  <si>
    <t>PORTO SEGURO - SEGURO SAUDE S/A</t>
  </si>
  <si>
    <t>1.1.20.100.125</t>
  </si>
  <si>
    <t>UNIMED DE MARILIA COOPERATIVA DE TRABALHO MEDICO</t>
  </si>
  <si>
    <t>1.1.20.100.126</t>
  </si>
  <si>
    <t>HOSPITAL 22 DE OUTUBRO SOCIEDADE LTDA</t>
  </si>
  <si>
    <t>1.1.20.100.127</t>
  </si>
  <si>
    <t>SOCIEDADE HOSPITALAR ANGELINA CARON</t>
  </si>
  <si>
    <t>1.1.20.100.128</t>
  </si>
  <si>
    <t>UNIMED DO SUDOESTE COOPERATIVA DE TRABALHO MEDICO LTDA</t>
  </si>
  <si>
    <t>1.1.20.100.129</t>
  </si>
  <si>
    <t>ASSOCIACAO POLICIAL DE ASSISTENCIA A SAUDE</t>
  </si>
  <si>
    <t>1.1.20.100.13</t>
  </si>
  <si>
    <t>HOSPITAL BOM CLIMA LTDA</t>
  </si>
  <si>
    <t>JOAO GUILHERME LEITE BARBOSA</t>
  </si>
  <si>
    <t>UNIMED NATAL SOCIEDADE COOPERATIVA DE TRABALHO MEDICO</t>
  </si>
  <si>
    <t>VIP LINE COMERCIO DE MATERIAL MEDICO LTDA</t>
  </si>
  <si>
    <t>1.1.20.100.130</t>
  </si>
  <si>
    <t>ASSOCIACAO BENEFICENTE PORTUGUESA DE BAURU</t>
  </si>
  <si>
    <t>1.1.20.100.131</t>
  </si>
  <si>
    <t>UNIMED SEGUROS SAUDE S/A</t>
  </si>
  <si>
    <t>1.1.20.100.132</t>
  </si>
  <si>
    <t>1.1.20.100.133</t>
  </si>
  <si>
    <t>AMIL ASSISTENCIA MEDICA INTERNACIONAL S.A.</t>
  </si>
  <si>
    <t>1.1.20.100.134</t>
  </si>
  <si>
    <t>1.1.20.100.135</t>
  </si>
  <si>
    <t>1.1.20.100.136</t>
  </si>
  <si>
    <t>CASA DE SAUDE SANTA THEREZINHA LTDA.</t>
  </si>
  <si>
    <t>1.1.20.100.137</t>
  </si>
  <si>
    <t>1.1.20.100.138</t>
  </si>
  <si>
    <t>HOSPITAL DO CORACAO SAMCORDIS LTDA</t>
  </si>
  <si>
    <t>1.1.20.100.139</t>
  </si>
  <si>
    <t>UNIMED SAO GONCALO NITEROI SOC COOP SERV</t>
  </si>
  <si>
    <t>1.1.20.100.14</t>
  </si>
  <si>
    <t>CENTRO MEDICO RIO PRETO S.A</t>
  </si>
  <si>
    <t>IMPLANTUS MATERIAIS CIRURGICOS</t>
  </si>
  <si>
    <t>INTENSIVA DAY HOSPITAL LTDA</t>
  </si>
  <si>
    <t>JOSE ALBERTO BATISTA FILHO</t>
  </si>
  <si>
    <t>SANTA CASA DE MISERICORDIA DE PASSOS</t>
  </si>
  <si>
    <t>1.1.20.100.140</t>
  </si>
  <si>
    <t>1.1.20.100.141</t>
  </si>
  <si>
    <t>HOSPITAL FLUMINENSE S/A</t>
  </si>
  <si>
    <t>1.1.20.100.142</t>
  </si>
  <si>
    <t>REAL GRANDEZA FUNDACAO DE PREVIDENCIA E ASSIST SOCIAL</t>
  </si>
  <si>
    <t>1.1.20.100.143</t>
  </si>
  <si>
    <t>1.1.20.100.144</t>
  </si>
  <si>
    <t>AMESC - ASSOCIACAO MEDICA ESPIRITA CRISTA</t>
  </si>
  <si>
    <t>1.1.20.100.145</t>
  </si>
  <si>
    <t>HOSPITAL ILHA DO GOVERNADOR LTDA</t>
  </si>
  <si>
    <t>1.1.20.100.146</t>
  </si>
  <si>
    <t>GRUPO HOSPITALAR DO RIO DE JANEIRO LTDA.</t>
  </si>
  <si>
    <t>1.1.20.100.147</t>
  </si>
  <si>
    <t>GEAP AUTOGESTAO EM SAUDE RJ</t>
  </si>
  <si>
    <t>1.1.20.100.148</t>
  </si>
  <si>
    <t>HOSP CASA SAO BERNARDO HOSP. GERAL ADM. E GESTAO HOSPI. LTDA</t>
  </si>
  <si>
    <t>1.1.20.100.149</t>
  </si>
  <si>
    <t>HOSPITAL DI CAMP LTDA</t>
  </si>
  <si>
    <t>1.1.20.100.15</t>
  </si>
  <si>
    <t>ASSOCIACAO HOSPITALAR SANTANA</t>
  </si>
  <si>
    <t>INSTITUTO MARIA SCHMITT DE DESENVOLVIMENTO DE ENSINO, ASSIST</t>
  </si>
  <si>
    <t>LEONARDO DEMETRIO PAULINI</t>
  </si>
  <si>
    <t>1.1.20.100.150</t>
  </si>
  <si>
    <t>LEVE SAUDE OPERADORA DE PLANOS DE SAUDE S.A.</t>
  </si>
  <si>
    <t>1.1.20.100.151</t>
  </si>
  <si>
    <t>LARISSA PORTO DOS SANTOS SILVA</t>
  </si>
  <si>
    <t>1.1.20.100.152</t>
  </si>
  <si>
    <t>RENATO MAIA CARDOSO</t>
  </si>
  <si>
    <t>1.1.20.100.153</t>
  </si>
  <si>
    <t>INSTITUICAO ADVENTISTA ESTE BRAS. DE PREV E ASS. A SAUDE</t>
  </si>
  <si>
    <t>1.1.20.100.154</t>
  </si>
  <si>
    <t>1.1.20.100.155</t>
  </si>
  <si>
    <t>UNIMED DO EST R J FEDERACAO EST DAS COOPERATIVAS MED</t>
  </si>
  <si>
    <t>1.1.20.100.156</t>
  </si>
  <si>
    <t>UNIMED DE VOLTA REDONDA COOPERATIVA DE TRABALHO MEDICO</t>
  </si>
  <si>
    <t>1.1.20.100.157</t>
  </si>
  <si>
    <t>CLINICA SAO GONCALO LTDA</t>
  </si>
  <si>
    <t>1.1.20.100.158</t>
  </si>
  <si>
    <t>UNIMED CENTRO SUL FLUMINENSE COOPERATIVA DE TRABALHO MEDICO</t>
  </si>
  <si>
    <t>1.1.20.100.159</t>
  </si>
  <si>
    <t>1.1.20.100.16</t>
  </si>
  <si>
    <t>AGATHA LUNA VITORIA MENEZES DOS SANTOS</t>
  </si>
  <si>
    <t>SOCIEDADE BENEFICENTE SAO CAMILO - IPIRANGA</t>
  </si>
  <si>
    <t>1.1.20.100.160</t>
  </si>
  <si>
    <t>CASA DE CARIDADE DOM ORIONE</t>
  </si>
  <si>
    <t>1.1.20.100.161</t>
  </si>
  <si>
    <t>UNIMED DE NOVA FRIBURGO SOC. COOP. DE SERV. MED. E HOSP.</t>
  </si>
  <si>
    <t>1.1.20.100.162</t>
  </si>
  <si>
    <t>1.1.20.100.163</t>
  </si>
  <si>
    <t>HOSPITAL PAN-AMERICANO (AMIL)</t>
  </si>
  <si>
    <t>1.1.20.100.164</t>
  </si>
  <si>
    <t>KLINI PLANOS DE SAUDE LTDA</t>
  </si>
  <si>
    <t>1.1.20.100.165</t>
  </si>
  <si>
    <t>LIV LINHAS INTELIGENTES DE ATENCAO A VIDA S/A</t>
  </si>
  <si>
    <t>1.1.20.100.166</t>
  </si>
  <si>
    <t>1.1.20.100.167</t>
  </si>
  <si>
    <t>HOSPITAL DR BALBINO LTDA</t>
  </si>
  <si>
    <t>1.1.20.100.168</t>
  </si>
  <si>
    <t>INSTITUTO DO CANCER DO CEARA</t>
  </si>
  <si>
    <t>1.1.20.100.169</t>
  </si>
  <si>
    <t>MEDISE MEDICINA DIAGNOSTICO E SERVICOS SA</t>
  </si>
  <si>
    <t>1.1.20.100.17</t>
  </si>
  <si>
    <t>AMEPLAN ASSISTENCIA MEDICA PLANEJADA LTDA</t>
  </si>
  <si>
    <t>CENTRO BARBACENENSE DE ASSISTENCIA MEDICA E SOCIAL</t>
  </si>
  <si>
    <t>1.1.20.100.170</t>
  </si>
  <si>
    <t>OPERADORA UNIESTE DE PLANOS DE SAUDE LTDA</t>
  </si>
  <si>
    <t>1.1.20.100.171</t>
  </si>
  <si>
    <t>CAIXA DE ASSISTENCIA A SAUDE CABERJ</t>
  </si>
  <si>
    <t>1.1.20.100.172</t>
  </si>
  <si>
    <t>INSTITUTO CIRURGICO GABRIEL DE LUCENA LTDA</t>
  </si>
  <si>
    <t>1.1.20.100.173</t>
  </si>
  <si>
    <t>UNIMED DO BRASIL CONFEDERACAO NAC DAS COOPERATIVAS MED</t>
  </si>
  <si>
    <t>1.1.20.100.174</t>
  </si>
  <si>
    <t>1.1.20.100.175</t>
  </si>
  <si>
    <t>SAMOC S/A SOC ASSISTENCIAL MEDICA E ODONTO-CIRURGICA</t>
  </si>
  <si>
    <t>1.1.20.100.176</t>
  </si>
  <si>
    <t>ESHO EMPRESA DE SERVICOS HOSPITALARES S A</t>
  </si>
  <si>
    <t>1.1.20.100.177</t>
  </si>
  <si>
    <t>BENEFICENCIA NIPO-BRASILEIRA DE SAO PAULO</t>
  </si>
  <si>
    <t>1.1.20.100.178</t>
  </si>
  <si>
    <t>ASSOCIACAO DOS SERVIDORES DA EMDAGRO ASSEM</t>
  </si>
  <si>
    <t>1.1.20.100.179</t>
  </si>
  <si>
    <t>UNIMED SUDOESTE DE MINAS COOPERATIVA DE TRABALHO MEDICO</t>
  </si>
  <si>
    <t>1.1.20.100.18</t>
  </si>
  <si>
    <t>INSTITUTO BRASILEIRO DE GESTAO DA SAUDE</t>
  </si>
  <si>
    <t>UNIMED REGIONAL DA BAIXA MOGIANA COOP DE TRABALHO MED</t>
  </si>
  <si>
    <t>1.1.20.100.180</t>
  </si>
  <si>
    <t>GEAP AUTOGESTAO EM SAUDE</t>
  </si>
  <si>
    <t>1.1.20.100.181</t>
  </si>
  <si>
    <t>SERVICO DE ASSISTENCIA A SAUDE DO SERVIDOR MUNICIPAL - SERVI</t>
  </si>
  <si>
    <t>1.1.20.100.182</t>
  </si>
  <si>
    <t>UNICA ASSISTENCIA MEDICA LTDA</t>
  </si>
  <si>
    <t>1.1.20.100.183</t>
  </si>
  <si>
    <t>CARE PLUS MEDICINA ASSISTENCIAL LTDA</t>
  </si>
  <si>
    <t>1.1.20.100.184</t>
  </si>
  <si>
    <t>BRADESCO SAUDE OPERADORA DE PLANOS SA</t>
  </si>
  <si>
    <t>1.1.20.100.185</t>
  </si>
  <si>
    <t>1.1.20.100.186</t>
  </si>
  <si>
    <t>UNIVERSIDADE FEDERAL DA BAHIA</t>
  </si>
  <si>
    <t>1.1.20.100.187</t>
  </si>
  <si>
    <t>1.1.20.100.188</t>
  </si>
  <si>
    <t>1.1.20.100.189</t>
  </si>
  <si>
    <t>FUNDO MUNICIPAL DE SAUDE - FMS</t>
  </si>
  <si>
    <t>1.1.20.100.19</t>
  </si>
  <si>
    <t>UNIMED DE GUARATINGUETA COOPERATIVA DE TRABALHO MEDICO</t>
  </si>
  <si>
    <t>UNIMED LESTE PAULISTA COOPERATIVA DE TRABALHO MEDICO</t>
  </si>
  <si>
    <t>1.1.20.100.190</t>
  </si>
  <si>
    <t>UNIMED COSTA DO DESCOBRIMENTO COOPERATIVA DE TRABALHO MEDICO</t>
  </si>
  <si>
    <t>1.1.20.100.191</t>
  </si>
  <si>
    <t>CAIXA DE ASSISTENCIA DOS FUNCIONARIOS DO BANCO DO BRASIL</t>
  </si>
  <si>
    <t>1.1.20.100.192</t>
  </si>
  <si>
    <t>ASSOCIACAO PETROBRAS DE SAUDE - APS</t>
  </si>
  <si>
    <t>1.1.20.100.193</t>
  </si>
  <si>
    <t>1.1.20.100.194</t>
  </si>
  <si>
    <t>IRMANDADE SANTA CASA DE MISERICORDIA DE MARINGA</t>
  </si>
  <si>
    <t>1.1.20.100.195</t>
  </si>
  <si>
    <t>C A MEDICAL IMP. EXP. E REPRESENTACAO LTDA</t>
  </si>
  <si>
    <t>1.1.20.100.196</t>
  </si>
  <si>
    <t>SPDM ASSOCIACAO PAULISTA P/DESENVOLVIMENTO DA MEDICINA</t>
  </si>
  <si>
    <t>1.1.20.100.197</t>
  </si>
  <si>
    <t>ASS POLICIAL DE ASSISTENCIA A SAUDE DA BAIXADA SANTISTA</t>
  </si>
  <si>
    <t>1.1.20.100.198</t>
  </si>
  <si>
    <t>SOUZA E PRADO LTDA</t>
  </si>
  <si>
    <t>1.1.20.100.199</t>
  </si>
  <si>
    <t>R.M.I. OPERADORA DE SAUDE INTEGRADA LTDA.</t>
  </si>
  <si>
    <t>1.1.20.100.2</t>
  </si>
  <si>
    <t>UNIMED NORTE PAULISTA - COOPERATIVA DE TRABALHO MEDICO</t>
  </si>
  <si>
    <t>1.1.20.100.20</t>
  </si>
  <si>
    <t>JOAO VINICIUS AVELINO DE LIMA</t>
  </si>
  <si>
    <t>SANTA CASA DE MISERICORDIA DE VITORIA DA CONQUISTA</t>
  </si>
  <si>
    <t>1.1.20.100.200</t>
  </si>
  <si>
    <t>3T MEDICAL MATERIAL HOSPITALAR LTDA</t>
  </si>
  <si>
    <t>1.1.20.100.201</t>
  </si>
  <si>
    <t>1.1.20.100.202</t>
  </si>
  <si>
    <t>CASA DE SAUDE SANTA RITA DE CASSIA LTDA</t>
  </si>
  <si>
    <t>1.1.20.100.203</t>
  </si>
  <si>
    <t>1.1.20.100.204</t>
  </si>
  <si>
    <t>1.1.20.100.205</t>
  </si>
  <si>
    <t>CASA DE SAUDE NOSSA SENHORA DO CARMO</t>
  </si>
  <si>
    <t>1.1.20.100.206</t>
  </si>
  <si>
    <t>1.1.20.100.207</t>
  </si>
  <si>
    <t>1.1.20.100.208</t>
  </si>
  <si>
    <t>1.1.20.100.209</t>
  </si>
  <si>
    <t>HOSPITAL MATER DEI S.A.</t>
  </si>
  <si>
    <t>1.1.20.100.21</t>
  </si>
  <si>
    <t>AZEVEDO &amp; AZEVEDO LTDA</t>
  </si>
  <si>
    <t>STA CASA DE MISERICORDIA E MATERNIDADE DE RONDONOPOLIS</t>
  </si>
  <si>
    <t>1.1.20.100.210</t>
  </si>
  <si>
    <t>BAHIA SECRETARIA DE SAUDE DO ESTADO</t>
  </si>
  <si>
    <t>1.1.20.100.211</t>
  </si>
  <si>
    <t>1.1.20.100.212</t>
  </si>
  <si>
    <t>1.1.20.100.213</t>
  </si>
  <si>
    <t>INSTITUTO RODOLFO NEIROTTI DE GERENCIAMENTO E PESQUISA LTDA</t>
  </si>
  <si>
    <t>1.1.20.100.214</t>
  </si>
  <si>
    <t>1.1.20.100.215</t>
  </si>
  <si>
    <t>IRMANDADE DA SANTA CASA DE MISERICORDIA DE CURITIBA</t>
  </si>
  <si>
    <t>1.1.20.100.216</t>
  </si>
  <si>
    <t>GEAP AUTOGESTAO EM SAUDE SC</t>
  </si>
  <si>
    <t>1.1.20.100.217</t>
  </si>
  <si>
    <t>MED-TOUR ADMINISTRADORA DE BENEFICIOS E EMPREENDIMENTOS LTDA</t>
  </si>
  <si>
    <t>1.1.20.100.218</t>
  </si>
  <si>
    <t>UNIMED CENTRO RONDONIA COOPERATIVA DE TRABALHO MEDICO</t>
  </si>
  <si>
    <t>1.1.20.100.219</t>
  </si>
  <si>
    <t>1.1.20.100.22</t>
  </si>
  <si>
    <t>SECRETARIA MUNICIPAL DA SAUDE</t>
  </si>
  <si>
    <t>1.1.20.100.220</t>
  </si>
  <si>
    <t>1.1.20.100.221</t>
  </si>
  <si>
    <t>HOSPITAL SAO VICENTE - RIO DE JANEIRO</t>
  </si>
  <si>
    <t>1.1.20.100.222</t>
  </si>
  <si>
    <t>UNIMED DE NOVA FRIBURGO SOC COOP DE SERV MED E HOSP LTD</t>
  </si>
  <si>
    <t>1.1.20.100.223</t>
  </si>
  <si>
    <t>1.1.20.100.224</t>
  </si>
  <si>
    <t>ASSOCIACAO CONGREGACAO DE SANTA CATARINA</t>
  </si>
  <si>
    <t>1.1.20.100.225</t>
  </si>
  <si>
    <t>CASA DE SAUDE SAO LUCAS S/A</t>
  </si>
  <si>
    <t>1.1.20.100.226</t>
  </si>
  <si>
    <t>SUPRICORP SUPRIMENTOS LTDA</t>
  </si>
  <si>
    <t>1.1.20.100.227</t>
  </si>
  <si>
    <t>VS  MEDICINA ESPECIALIZADA LTDA</t>
  </si>
  <si>
    <t>1.1.20.100.228</t>
  </si>
  <si>
    <t>FUNDACAO ADIB JATENE</t>
  </si>
  <si>
    <t>1.1.20.100.229</t>
  </si>
  <si>
    <t>1.1.20.100.230</t>
  </si>
  <si>
    <t>UNIMED SJRPRETO COOPERATIVA DE TRABALHO MEDICO</t>
  </si>
  <si>
    <t>1.1.20.100.231</t>
  </si>
  <si>
    <t>HOSPITAL SANTA ROSA S.A.</t>
  </si>
  <si>
    <t>1.1.20.100.232</t>
  </si>
  <si>
    <t>ASSOCIACAO SANTA CASA SAUDE DE SAO JOSE DOS CAMPOS</t>
  </si>
  <si>
    <t>1.1.20.100.233</t>
  </si>
  <si>
    <t>REDE PRIMAVERA - ASSISTENCIA MEDICA HOSPITALAR LTDA</t>
  </si>
  <si>
    <t>1.1.20.100.234</t>
  </si>
  <si>
    <t>LACIC - LAB DE HEMODINAMICA E CARD INTERV DO CENTRO OESTE</t>
  </si>
  <si>
    <t>1.1.20.100.235</t>
  </si>
  <si>
    <t>FUNDACAO UNIVERSIDADE FEDERAL DE MATO GROSSO DO SUL</t>
  </si>
  <si>
    <t>1.1.20.100.236</t>
  </si>
  <si>
    <t>FUNDACAO SAO FRANCISCO XAVIER</t>
  </si>
  <si>
    <t>1.1.20.100.237</t>
  </si>
  <si>
    <t>INSTITUTO CURITIBA DE SAUDE</t>
  </si>
  <si>
    <t>1.1.20.100.238</t>
  </si>
  <si>
    <t>CENTRO CARDIOLOGICO SOARES E COELHO LTDA</t>
  </si>
  <si>
    <t>1.1.20.100.239</t>
  </si>
  <si>
    <t>1.1.20.100.240</t>
  </si>
  <si>
    <t>SOCIEDADE BENEF ISRAELITABRAS HOSPITAL ALBERT EINSTEIN</t>
  </si>
  <si>
    <t>1.1.20.100.241</t>
  </si>
  <si>
    <t>FUNDACAO DA SEGURIDADE</t>
  </si>
  <si>
    <t>1.1.20.100.242</t>
  </si>
  <si>
    <t>BIOCATH COMERCIO DE PRODUTOS HOSPITALARES LTDA</t>
  </si>
  <si>
    <t>1.1.20.100.243</t>
  </si>
  <si>
    <t>CABERJ INTEGRAL SAUDE S</t>
  </si>
  <si>
    <t>1.1.20.100.244</t>
  </si>
  <si>
    <t>1.1.20.100.245</t>
  </si>
  <si>
    <t>HOSPITAL DAS CLINICAS DE JUSCELINO LTDA</t>
  </si>
  <si>
    <t>1.1.20.100.246</t>
  </si>
  <si>
    <t>1.1.20.100.247</t>
  </si>
  <si>
    <t>1.1.20.100.248</t>
  </si>
  <si>
    <t>UNIMED RIO EMPREENDIMENTOS MEDICOS E HOSPITALARES LTDA</t>
  </si>
  <si>
    <t>1.1.20.100.249</t>
  </si>
  <si>
    <t>1.1.20.100.250</t>
  </si>
  <si>
    <t>1.1.20.100.251</t>
  </si>
  <si>
    <t>HOSPITAL SAO RAFAEL SA</t>
  </si>
  <si>
    <t>1.1.20.100.252</t>
  </si>
  <si>
    <t>CARDIO PULMONAR DA BAHIA S.A</t>
  </si>
  <si>
    <t>1.1.20.100.253</t>
  </si>
  <si>
    <t>1.1.20.100.254</t>
  </si>
  <si>
    <t>1.1.20.100.255</t>
  </si>
  <si>
    <t>PROMEDICA - PROTECAO MEDICA A EMPRESAS S.A.</t>
  </si>
  <si>
    <t>1.1.20.100.256</t>
  </si>
  <si>
    <t>HOSPITAL SANTA ISABEL S A</t>
  </si>
  <si>
    <t>1.1.20.100.257</t>
  </si>
  <si>
    <t>1.1.20.100.258</t>
  </si>
  <si>
    <t>J BADIM SA</t>
  </si>
  <si>
    <t>1.1.20.100.259</t>
  </si>
  <si>
    <t>1.1.20.100.260</t>
  </si>
  <si>
    <t>INSTITUTO DE TRATAMENTO ENDOVASCULAR LTDA</t>
  </si>
  <si>
    <t>1.1.20.100.261</t>
  </si>
  <si>
    <t>1.1.20.100.262</t>
  </si>
  <si>
    <t>CECOR SERVICOS MEDICOS S/C LTDA - ME</t>
  </si>
  <si>
    <t>1.1.20.100.263</t>
  </si>
  <si>
    <t>SISTEMAS E PLANOS DE SAUDE LTDA.</t>
  </si>
  <si>
    <t>1.1.20.100.264</t>
  </si>
  <si>
    <t>HOSPITAL SAO LUCAS SA</t>
  </si>
  <si>
    <t>1.1.20.100.265</t>
  </si>
  <si>
    <t>CRUZ VERMELHA BRASILEIRA - FILIAL DO ESTADO DO PARANA</t>
  </si>
  <si>
    <t>1.1.20.100.266</t>
  </si>
  <si>
    <t>REDE DOR SAO LUIZ SA</t>
  </si>
  <si>
    <t>1.1.20.100.267</t>
  </si>
  <si>
    <t>1.1.20.100.268</t>
  </si>
  <si>
    <t>UNIMED PETROPOLIS COOPERATIVA DE TRABALHO MEDICO</t>
  </si>
  <si>
    <t>1.1.20.100.269</t>
  </si>
  <si>
    <t>HOSPITAL CASA DE PORTUGAL- HOSPITAL GERAL, ADMINISTRACAO E G</t>
  </si>
  <si>
    <t>1.1.20.100.270</t>
  </si>
  <si>
    <t>CASA DE SAUDE SANTA MARIA SA</t>
  </si>
  <si>
    <t>1.1.20.100.271</t>
  </si>
  <si>
    <t>AMA ASSISTENCIA MEDICA ALTERNATIVA LTDA</t>
  </si>
  <si>
    <t>1.1.20.100.272</t>
  </si>
  <si>
    <t>PROCOR PRONTO SOCORRO CLINICO E CARDIOLOGICO LTDA</t>
  </si>
  <si>
    <t>1.1.20.100.273</t>
  </si>
  <si>
    <t>SMH SOCIEDADE MEDICO HOSPITALAR</t>
  </si>
  <si>
    <t>1.1.20.100.274</t>
  </si>
  <si>
    <t>Z S ECOMMERCE LTDA</t>
  </si>
  <si>
    <t>1.1.20.100.275</t>
  </si>
  <si>
    <t>IRMANDADE DA SANTA CASA DE MISERICORDIA DE SAO CARLOS</t>
  </si>
  <si>
    <t>1.1.20.100.276</t>
  </si>
  <si>
    <t>1.1.20.100.277</t>
  </si>
  <si>
    <t>UNIMED DE PINDAMONHANGABA COOPERATIVA DE TRABALHO MEDICO</t>
  </si>
  <si>
    <t>1.1.20.100.278</t>
  </si>
  <si>
    <t>INSTITUTO DE NEUROLOGIA</t>
  </si>
  <si>
    <t>1.1.20.100.279</t>
  </si>
  <si>
    <t>HOSPITAL NOVO ATIBAIA S.A.</t>
  </si>
  <si>
    <t>1.1.20.100.280</t>
  </si>
  <si>
    <t>1.1.20.100.281</t>
  </si>
  <si>
    <t>HOSPITAL LEFORTE LIBERDADE S.A.</t>
  </si>
  <si>
    <t>1.1.20.100.282</t>
  </si>
  <si>
    <t>UNIMED SANTA BÁRBARA D OESTE E AMERICANA</t>
  </si>
  <si>
    <t>1.1.20.100.283</t>
  </si>
  <si>
    <t>FUNDACAO EDUCACIONAL SEVERINO SOMBRA</t>
  </si>
  <si>
    <t>1.1.20.100.284</t>
  </si>
  <si>
    <t>1.1.20.100.3</t>
  </si>
  <si>
    <t>UNIMED SANTA BARBARA D OESTE E AMERICANA</t>
  </si>
  <si>
    <t>1.1.20.100.4</t>
  </si>
  <si>
    <t>HOSPITAL E MATERNIDADE MARINGA S A</t>
  </si>
  <si>
    <t>1.1.20.100.5</t>
  </si>
  <si>
    <t>SSY HOLDING LTDA</t>
  </si>
  <si>
    <t>1.1.20.100.6</t>
  </si>
  <si>
    <t>1.1.20.100.7</t>
  </si>
  <si>
    <t>SCITECH PRODUTOS MEDICOS</t>
  </si>
  <si>
    <t>1.1.20.100.8</t>
  </si>
  <si>
    <t>UNIMED DE SOROCABA COOPERATIVA DE TRABALHO MEDICO</t>
  </si>
  <si>
    <t>1.1.20.100.9</t>
  </si>
  <si>
    <t>Sistema licenciado para CONTACPREV - ASSESSORIA CONTABIL LTDA - ME</t>
  </si>
  <si>
    <t>31 a 60 dias2</t>
  </si>
  <si>
    <t>61 a 90 dias2</t>
  </si>
  <si>
    <t>91 a 120 dias2</t>
  </si>
  <si>
    <t>TOTAL2</t>
  </si>
  <si>
    <t>Detalhes do 30 dias  - Cliente: ANGIOCOR</t>
  </si>
  <si>
    <t>JANEIRO</t>
  </si>
  <si>
    <t>FEVEREIRO</t>
  </si>
  <si>
    <t>Sem pagamento até 02/2026</t>
  </si>
  <si>
    <t>Detalhes do 61 a 90 dias   - TOTAL: 0, Cliente: UNIMED FEDERACAO</t>
  </si>
  <si>
    <t>COMPLEXO HOSPITALAR Total</t>
  </si>
  <si>
    <t>Detalhes do 31 a 60 dias  - TOTAL: 90000, Cliente: COMPLEXO HOSPITALAR</t>
  </si>
  <si>
    <t>Detalhes do 30 dias   - Cliente: HOSPITAL MATERNIDADE</t>
  </si>
  <si>
    <t>SALDO DE CLIENTES - AMEPLAN ASSISTENCIA</t>
  </si>
  <si>
    <t>SALDO DE CLIENTES - AMIL ASSISTENCIA MED</t>
  </si>
  <si>
    <t>SALDO DE CLIENTES - ANGIOCOR</t>
  </si>
  <si>
    <t>SALDO DE CLIENTES - ASSIM SAUDE</t>
  </si>
  <si>
    <t>SALDO DE CLIENTES - ASSISTENCIA MEDICA E</t>
  </si>
  <si>
    <t>SALDO DE CLIENTES - ASSOCIACAO AUXILIADO</t>
  </si>
  <si>
    <t>SALDO DE CLIENTES - ASSOCIACAO BENEFICEN</t>
  </si>
  <si>
    <t>SALDO DE CLIENTES - ASSOCIACAO HOSPITALA</t>
  </si>
  <si>
    <t>SALDO DE CLIENTES - ATIVA MEDICAL COMERC</t>
  </si>
  <si>
    <t>SALDO DE CLIENTES - ATIVIA SERVICOS DE S</t>
  </si>
  <si>
    <t>SALDO DE CLIENTES - AUSTACLINICAS ASSIST</t>
  </si>
  <si>
    <t>SALDO DE CLIENTES - AUSTACOR</t>
  </si>
  <si>
    <t>SALDO DE CLIENTES - BANCO BRADESCO S.A.</t>
  </si>
  <si>
    <t>SALDO DE CLIENTES - BANCO DO BRASIL S.A.</t>
  </si>
  <si>
    <t>SALDO DE CLIENTES - BIOCATH</t>
  </si>
  <si>
    <t>SALDO DE CLIENTES - BIOMEDICAL - BAHIA</t>
  </si>
  <si>
    <t>SALDO DE CLIENTES - BOM SAMARITANO</t>
  </si>
  <si>
    <t>SALDO DE CLIENTES - BRUNO LEONARDO SANTO</t>
  </si>
  <si>
    <t>SALDO DE CLIENTES - CABERJ INTEGRAL SAUD</t>
  </si>
  <si>
    <t>SALDO DE CLIENTES - CASA DE SAUDE NOSSA</t>
  </si>
  <si>
    <t>SALDO DE CLIENTES - CASA DE SAUDE SANTA</t>
  </si>
  <si>
    <t>SALDO DE CLIENTES - CASSEMS</t>
  </si>
  <si>
    <t>SALDO DE CLIENTES - CASSI SAO PAULO - SP</t>
  </si>
  <si>
    <t>SALDO DE CLIENTES - CENTRO MEDICO SANTA</t>
  </si>
  <si>
    <t>SALDO DE CLIENTES - CENTRO TRASMONTANO D</t>
  </si>
  <si>
    <t>SALDO DE CLIENTES - CLINICA MÉDICA NOSSA</t>
  </si>
  <si>
    <t>SALDO DE CLIENTES - COMPLEXO HOSPITALAR</t>
  </si>
  <si>
    <t>SALDO DE CLIENTES - CRUZ VERMELHA BRASIL</t>
  </si>
  <si>
    <t>SALDO DE CLIENTES - EDSON DOS SANTOS MAR</t>
  </si>
  <si>
    <t>SALDO DE CLIENTES - FAJ</t>
  </si>
  <si>
    <t>SALDO DE CLIENTES - FENIX MEDICAL</t>
  </si>
  <si>
    <t>SALDO DE CLIENTES - FOR LIFE MATERIAIS H</t>
  </si>
  <si>
    <t>SALDO DE CLIENTES - FUNDACAO BAHIANA DE</t>
  </si>
  <si>
    <t>SALDO DE CLIENTES - FUNDACAO FELÍCIO ROC</t>
  </si>
  <si>
    <t>SALDO DE CLIENTES - FUSVE</t>
  </si>
  <si>
    <t>SALDO DE CLIENTES - G E R</t>
  </si>
  <si>
    <t>SALDO DE CLIENTES - GERENCIA REGIONAL DO</t>
  </si>
  <si>
    <t>SALDO DE CLIENTES - GRUPO CEMERU SAUDE</t>
  </si>
  <si>
    <t>SALDO DE CLIENTES - GS - PLANO GLOBAL DE</t>
  </si>
  <si>
    <t>SALDO DE CLIENTES - HCOR - HOSPITAL DO C</t>
  </si>
  <si>
    <t>SALDO DE CLIENTES - HELENA DE LIMA BRAGA</t>
  </si>
  <si>
    <t>SALDO DE CLIENTES - HEMOBAHIA</t>
  </si>
  <si>
    <t>SALDO DE CLIENTES - HEMOCOR</t>
  </si>
  <si>
    <t>SALDO DE CLIENTES - HOSP CASA SAO BERNAR</t>
  </si>
  <si>
    <t>SALDO DE CLIENTES - HOSP REGIONAL DE SOR</t>
  </si>
  <si>
    <t>SALDO DE CLIENTES - HOSP. CASA EVANGELIC</t>
  </si>
  <si>
    <t>SALDO DE CLIENTES - HOSPITAL ANGELINA CA</t>
  </si>
  <si>
    <t>SALDO DE CLIENTES - HOSPITAL ASSUNCAO</t>
  </si>
  <si>
    <t>SALDO DE CLIENTES - HOSPITAL BARRA D'OR</t>
  </si>
  <si>
    <t>SALDO DE CLIENTES - HOSPITAL BENEFICENTE</t>
  </si>
  <si>
    <t>SALDO DE CLIENTES - HOSPITAL BENEFICIENC</t>
  </si>
  <si>
    <t>SALDO DE CLIENTES - HOSPITAL CEPOG LTDA</t>
  </si>
  <si>
    <t>SALDO DE CLIENTES - HOSPITAL COPA DOR ST</t>
  </si>
  <si>
    <t>SALDO DE CLIENTES - HOSPITAL DA BAHIA</t>
  </si>
  <si>
    <t>SALDO DE CLIENTES - HOSPITAL DA FUNDACAO</t>
  </si>
  <si>
    <t>SALDO DE CLIENTES - HOSPITAL DE BASE</t>
  </si>
  <si>
    <t>SALDO DE CLIENTES - HOSPITAL DE CLINICAS</t>
  </si>
  <si>
    <t>SALDO DE CLIENTES - HOSPITAL DO SERVIDOR</t>
  </si>
  <si>
    <t>SALDO DE CLIENTES - HOSPITAL DOM JOAQUIM</t>
  </si>
  <si>
    <t>SALDO DE CLIENTES - HOSPITAL E CLINICA S</t>
  </si>
  <si>
    <t>SALDO DE CLIENTES - HOSPITAL E MATERNIDA</t>
  </si>
  <si>
    <t>SALDO DE CLIENTES - HOSPITAL ESCOLA ALVA</t>
  </si>
  <si>
    <t>SALDO DE CLIENTES - HOSPITAL ESPERANCA O</t>
  </si>
  <si>
    <t>SALDO DE CLIENTES - HOSPITAL ESPERANCA S</t>
  </si>
  <si>
    <t>SALDO DE CLIENTES - HOSPITAL ICARAI</t>
  </si>
  <si>
    <t>SALDO DE CLIENTES - HOSPITAL ILHA DO GOV</t>
  </si>
  <si>
    <t>SALDO DE CLIENTES - HOSPITAL LEFORTE - L</t>
  </si>
  <si>
    <t>SALDO DE CLIENTES - HOSPITAL LUXEMBURGO</t>
  </si>
  <si>
    <t>SALDO DE CLIENTES - HOSPITAL MATER DEI S</t>
  </si>
  <si>
    <t>SALDO DE CLIENTES - HOSPITAL MATERNIDADE</t>
  </si>
  <si>
    <t>SALDO DE CLIENTES - HOSPITAL POLICLIN</t>
  </si>
  <si>
    <t>SALDO DE CLIENTES - HOSPITAL PORTUGUES D</t>
  </si>
  <si>
    <t>SALDO DE CLIENTES - HOSPITAL PRO-CARDIAC</t>
  </si>
  <si>
    <t>SALDO DE CLIENTES - HOSPITAL REGIONAL DE</t>
  </si>
  <si>
    <t>SALDO DE CLIENTES - HOSPITAL REGIONAL DO</t>
  </si>
  <si>
    <t>SALDO DE CLIENTES - HOSPITAL SAMCORDIS</t>
  </si>
  <si>
    <t>SALDO DE CLIENTES - HOSPITAL SANTA CECIL</t>
  </si>
  <si>
    <t>SALDO DE CLIENTES - HOSPITAL SANTA CRUZ</t>
  </si>
  <si>
    <t>SALDO DE CLIENTES - HOSPITAL SANTA HELEN</t>
  </si>
  <si>
    <t>SALDO DE CLIENTES - HOSPITAL SANTA IZABE</t>
  </si>
  <si>
    <t>SALDO DE CLIENTES - HOSPITAL SANTA VIRGI</t>
  </si>
  <si>
    <t>SALDO DE CLIENTES - HOSPITAL SAO CAMILO</t>
  </si>
  <si>
    <t>SALDO DE CLIENTES - HOSPITAL SAO JOSE</t>
  </si>
  <si>
    <t>SALDO DE CLIENTES - HOSPITAL SAO LUCAS</t>
  </si>
  <si>
    <t>SALDO DE CLIENTES - HOSPITAL SAO LUCAS D</t>
  </si>
  <si>
    <t>SALDO DE CLIENTES - HOSPITAL SAO PAULO</t>
  </si>
  <si>
    <t>SALDO DE CLIENTES - HOSPITAL SAO VICENTE</t>
  </si>
  <si>
    <t>SALDO DE CLIENTES - HOSPITAL UNIMED</t>
  </si>
  <si>
    <t>SALDO DE CLIENTES - HOSPITAL UNIMED AMER</t>
  </si>
  <si>
    <t>SALDO DE CLIENTES - HOSPITAL UNIVERSITAR</t>
  </si>
  <si>
    <t>SALDO DE CLIENTES - HOSPITAL VIDA</t>
  </si>
  <si>
    <t>SALDO DE CLIENTES - HOSPITAL VITA CURITI</t>
  </si>
  <si>
    <t>SALDO DE CLIENTES - HOSPITAL VITORIA</t>
  </si>
  <si>
    <t>SALDO DE CLIENTES - HOSPITAL VIVALLE</t>
  </si>
  <si>
    <t>SALDO DE CLIENTES - HS COR SERVICOS DE H</t>
  </si>
  <si>
    <t>SALDO DE CLIENTES - HUGOL</t>
  </si>
  <si>
    <t>SALDO DE CLIENTES - IBG SAUDE</t>
  </si>
  <si>
    <t>SALDO DE CLIENTES - INSTITUTO DE NEUROLO</t>
  </si>
  <si>
    <t>SALDO DE CLIENTES - INTENSIVA DAY HOSPIT</t>
  </si>
  <si>
    <t>SALDO DE CLIENTES - INTRAMEDICAL COMERCI</t>
  </si>
  <si>
    <t>SALDO DE CLIENTES - IRMANDADE DA SANTA C</t>
  </si>
  <si>
    <t>SALDO DE CLIENTES - KLINI PLANOS DE SAUD</t>
  </si>
  <si>
    <t>SALDO DE CLIENTES - LACIC - RONDONOPOLIS</t>
  </si>
  <si>
    <t>SALDO DE CLIENTES - LIV SAUDE</t>
  </si>
  <si>
    <t>SALDO DE CLIENTES - MED INOVACAO</t>
  </si>
  <si>
    <t>SALDO DE CLIENTES - MEDICAL SUPPORT MATE</t>
  </si>
  <si>
    <t>SALDO DE CLIENTES - MEDSENIOR</t>
  </si>
  <si>
    <t>SALDO DE CLIENTES - MED-TOUR SAUDE</t>
  </si>
  <si>
    <t>SALDO DE CLIENTES - MED-WAY</t>
  </si>
  <si>
    <t>SALDO DE CLIENTES - NEUROCOR - MS DIAGNO</t>
  </si>
  <si>
    <t>SALDO DE CLIENTES - NOSSA SAUDE</t>
  </si>
  <si>
    <t>SALDO DE CLIENTES - NOTRE DAME INTERMEDI</t>
  </si>
  <si>
    <t>SALDO DE CLIENTES - OBRA DE AÇÃO SOCIAL</t>
  </si>
  <si>
    <t>SALDO DE CLIENTES - OPLAN SAUDE</t>
  </si>
  <si>
    <t>SALDO DE CLIENTES - PLANO SANTA SAUDE</t>
  </si>
  <si>
    <t>SALDO DE CLIENTES - PLENA COMÉRCIO E REP</t>
  </si>
  <si>
    <t>SALDO DE CLIENTES - POLICLIN SAUDE S A</t>
  </si>
  <si>
    <t>SALDO DE CLIENTES - POSTAL SAUDE</t>
  </si>
  <si>
    <t>SALDO DE CLIENTES - PROCORDIS S/A</t>
  </si>
  <si>
    <t>SALDO DE CLIENTES - PROGRAMA DE ASSISTEN</t>
  </si>
  <si>
    <t>SALDO DE CLIENTES - PROMEDICA PATRIMONIA</t>
  </si>
  <si>
    <t>SALDO DE CLIENTES - PRONTO S.CARDIOLOGIC</t>
  </si>
  <si>
    <t>SALDO DE CLIENTES - PRONTOCARDIO PRONTO</t>
  </si>
  <si>
    <t>SALDO DE CLIENTES - PRONTOCOR</t>
  </si>
  <si>
    <t>SALDO DE CLIENTES - RADIOCLINIC</t>
  </si>
  <si>
    <t>SALDO DE CLIENTES - REAL E BENEMERITA AS</t>
  </si>
  <si>
    <t>SALDO DE CLIENTES - REAL HOSPITAL PORTUG</t>
  </si>
  <si>
    <t>SALDO DE CLIENTES - REDE PRIMAVERA - HOS</t>
  </si>
  <si>
    <t>SALDO DE CLIENTES - SANTA CASA</t>
  </si>
  <si>
    <t>SALDO DE CLIENTES - SANTA CASA DE MISERI</t>
  </si>
  <si>
    <t>SALDO DE CLIENTES - SANTA CASA DE SANTOS</t>
  </si>
  <si>
    <t>SALDO DE CLIENTES - SANTA CASA DE SÃO PA</t>
  </si>
  <si>
    <t>SALDO DE CLIENTES - SÃO FRANCISCO VIDA</t>
  </si>
  <si>
    <t>SALDO DE CLIENTES - SAO JOSE DE PIRANHAS</t>
  </si>
  <si>
    <t>SALDO DE CLIENTES - SEGUROS UNIMED</t>
  </si>
  <si>
    <t>SALDO DE CLIENTES - SERGIO MILEV</t>
  </si>
  <si>
    <t>SALDO DE CLIENTES - SERMED SERVIÇO MEDIC</t>
  </si>
  <si>
    <t>SALDO DE CLIENTES - SERVIMED</t>
  </si>
  <si>
    <t>SALDO DE CLIENTES - SILVESTRE SAUDE</t>
  </si>
  <si>
    <t>SALDO DE CLIENTES - SMH SOCIEDADE MEDICO</t>
  </si>
  <si>
    <t>SALDO DE CLIENTES - SONICARDIO</t>
  </si>
  <si>
    <t>SALDO DE CLIENTES - SUL AMERICA COMPANHI</t>
  </si>
  <si>
    <t>SALDO DE CLIENTES - SUL AMERICA SERVICOS</t>
  </si>
  <si>
    <t>SALDO DE CLIENTES - SURGMED COMERCIO IMP</t>
  </si>
  <si>
    <t>SALDO DE CLIENTES - TOTAL MEDCARE</t>
  </si>
  <si>
    <t>SALDO DE CLIENTES - UNIDADE DE DOENÇAS C</t>
  </si>
  <si>
    <t>SALDO DE CLIENTES - UNIMED</t>
  </si>
  <si>
    <t>SALDO DE CLIENTES - UNIMED CAMPO GRANDE</t>
  </si>
  <si>
    <t>SALDO DE CLIENTES - UNIMED CASCAVEL</t>
  </si>
  <si>
    <t>SALDO DE CLIENTES - UNIMED CURITIBA</t>
  </si>
  <si>
    <t>SALDO DE CLIENTES - UNIMED DE CAMPOS</t>
  </si>
  <si>
    <t>SALDO DE CLIENTES - UNIMED DE GUARATINGU</t>
  </si>
  <si>
    <t>SALDO DE CLIENTES - UNIMED DE JUNDIAI</t>
  </si>
  <si>
    <t>SALDO DE CLIENTES - UNIMED DE PINDAMONHA</t>
  </si>
  <si>
    <t>SALDO DE CLIENTES - UNIMED DE PRES PRUDE</t>
  </si>
  <si>
    <t>SALDO DE CLIENTES - UNIMED DE RIO CLARO</t>
  </si>
  <si>
    <t>SALDO DE CLIENTES - UNIMED DE SANTOS COO</t>
  </si>
  <si>
    <t>SALDO DE CLIENTES - UNIMED DE TAUBATE CO</t>
  </si>
  <si>
    <t>SALDO DE CLIENTES - UNIMED DO SUDOESTE C</t>
  </si>
  <si>
    <t>SALDO DE CLIENTES - UNIMED FEDERACAO</t>
  </si>
  <si>
    <t>SALDO DE CLIENTES - UNIMED LESTE FLUMINE</t>
  </si>
  <si>
    <t>SALDO DE CLIENTES - UNIMED LESTE PAULIST</t>
  </si>
  <si>
    <t>SALDO DE CLIENTES - UNIMED NACIONAL</t>
  </si>
  <si>
    <t>SALDO DE CLIENTES - UNIMED OESTE DO PARA</t>
  </si>
  <si>
    <t>SALDO DE CLIENTES - UNIMED PETROPOLIS</t>
  </si>
  <si>
    <t>SALDO DE CLIENTES - UNIMED REGIONAL MARI</t>
  </si>
  <si>
    <t>SALDO DE CLIENTES - UNIMED SANTA MARIA/R</t>
  </si>
  <si>
    <t>SALDO DE CLIENTES - UNIMED SAO CARLOS</t>
  </si>
  <si>
    <t>SALDO DE CLIENTES - UNIMED SAO JOSE DOS</t>
  </si>
  <si>
    <t>SALDO DE CLIENTES - UNIMED-RIO</t>
  </si>
  <si>
    <t>SALDO DE CLIENTES - UNIVERSIDADE FEDERAL</t>
  </si>
  <si>
    <t>SALDO DE CLIENTES - VISION MED ASSISTENC</t>
  </si>
  <si>
    <t>SALDO DE CLIENTES - VS MEDICINA ESPECIAL</t>
  </si>
  <si>
    <t>-</t>
  </si>
  <si>
    <t>REAL HOSPITAL PORTUG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</si>
</sst>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R$ &quot;* #,##0.00_);_(&quot;R$ &quot;* \(#,##0.00\);_(&quot;R$ &quot;* &quot;-&quot;??_);_(@_)"/>
    <numFmt numFmtId="165" formatCode="_(* #,##0.00_);_(* \(#,##0.00\);_(* &quot;-&quot;??_);_(@_)"/>
    <numFmt numFmtId="166" formatCode="_(* #,##0_);_(* \(#,##0\);_(* &quot;-&quot;??_);_(@_)"/>
    <numFmt numFmtId="167" formatCode="_(&quot;R$ &quot;* #,##0_);_(&quot;R$ &quot;* \(#,##0\);_(&quot;R$ &quot;* &quot;-&quot;??_);_(@_)"/>
  </numFmts>
  <fonts count="39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name val="Univers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indexed="55"/>
      <name val="Calibri"/>
      <family val="2"/>
      <scheme val="minor"/>
    </font>
    <font>
      <sz val="10"/>
      <color indexed="8"/>
      <name val="Calibri"/>
      <family val="2"/>
      <scheme val="minor"/>
    </font>
    <font>
      <b/>
      <i/>
      <sz val="10"/>
      <name val="Calibri"/>
      <family val="2"/>
      <scheme val="minor"/>
    </font>
    <font>
      <sz val="10"/>
      <name val="Calibri"/>
      <family val="2"/>
      <scheme val="minor"/>
    </font>
    <font>
      <i/>
      <sz val="10"/>
      <name val="Calibri"/>
      <family val="2"/>
      <scheme val="minor"/>
    </font>
    <font>
      <b/>
      <i/>
      <sz val="10"/>
      <color rgb="FFFF0000"/>
      <name val="Calibri"/>
      <family val="2"/>
      <scheme val="minor"/>
    </font>
    <font>
      <b/>
      <sz val="10"/>
      <color rgb="FFFF0000"/>
      <name val="Wingdings 2"/>
      <family val="1"/>
      <charset val="2"/>
    </font>
    <font>
      <b/>
      <i/>
      <sz val="16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8"/>
      <name val="Calibri"/>
      <family val="2"/>
      <scheme val="minor"/>
    </font>
    <font>
      <b/>
      <i/>
      <sz val="9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indexed="8"/>
      <name val="Calibri Light"/>
      <family val="2"/>
    </font>
    <font>
      <b/>
      <sz val="10"/>
      <color indexed="8"/>
      <name val="Arial"/>
      <family val="2"/>
    </font>
    <font>
      <sz val="10"/>
      <color theme="0"/>
      <name val="Arial"/>
      <family val="2"/>
    </font>
    <font>
      <sz val="10"/>
      <color theme="0"/>
      <name val="Calibri"/>
      <family val="2"/>
      <scheme val="minor"/>
    </font>
    <font>
      <sz val="11"/>
      <color indexed="8"/>
      <name val="Calibri"/>
      <family val="2"/>
      <scheme val="minor"/>
    </font>
    <font>
      <sz val="10"/>
      <color theme="0"/>
      <name val="Calibri Light"/>
      <family val="2"/>
    </font>
    <font>
      <b/>
      <sz val="10"/>
      <color indexed="8"/>
      <name val="Arial"/>
      <family val="2"/>
    </font>
    <font>
      <sz val="10"/>
      <name val="Calibri Light"/>
      <family val="2"/>
    </font>
    <font>
      <sz val="11"/>
      <color indexed="8"/>
      <name val="Calibri"/>
      <scheme val="minor"/>
    </font>
    <font>
      <sz val="11"/>
      <color theme="0"/>
      <name val="Calibri"/>
      <scheme val="minor"/>
    </font>
    <font>
      <b/>
      <sz val="11"/>
      <color indexed="8"/>
      <name val="Calibri"/>
      <scheme val="minor"/>
    </font>
    <font>
      <b/>
      <sz val="11"/>
      <color theme="0"/>
      <name val="Calibri"/>
      <scheme val="minor"/>
    </font>
    <font>
      <sz val="11"/>
      <name val="Calibri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5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rgb="FFABABAB"/>
      </top>
      <bottom style="medium">
        <color indexed="64"/>
      </bottom>
      <diagonal/>
    </border>
    <border>
      <left/>
      <right/>
      <top style="thin">
        <color rgb="FFABABAB"/>
      </top>
      <bottom style="medium">
        <color indexed="64"/>
      </bottom>
      <diagonal/>
    </border>
    <border>
      <left/>
      <right style="medium">
        <color indexed="64"/>
      </right>
      <top style="thin">
        <color rgb="FFABABAB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rgb="FFABABAB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/>
      <right/>
      <top style="thin">
        <color rgb="FFABABAB"/>
      </top>
      <bottom/>
      <diagonal/>
    </border>
    <border>
      <left style="thin">
        <color rgb="FFABABAB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5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rgb="FFABABAB"/>
      </top>
      <bottom/>
      <diagonal/>
    </border>
    <border>
      <left/>
      <right style="medium">
        <color indexed="64"/>
      </right>
      <top style="thin">
        <color rgb="FFABABAB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rgb="FFABABAB"/>
      </top>
      <bottom/>
      <diagonal/>
    </border>
    <border>
      <left style="thin">
        <color indexed="65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5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5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rgb="FFABABAB"/>
      </top>
      <bottom style="thin">
        <color indexed="64"/>
      </bottom>
      <diagonal/>
    </border>
  </borders>
  <cellStyleXfs count="9">
    <xf numFmtId="0" fontId="0" fillId="0" borderId="0">
      <alignment vertical="top"/>
    </xf>
    <xf numFmtId="164" fontId="6" fillId="0" borderId="0" applyFont="0" applyFill="0" applyBorder="0" applyAlignment="0" applyProtection="0"/>
    <xf numFmtId="164" fontId="7" fillId="0" borderId="0" applyFont="0" applyFill="0" applyBorder="0" applyAlignment="0" applyProtection="0"/>
    <xf numFmtId="0" fontId="7" fillId="0" borderId="0"/>
    <xf numFmtId="0" fontId="2" fillId="0" borderId="0"/>
    <xf numFmtId="0" fontId="3" fillId="0" borderId="0"/>
    <xf numFmtId="9" fontId="1" fillId="0" borderId="0" applyFont="0" applyFill="0" applyBorder="0" applyAlignment="0" applyProtection="0">
      <alignment vertical="top"/>
    </xf>
    <xf numFmtId="165" fontId="1" fillId="0" borderId="0" applyFont="0" applyFill="0" applyBorder="0" applyAlignment="0" applyProtection="0">
      <alignment vertical="top"/>
    </xf>
    <xf numFmtId="164" fontId="1" fillId="0" borderId="0" applyFont="0" applyFill="0" applyBorder="0" applyAlignment="0" applyProtection="0"/>
  </cellStyleXfs>
  <cellXfs count="282">
    <xf numFmtId="0" fontId="0" fillId="0" borderId="0" xfId="0">
      <alignment vertical="top"/>
    </xf>
    <xf numFmtId="0" fontId="10" fillId="0" borderId="0" xfId="0" applyFont="1">
      <alignment vertical="top"/>
    </xf>
    <xf numFmtId="0" fontId="12" fillId="0" borderId="0" xfId="5" applyFont="1"/>
    <xf numFmtId="165" fontId="13" fillId="0" borderId="0" xfId="7" applyFont="1" applyAlignment="1"/>
    <xf numFmtId="0" fontId="13" fillId="0" borderId="0" xfId="5" applyFont="1"/>
    <xf numFmtId="0" fontId="11" fillId="0" borderId="3" xfId="5" applyFont="1" applyBorder="1"/>
    <xf numFmtId="10" fontId="13" fillId="0" borderId="0" xfId="6" applyNumberFormat="1" applyFont="1" applyAlignment="1">
      <alignment horizontal="center"/>
    </xf>
    <xf numFmtId="165" fontId="11" fillId="0" borderId="4" xfId="7" applyFont="1" applyBorder="1" applyAlignment="1"/>
    <xf numFmtId="165" fontId="11" fillId="0" borderId="4" xfId="7" applyFont="1" applyBorder="1" applyAlignment="1">
      <alignment horizontal="center"/>
    </xf>
    <xf numFmtId="165" fontId="14" fillId="0" borderId="0" xfId="7" applyFont="1" applyAlignment="1">
      <alignment horizontal="right" vertical="center"/>
    </xf>
    <xf numFmtId="165" fontId="11" fillId="0" borderId="5" xfId="7" applyFont="1" applyBorder="1" applyAlignment="1">
      <alignment horizontal="right" vertical="center"/>
    </xf>
    <xf numFmtId="14" fontId="11" fillId="0" borderId="5" xfId="7" applyNumberFormat="1" applyFont="1" applyBorder="1" applyAlignment="1">
      <alignment horizontal="right" vertical="center"/>
    </xf>
    <xf numFmtId="165" fontId="13" fillId="0" borderId="6" xfId="7" applyFont="1" applyBorder="1" applyAlignment="1"/>
    <xf numFmtId="165" fontId="13" fillId="0" borderId="0" xfId="7" applyFont="1" applyBorder="1" applyAlignment="1"/>
    <xf numFmtId="165" fontId="13" fillId="0" borderId="7" xfId="7" applyFont="1" applyBorder="1" applyAlignment="1"/>
    <xf numFmtId="165" fontId="11" fillId="0" borderId="2" xfId="7" applyFont="1" applyBorder="1" applyAlignment="1">
      <alignment vertical="center"/>
    </xf>
    <xf numFmtId="0" fontId="11" fillId="0" borderId="8" xfId="5" applyFont="1" applyBorder="1" applyAlignment="1">
      <alignment horizontal="center" vertical="center"/>
    </xf>
    <xf numFmtId="0" fontId="12" fillId="0" borderId="7" xfId="5" applyFont="1" applyBorder="1" applyAlignment="1">
      <alignment horizontal="center"/>
    </xf>
    <xf numFmtId="0" fontId="11" fillId="0" borderId="9" xfId="5" applyFont="1" applyBorder="1"/>
    <xf numFmtId="10" fontId="11" fillId="0" borderId="10" xfId="6" applyNumberFormat="1" applyFont="1" applyBorder="1" applyAlignment="1">
      <alignment horizontal="center"/>
    </xf>
    <xf numFmtId="10" fontId="13" fillId="0" borderId="7" xfId="6" applyNumberFormat="1" applyFont="1" applyBorder="1" applyAlignment="1">
      <alignment horizontal="center"/>
    </xf>
    <xf numFmtId="165" fontId="11" fillId="0" borderId="11" xfId="7" applyFont="1" applyBorder="1" applyAlignment="1"/>
    <xf numFmtId="10" fontId="11" fillId="0" borderId="12" xfId="6" applyNumberFormat="1" applyFont="1" applyBorder="1" applyAlignment="1">
      <alignment horizontal="center"/>
    </xf>
    <xf numFmtId="165" fontId="14" fillId="0" borderId="0" xfId="7" applyFont="1" applyBorder="1" applyAlignment="1">
      <alignment horizontal="right" vertical="center"/>
    </xf>
    <xf numFmtId="0" fontId="17" fillId="0" borderId="0" xfId="5" applyFont="1"/>
    <xf numFmtId="164" fontId="17" fillId="0" borderId="0" xfId="5" applyNumberFormat="1" applyFont="1"/>
    <xf numFmtId="164" fontId="17" fillId="0" borderId="1" xfId="5" applyNumberFormat="1" applyFont="1" applyBorder="1"/>
    <xf numFmtId="164" fontId="18" fillId="0" borderId="1" xfId="5" applyNumberFormat="1" applyFont="1" applyBorder="1"/>
    <xf numFmtId="0" fontId="8" fillId="0" borderId="4" xfId="5" applyFont="1" applyBorder="1"/>
    <xf numFmtId="0" fontId="18" fillId="0" borderId="15" xfId="5" applyFont="1" applyBorder="1" applyAlignment="1">
      <alignment horizontal="right"/>
    </xf>
    <xf numFmtId="0" fontId="18" fillId="0" borderId="0" xfId="5" applyFont="1"/>
    <xf numFmtId="0" fontId="8" fillId="0" borderId="0" xfId="5" applyFont="1"/>
    <xf numFmtId="166" fontId="11" fillId="0" borderId="3" xfId="7" applyNumberFormat="1" applyFont="1" applyBorder="1" applyAlignment="1">
      <alignment horizontal="center"/>
    </xf>
    <xf numFmtId="166" fontId="13" fillId="0" borderId="0" xfId="7" applyNumberFormat="1" applyFont="1" applyBorder="1" applyAlignment="1">
      <alignment horizontal="center"/>
    </xf>
    <xf numFmtId="166" fontId="11" fillId="0" borderId="4" xfId="7" applyNumberFormat="1" applyFont="1" applyBorder="1" applyAlignment="1">
      <alignment horizontal="center"/>
    </xf>
    <xf numFmtId="165" fontId="12" fillId="0" borderId="0" xfId="7" applyFont="1" applyAlignment="1"/>
    <xf numFmtId="165" fontId="12" fillId="0" borderId="0" xfId="7" applyFont="1" applyBorder="1" applyAlignment="1"/>
    <xf numFmtId="165" fontId="13" fillId="0" borderId="0" xfId="7" applyFont="1" applyAlignment="1">
      <alignment horizontal="center"/>
    </xf>
    <xf numFmtId="166" fontId="12" fillId="0" borderId="0" xfId="5" applyNumberFormat="1" applyFont="1"/>
    <xf numFmtId="165" fontId="16" fillId="0" borderId="0" xfId="7" applyFont="1" applyBorder="1" applyAlignment="1"/>
    <xf numFmtId="0" fontId="15" fillId="0" borderId="0" xfId="5" applyFont="1" applyAlignment="1">
      <alignment horizontal="center" vertical="center"/>
    </xf>
    <xf numFmtId="164" fontId="19" fillId="0" borderId="0" xfId="1" applyFont="1" applyFill="1" applyBorder="1"/>
    <xf numFmtId="0" fontId="18" fillId="0" borderId="0" xfId="5" applyFont="1" applyAlignment="1">
      <alignment horizontal="right"/>
    </xf>
    <xf numFmtId="164" fontId="18" fillId="0" borderId="0" xfId="5" applyNumberFormat="1" applyFont="1"/>
    <xf numFmtId="165" fontId="19" fillId="0" borderId="0" xfId="7" applyFont="1" applyFill="1" applyBorder="1" applyAlignment="1">
      <alignment horizontal="center" vertical="center"/>
    </xf>
    <xf numFmtId="165" fontId="22" fillId="0" borderId="0" xfId="7" applyFont="1" applyFill="1" applyBorder="1" applyAlignment="1">
      <alignment horizontal="center" vertical="center"/>
    </xf>
    <xf numFmtId="164" fontId="22" fillId="0" borderId="0" xfId="1" applyFont="1" applyFill="1" applyBorder="1" applyAlignment="1">
      <alignment horizontal="center" vertical="center"/>
    </xf>
    <xf numFmtId="165" fontId="12" fillId="0" borderId="0" xfId="7" applyFont="1" applyFill="1" applyBorder="1" applyAlignment="1">
      <alignment horizontal="center" vertical="center"/>
    </xf>
    <xf numFmtId="165" fontId="12" fillId="0" borderId="0" xfId="7" applyFont="1" applyBorder="1" applyAlignment="1">
      <alignment horizontal="center"/>
    </xf>
    <xf numFmtId="167" fontId="12" fillId="0" borderId="0" xfId="1" applyNumberFormat="1" applyFont="1" applyFill="1" applyBorder="1" applyAlignment="1">
      <alignment horizontal="center" vertical="center"/>
    </xf>
    <xf numFmtId="167" fontId="12" fillId="0" borderId="0" xfId="1" applyNumberFormat="1" applyFont="1" applyBorder="1" applyAlignment="1">
      <alignment horizontal="center"/>
    </xf>
    <xf numFmtId="164" fontId="12" fillId="0" borderId="0" xfId="1" applyFont="1" applyBorder="1" applyAlignment="1">
      <alignment horizontal="center"/>
    </xf>
    <xf numFmtId="0" fontId="22" fillId="0" borderId="0" xfId="5" applyFont="1" applyAlignment="1">
      <alignment horizontal="center" vertical="center"/>
    </xf>
    <xf numFmtId="0" fontId="12" fillId="0" borderId="0" xfId="5" applyFont="1" applyAlignment="1">
      <alignment horizontal="center"/>
    </xf>
    <xf numFmtId="0" fontId="12" fillId="0" borderId="0" xfId="5" applyFont="1" applyAlignment="1">
      <alignment horizontal="center" vertical="center"/>
    </xf>
    <xf numFmtId="165" fontId="23" fillId="0" borderId="0" xfId="7" applyFont="1" applyFill="1" applyBorder="1" applyAlignment="1">
      <alignment horizontal="center" vertical="center"/>
    </xf>
    <xf numFmtId="165" fontId="12" fillId="0" borderId="0" xfId="5" applyNumberFormat="1" applyFont="1"/>
    <xf numFmtId="164" fontId="10" fillId="0" borderId="29" xfId="8" applyFont="1" applyFill="1" applyBorder="1" applyAlignment="1">
      <alignment horizontal="center"/>
    </xf>
    <xf numFmtId="166" fontId="12" fillId="0" borderId="29" xfId="7" applyNumberFormat="1" applyFont="1" applyFill="1" applyBorder="1" applyAlignment="1">
      <alignment horizontal="center" vertical="center"/>
    </xf>
    <xf numFmtId="165" fontId="10" fillId="2" borderId="29" xfId="7" applyFont="1" applyFill="1" applyBorder="1">
      <alignment vertical="top"/>
    </xf>
    <xf numFmtId="165" fontId="10" fillId="2" borderId="30" xfId="7" applyFont="1" applyFill="1" applyBorder="1">
      <alignment vertical="top"/>
    </xf>
    <xf numFmtId="0" fontId="11" fillId="2" borderId="36" xfId="4" applyFont="1" applyFill="1" applyBorder="1" applyAlignment="1">
      <alignment horizontal="center" vertical="center"/>
    </xf>
    <xf numFmtId="164" fontId="10" fillId="0" borderId="38" xfId="8" applyFont="1" applyFill="1" applyBorder="1" applyAlignment="1">
      <alignment horizontal="center"/>
    </xf>
    <xf numFmtId="166" fontId="12" fillId="0" borderId="38" xfId="7" applyNumberFormat="1" applyFont="1" applyFill="1" applyBorder="1" applyAlignment="1">
      <alignment horizontal="center" vertical="center"/>
    </xf>
    <xf numFmtId="165" fontId="10" fillId="2" borderId="38" xfId="7" applyFont="1" applyFill="1" applyBorder="1">
      <alignment vertical="top"/>
    </xf>
    <xf numFmtId="165" fontId="10" fillId="2" borderId="39" xfId="7" applyFont="1" applyFill="1" applyBorder="1">
      <alignment vertical="top"/>
    </xf>
    <xf numFmtId="0" fontId="26" fillId="0" borderId="0" xfId="0" applyFont="1">
      <alignment vertical="top"/>
    </xf>
    <xf numFmtId="165" fontId="26" fillId="0" borderId="0" xfId="7" applyFont="1">
      <alignment vertical="top"/>
    </xf>
    <xf numFmtId="0" fontId="10" fillId="0" borderId="0" xfId="0" applyFont="1" applyAlignment="1"/>
    <xf numFmtId="49" fontId="10" fillId="0" borderId="0" xfId="0" applyNumberFormat="1" applyFont="1">
      <alignment vertical="top"/>
    </xf>
    <xf numFmtId="0" fontId="10" fillId="0" borderId="0" xfId="0" applyFont="1" applyAlignment="1">
      <alignment vertical="top" wrapText="1"/>
    </xf>
    <xf numFmtId="49" fontId="10" fillId="0" borderId="0" xfId="0" applyNumberFormat="1" applyFont="1" applyAlignment="1">
      <alignment vertical="top" wrapText="1"/>
    </xf>
    <xf numFmtId="14" fontId="0" fillId="0" borderId="0" xfId="0" applyNumberFormat="1">
      <alignment vertical="top"/>
    </xf>
    <xf numFmtId="0" fontId="27" fillId="0" borderId="0" xfId="0" applyFont="1">
      <alignment vertical="top"/>
    </xf>
    <xf numFmtId="0" fontId="24" fillId="0" borderId="51" xfId="0" applyFont="1" applyBorder="1">
      <alignment vertical="top"/>
    </xf>
    <xf numFmtId="0" fontId="30" fillId="0" borderId="28" xfId="0" applyFont="1" applyBorder="1">
      <alignment vertical="top"/>
    </xf>
    <xf numFmtId="0" fontId="30" fillId="0" borderId="50" xfId="0" applyFont="1" applyBorder="1">
      <alignment vertical="top"/>
    </xf>
    <xf numFmtId="0" fontId="30" fillId="0" borderId="24" xfId="0" applyFont="1" applyBorder="1">
      <alignment vertical="top"/>
    </xf>
    <xf numFmtId="0" fontId="30" fillId="0" borderId="51" xfId="0" applyFont="1" applyBorder="1">
      <alignment vertical="top"/>
    </xf>
    <xf numFmtId="0" fontId="30" fillId="3" borderId="50" xfId="0" applyFont="1" applyFill="1" applyBorder="1">
      <alignment vertical="top"/>
    </xf>
    <xf numFmtId="0" fontId="30" fillId="3" borderId="24" xfId="0" applyFont="1" applyFill="1" applyBorder="1">
      <alignment vertical="top"/>
    </xf>
    <xf numFmtId="0" fontId="30" fillId="3" borderId="28" xfId="0" applyFont="1" applyFill="1" applyBorder="1">
      <alignment vertical="top"/>
    </xf>
    <xf numFmtId="0" fontId="29" fillId="5" borderId="0" xfId="5" applyFont="1" applyFill="1"/>
    <xf numFmtId="164" fontId="25" fillId="5" borderId="0" xfId="0" applyNumberFormat="1" applyFont="1" applyFill="1">
      <alignment vertical="top"/>
    </xf>
    <xf numFmtId="165" fontId="18" fillId="0" borderId="0" xfId="7" applyFont="1" applyAlignment="1"/>
    <xf numFmtId="165" fontId="0" fillId="0" borderId="0" xfId="7" applyFont="1">
      <alignment vertical="top"/>
    </xf>
    <xf numFmtId="164" fontId="25" fillId="4" borderId="0" xfId="0" applyNumberFormat="1" applyFont="1" applyFill="1">
      <alignment vertical="top"/>
    </xf>
    <xf numFmtId="165" fontId="28" fillId="4" borderId="0" xfId="7" applyFont="1" applyFill="1">
      <alignment vertical="top"/>
    </xf>
    <xf numFmtId="0" fontId="28" fillId="4" borderId="0" xfId="0" applyFont="1" applyFill="1">
      <alignment vertical="top"/>
    </xf>
    <xf numFmtId="14" fontId="26" fillId="0" borderId="39" xfId="0" applyNumberFormat="1" applyFont="1" applyBorder="1">
      <alignment vertical="top"/>
    </xf>
    <xf numFmtId="0" fontId="26" fillId="0" borderId="46" xfId="0" applyFont="1" applyBorder="1">
      <alignment vertical="top"/>
    </xf>
    <xf numFmtId="165" fontId="26" fillId="0" borderId="37" xfId="7" applyFont="1" applyBorder="1">
      <alignment vertical="top"/>
    </xf>
    <xf numFmtId="14" fontId="26" fillId="0" borderId="40" xfId="0" applyNumberFormat="1" applyFont="1" applyBorder="1">
      <alignment vertical="top"/>
    </xf>
    <xf numFmtId="165" fontId="26" fillId="0" borderId="41" xfId="7" applyFont="1" applyBorder="1">
      <alignment vertical="top"/>
    </xf>
    <xf numFmtId="14" fontId="26" fillId="0" borderId="36" xfId="0" applyNumberFormat="1" applyFont="1" applyBorder="1">
      <alignment vertical="top"/>
    </xf>
    <xf numFmtId="0" fontId="26" fillId="0" borderId="5" xfId="0" applyFont="1" applyBorder="1">
      <alignment vertical="top"/>
    </xf>
    <xf numFmtId="0" fontId="30" fillId="0" borderId="56" xfId="0" applyFont="1" applyBorder="1">
      <alignment vertical="top"/>
    </xf>
    <xf numFmtId="165" fontId="26" fillId="0" borderId="35" xfId="7" applyFont="1" applyBorder="1">
      <alignment vertical="top"/>
    </xf>
    <xf numFmtId="0" fontId="26" fillId="4" borderId="0" xfId="0" applyFont="1" applyFill="1">
      <alignment vertical="top"/>
    </xf>
    <xf numFmtId="0" fontId="31" fillId="4" borderId="51" xfId="0" applyFont="1" applyFill="1" applyBorder="1">
      <alignment vertical="top"/>
    </xf>
    <xf numFmtId="0" fontId="31" fillId="4" borderId="24" xfId="0" applyFont="1" applyFill="1" applyBorder="1">
      <alignment vertical="top"/>
    </xf>
    <xf numFmtId="0" fontId="31" fillId="4" borderId="28" xfId="0" applyFont="1" applyFill="1" applyBorder="1">
      <alignment vertical="top"/>
    </xf>
    <xf numFmtId="0" fontId="31" fillId="4" borderId="50" xfId="0" applyFont="1" applyFill="1" applyBorder="1">
      <alignment vertical="top"/>
    </xf>
    <xf numFmtId="0" fontId="32" fillId="0" borderId="0" xfId="0" applyFont="1">
      <alignment vertical="top"/>
    </xf>
    <xf numFmtId="0" fontId="33" fillId="0" borderId="55" xfId="0" applyFont="1" applyBorder="1">
      <alignment vertical="top"/>
    </xf>
    <xf numFmtId="0" fontId="9" fillId="2" borderId="0" xfId="0" applyFont="1" applyFill="1" applyAlignment="1">
      <alignment horizontal="center" vertical="center"/>
    </xf>
    <xf numFmtId="0" fontId="10" fillId="2" borderId="31" xfId="0" applyFont="1" applyFill="1" applyBorder="1" applyAlignment="1">
      <alignment horizontal="center"/>
    </xf>
    <xf numFmtId="0" fontId="10" fillId="2" borderId="29" xfId="0" applyFont="1" applyFill="1" applyBorder="1" applyAlignment="1">
      <alignment horizontal="center"/>
    </xf>
    <xf numFmtId="14" fontId="10" fillId="2" borderId="29" xfId="0" applyNumberFormat="1" applyFont="1" applyFill="1" applyBorder="1" applyAlignment="1">
      <alignment horizontal="center"/>
    </xf>
    <xf numFmtId="164" fontId="10" fillId="2" borderId="29" xfId="8" applyFont="1" applyFill="1" applyBorder="1" applyAlignment="1">
      <alignment horizontal="center"/>
    </xf>
    <xf numFmtId="166" fontId="12" fillId="2" borderId="29" xfId="7" applyNumberFormat="1" applyFont="1" applyFill="1" applyBorder="1" applyAlignment="1">
      <alignment horizontal="center" vertical="center"/>
    </xf>
    <xf numFmtId="165" fontId="12" fillId="2" borderId="29" xfId="7" applyFont="1" applyFill="1" applyBorder="1" applyAlignment="1"/>
    <xf numFmtId="165" fontId="10" fillId="2" borderId="0" xfId="7" applyFont="1" applyFill="1">
      <alignment vertical="top"/>
    </xf>
    <xf numFmtId="0" fontId="10" fillId="2" borderId="0" xfId="0" applyFont="1" applyFill="1">
      <alignment vertical="top"/>
    </xf>
    <xf numFmtId="165" fontId="20" fillId="2" borderId="29" xfId="7" applyFont="1" applyFill="1" applyBorder="1">
      <alignment vertical="top"/>
    </xf>
    <xf numFmtId="0" fontId="9" fillId="0" borderId="0" xfId="0" applyFont="1" applyAlignment="1">
      <alignment horizontal="center" vertical="center"/>
    </xf>
    <xf numFmtId="0" fontId="19" fillId="0" borderId="1" xfId="0" applyFont="1" applyBorder="1">
      <alignment vertical="top"/>
    </xf>
    <xf numFmtId="0" fontId="10" fillId="0" borderId="1" xfId="0" applyFont="1" applyBorder="1" applyAlignment="1">
      <alignment horizontal="center" vertical="center"/>
    </xf>
    <xf numFmtId="165" fontId="10" fillId="0" borderId="1" xfId="7" applyFont="1" applyFill="1" applyBorder="1" applyAlignment="1">
      <alignment horizontal="center" vertical="center"/>
    </xf>
    <xf numFmtId="166" fontId="12" fillId="0" borderId="1" xfId="7" applyNumberFormat="1" applyFont="1" applyFill="1" applyBorder="1" applyAlignment="1">
      <alignment horizontal="center" vertical="center"/>
    </xf>
    <xf numFmtId="0" fontId="10" fillId="0" borderId="1" xfId="0" applyFont="1" applyBorder="1">
      <alignment vertical="top"/>
    </xf>
    <xf numFmtId="0" fontId="12" fillId="0" borderId="0" xfId="0" applyFont="1">
      <alignment vertical="top"/>
    </xf>
    <xf numFmtId="0" fontId="10" fillId="0" borderId="0" xfId="0" applyFont="1" applyAlignment="1">
      <alignment horizontal="center" vertical="center"/>
    </xf>
    <xf numFmtId="165" fontId="10" fillId="0" borderId="0" xfId="7" applyFont="1" applyFill="1" applyAlignment="1">
      <alignment horizontal="center" vertical="center"/>
    </xf>
    <xf numFmtId="166" fontId="12" fillId="0" borderId="0" xfId="7" applyNumberFormat="1" applyFont="1" applyFill="1" applyAlignment="1">
      <alignment horizontal="center" vertical="center"/>
    </xf>
    <xf numFmtId="0" fontId="10" fillId="0" borderId="13" xfId="0" applyFont="1" applyBorder="1">
      <alignment vertical="top"/>
    </xf>
    <xf numFmtId="14" fontId="11" fillId="0" borderId="0" xfId="0" applyNumberFormat="1" applyFont="1">
      <alignment vertical="top"/>
    </xf>
    <xf numFmtId="0" fontId="10" fillId="0" borderId="19" xfId="0" applyFont="1" applyBorder="1">
      <alignment vertical="top"/>
    </xf>
    <xf numFmtId="0" fontId="10" fillId="0" borderId="13" xfId="0" applyFont="1" applyBorder="1" applyAlignment="1">
      <alignment horizontal="center" vertical="center"/>
    </xf>
    <xf numFmtId="165" fontId="10" fillId="0" borderId="21" xfId="7" applyFont="1" applyFill="1" applyBorder="1" applyAlignment="1">
      <alignment horizontal="center" vertical="center"/>
    </xf>
    <xf numFmtId="166" fontId="12" fillId="0" borderId="13" xfId="7" applyNumberFormat="1" applyFont="1" applyFill="1" applyBorder="1" applyAlignment="1">
      <alignment horizontal="center" vertical="center"/>
    </xf>
    <xf numFmtId="0" fontId="11" fillId="0" borderId="20" xfId="0" applyFont="1" applyBorder="1" applyAlignment="1">
      <alignment horizontal="center"/>
    </xf>
    <xf numFmtId="0" fontId="21" fillId="0" borderId="35" xfId="0" applyFont="1" applyBorder="1" applyAlignment="1">
      <alignment horizontal="center" vertical="center"/>
    </xf>
    <xf numFmtId="0" fontId="21" fillId="0" borderId="23" xfId="0" applyFont="1" applyBorder="1" applyAlignment="1">
      <alignment horizontal="center" vertical="center" wrapText="1"/>
    </xf>
    <xf numFmtId="165" fontId="21" fillId="0" borderId="23" xfId="7" applyFont="1" applyFill="1" applyBorder="1" applyAlignment="1">
      <alignment horizontal="center" vertical="center" wrapText="1"/>
    </xf>
    <xf numFmtId="166" fontId="11" fillId="0" borderId="23" xfId="7" applyNumberFormat="1" applyFont="1" applyFill="1" applyBorder="1" applyAlignment="1">
      <alignment horizontal="center" vertical="center" wrapText="1"/>
    </xf>
    <xf numFmtId="0" fontId="11" fillId="0" borderId="23" xfId="0" applyFont="1" applyBorder="1" applyAlignment="1">
      <alignment horizontal="center" vertical="center"/>
    </xf>
    <xf numFmtId="0" fontId="11" fillId="0" borderId="23" xfId="4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0" fillId="0" borderId="31" xfId="0" applyFont="1" applyBorder="1" applyAlignment="1">
      <alignment horizontal="center"/>
    </xf>
    <xf numFmtId="0" fontId="10" fillId="0" borderId="29" xfId="0" applyFont="1" applyBorder="1" applyAlignment="1">
      <alignment horizontal="center"/>
    </xf>
    <xf numFmtId="14" fontId="10" fillId="0" borderId="29" xfId="0" applyNumberFormat="1" applyFont="1" applyBorder="1" applyAlignment="1">
      <alignment horizontal="center"/>
    </xf>
    <xf numFmtId="165" fontId="10" fillId="0" borderId="29" xfId="7" applyFont="1" applyFill="1" applyBorder="1">
      <alignment vertical="top"/>
    </xf>
    <xf numFmtId="165" fontId="12" fillId="0" borderId="29" xfId="7" applyFont="1" applyFill="1" applyBorder="1" applyAlignment="1"/>
    <xf numFmtId="165" fontId="10" fillId="0" borderId="0" xfId="7" applyFont="1" applyFill="1">
      <alignment vertical="top"/>
    </xf>
    <xf numFmtId="165" fontId="20" fillId="0" borderId="29" xfId="7" applyFont="1" applyFill="1" applyBorder="1">
      <alignment vertical="top"/>
    </xf>
    <xf numFmtId="0" fontId="10" fillId="0" borderId="37" xfId="0" applyFont="1" applyBorder="1" applyAlignment="1">
      <alignment horizontal="center"/>
    </xf>
    <xf numFmtId="0" fontId="10" fillId="0" borderId="38" xfId="0" applyFont="1" applyBorder="1" applyAlignment="1">
      <alignment horizontal="center"/>
    </xf>
    <xf numFmtId="14" fontId="10" fillId="0" borderId="38" xfId="0" applyNumberFormat="1" applyFont="1" applyBorder="1" applyAlignment="1">
      <alignment horizontal="center"/>
    </xf>
    <xf numFmtId="165" fontId="10" fillId="0" borderId="38" xfId="7" applyFont="1" applyFill="1" applyBorder="1">
      <alignment vertical="top"/>
    </xf>
    <xf numFmtId="165" fontId="12" fillId="0" borderId="38" xfId="7" applyFont="1" applyFill="1" applyBorder="1" applyAlignment="1"/>
    <xf numFmtId="0" fontId="9" fillId="0" borderId="0" xfId="0" applyFont="1">
      <alignment vertical="top"/>
    </xf>
    <xf numFmtId="0" fontId="20" fillId="0" borderId="37" xfId="0" applyFont="1" applyBorder="1" applyAlignment="1">
      <alignment horizontal="center"/>
    </xf>
    <xf numFmtId="0" fontId="20" fillId="0" borderId="38" xfId="0" applyFont="1" applyBorder="1" applyAlignment="1">
      <alignment horizontal="center"/>
    </xf>
    <xf numFmtId="164" fontId="20" fillId="0" borderId="38" xfId="0" applyNumberFormat="1" applyFont="1" applyBorder="1" applyAlignment="1">
      <alignment horizontal="center"/>
    </xf>
    <xf numFmtId="0" fontId="19" fillId="0" borderId="38" xfId="0" applyFont="1" applyBorder="1" applyAlignment="1">
      <alignment horizontal="center" vertical="center"/>
    </xf>
    <xf numFmtId="165" fontId="20" fillId="0" borderId="38" xfId="0" applyNumberFormat="1" applyFont="1" applyBorder="1">
      <alignment vertical="top"/>
    </xf>
    <xf numFmtId="165" fontId="20" fillId="0" borderId="0" xfId="7" applyFont="1" applyFill="1">
      <alignment vertical="top"/>
    </xf>
    <xf numFmtId="0" fontId="20" fillId="0" borderId="0" xfId="0" applyFont="1">
      <alignment vertical="top"/>
    </xf>
    <xf numFmtId="165" fontId="20" fillId="2" borderId="38" xfId="0" applyNumberFormat="1" applyFont="1" applyFill="1" applyBorder="1">
      <alignment vertical="top"/>
    </xf>
    <xf numFmtId="165" fontId="19" fillId="2" borderId="29" xfId="7" applyFont="1" applyFill="1" applyBorder="1" applyAlignment="1"/>
    <xf numFmtId="0" fontId="9" fillId="6" borderId="0" xfId="0" applyFont="1" applyFill="1" applyAlignment="1">
      <alignment horizontal="center" vertical="center"/>
    </xf>
    <xf numFmtId="0" fontId="10" fillId="6" borderId="31" xfId="0" applyFont="1" applyFill="1" applyBorder="1" applyAlignment="1">
      <alignment horizontal="center"/>
    </xf>
    <xf numFmtId="0" fontId="10" fillId="6" borderId="29" xfId="0" applyFont="1" applyFill="1" applyBorder="1" applyAlignment="1">
      <alignment horizontal="center"/>
    </xf>
    <xf numFmtId="14" fontId="10" fillId="6" borderId="29" xfId="0" applyNumberFormat="1" applyFont="1" applyFill="1" applyBorder="1" applyAlignment="1">
      <alignment horizontal="center"/>
    </xf>
    <xf numFmtId="164" fontId="10" fillId="6" borderId="29" xfId="8" applyFont="1" applyFill="1" applyBorder="1" applyAlignment="1">
      <alignment horizontal="center"/>
    </xf>
    <xf numFmtId="166" fontId="12" fillId="6" borderId="29" xfId="7" applyNumberFormat="1" applyFont="1" applyFill="1" applyBorder="1" applyAlignment="1">
      <alignment horizontal="center" vertical="center"/>
    </xf>
    <xf numFmtId="165" fontId="10" fillId="6" borderId="29" xfId="7" applyFont="1" applyFill="1" applyBorder="1">
      <alignment vertical="top"/>
    </xf>
    <xf numFmtId="165" fontId="12" fillId="6" borderId="29" xfId="7" applyFont="1" applyFill="1" applyBorder="1" applyAlignment="1"/>
    <xf numFmtId="165" fontId="10" fillId="6" borderId="30" xfId="7" applyFont="1" applyFill="1" applyBorder="1">
      <alignment vertical="top"/>
    </xf>
    <xf numFmtId="165" fontId="10" fillId="6" borderId="0" xfId="7" applyFont="1" applyFill="1">
      <alignment vertical="top"/>
    </xf>
    <xf numFmtId="0" fontId="10" fillId="6" borderId="0" xfId="0" applyFont="1" applyFill="1">
      <alignment vertical="top"/>
    </xf>
    <xf numFmtId="165" fontId="20" fillId="6" borderId="29" xfId="7" applyFont="1" applyFill="1" applyBorder="1">
      <alignment vertical="top"/>
    </xf>
    <xf numFmtId="0" fontId="9" fillId="7" borderId="0" xfId="0" applyFont="1" applyFill="1" applyAlignment="1">
      <alignment horizontal="center" vertical="center"/>
    </xf>
    <xf numFmtId="0" fontId="10" fillId="7" borderId="31" xfId="0" applyFont="1" applyFill="1" applyBorder="1" applyAlignment="1">
      <alignment horizontal="center"/>
    </xf>
    <xf numFmtId="0" fontId="10" fillId="7" borderId="29" xfId="0" applyFont="1" applyFill="1" applyBorder="1" applyAlignment="1">
      <alignment horizontal="center"/>
    </xf>
    <xf numFmtId="14" fontId="10" fillId="7" borderId="29" xfId="0" applyNumberFormat="1" applyFont="1" applyFill="1" applyBorder="1" applyAlignment="1">
      <alignment horizontal="center"/>
    </xf>
    <xf numFmtId="164" fontId="10" fillId="7" borderId="29" xfId="8" applyFont="1" applyFill="1" applyBorder="1" applyAlignment="1">
      <alignment horizontal="center"/>
    </xf>
    <xf numFmtId="166" fontId="12" fillId="7" borderId="29" xfId="7" applyNumberFormat="1" applyFont="1" applyFill="1" applyBorder="1" applyAlignment="1">
      <alignment horizontal="center" vertical="center"/>
    </xf>
    <xf numFmtId="165" fontId="10" fillId="7" borderId="29" xfId="7" applyFont="1" applyFill="1" applyBorder="1">
      <alignment vertical="top"/>
    </xf>
    <xf numFmtId="165" fontId="12" fillId="7" borderId="29" xfId="7" applyFont="1" applyFill="1" applyBorder="1" applyAlignment="1"/>
    <xf numFmtId="165" fontId="10" fillId="7" borderId="30" xfId="7" applyFont="1" applyFill="1" applyBorder="1">
      <alignment vertical="top"/>
    </xf>
    <xf numFmtId="165" fontId="10" fillId="7" borderId="0" xfId="7" applyFont="1" applyFill="1">
      <alignment vertical="top"/>
    </xf>
    <xf numFmtId="0" fontId="10" fillId="7" borderId="0" xfId="0" applyFont="1" applyFill="1">
      <alignment vertical="top"/>
    </xf>
    <xf numFmtId="0" fontId="9" fillId="8" borderId="0" xfId="0" applyFont="1" applyFill="1" applyAlignment="1">
      <alignment horizontal="center" vertical="center"/>
    </xf>
    <xf numFmtId="0" fontId="10" fillId="8" borderId="31" xfId="0" applyFont="1" applyFill="1" applyBorder="1" applyAlignment="1">
      <alignment horizontal="center"/>
    </xf>
    <xf numFmtId="0" fontId="10" fillId="8" borderId="29" xfId="0" applyFont="1" applyFill="1" applyBorder="1" applyAlignment="1">
      <alignment horizontal="center"/>
    </xf>
    <xf numFmtId="14" fontId="10" fillId="8" borderId="29" xfId="0" applyNumberFormat="1" applyFont="1" applyFill="1" applyBorder="1" applyAlignment="1">
      <alignment horizontal="center"/>
    </xf>
    <xf numFmtId="164" fontId="10" fillId="8" borderId="29" xfId="8" applyFont="1" applyFill="1" applyBorder="1" applyAlignment="1">
      <alignment horizontal="center"/>
    </xf>
    <xf numFmtId="166" fontId="12" fillId="8" borderId="29" xfId="7" applyNumberFormat="1" applyFont="1" applyFill="1" applyBorder="1" applyAlignment="1">
      <alignment horizontal="center" vertical="center"/>
    </xf>
    <xf numFmtId="165" fontId="10" fillId="8" borderId="29" xfId="7" applyFont="1" applyFill="1" applyBorder="1">
      <alignment vertical="top"/>
    </xf>
    <xf numFmtId="165" fontId="12" fillId="8" borderId="29" xfId="7" applyFont="1" applyFill="1" applyBorder="1" applyAlignment="1"/>
    <xf numFmtId="165" fontId="10" fillId="8" borderId="30" xfId="7" applyFont="1" applyFill="1" applyBorder="1">
      <alignment vertical="top"/>
    </xf>
    <xf numFmtId="165" fontId="10" fillId="8" borderId="0" xfId="7" applyFont="1" applyFill="1">
      <alignment vertical="top"/>
    </xf>
    <xf numFmtId="0" fontId="10" fillId="8" borderId="0" xfId="0" applyFont="1" applyFill="1">
      <alignment vertical="top"/>
    </xf>
    <xf numFmtId="0" fontId="33" fillId="0" borderId="51" xfId="0" applyFont="1" applyBorder="1">
      <alignment vertical="top"/>
    </xf>
    <xf numFmtId="165" fontId="1" fillId="0" borderId="0" xfId="7" applyFont="1" applyAlignment="1">
      <alignment horizontal="center" vertical="top"/>
    </xf>
    <xf numFmtId="0" fontId="18" fillId="0" borderId="19" xfId="5" applyFont="1" applyBorder="1" applyAlignment="1">
      <alignment horizontal="center"/>
    </xf>
    <xf numFmtId="0" fontId="18" fillId="0" borderId="13" xfId="5" applyFont="1" applyBorder="1" applyAlignment="1">
      <alignment horizontal="center"/>
    </xf>
    <xf numFmtId="0" fontId="18" fillId="0" borderId="20" xfId="5" applyFont="1" applyBorder="1" applyAlignment="1">
      <alignment horizontal="center"/>
    </xf>
    <xf numFmtId="165" fontId="16" fillId="0" borderId="17" xfId="7" applyFont="1" applyBorder="1" applyAlignment="1">
      <alignment horizontal="center"/>
    </xf>
    <xf numFmtId="165" fontId="16" fillId="0" borderId="15" xfId="7" applyFont="1" applyBorder="1" applyAlignment="1">
      <alignment horizontal="center"/>
    </xf>
    <xf numFmtId="165" fontId="16" fillId="0" borderId="14" xfId="7" applyFont="1" applyBorder="1" applyAlignment="1">
      <alignment horizontal="center"/>
    </xf>
    <xf numFmtId="164" fontId="22" fillId="0" borderId="0" xfId="1" applyFont="1" applyFill="1" applyBorder="1" applyAlignment="1">
      <alignment horizontal="center" vertical="center"/>
    </xf>
    <xf numFmtId="0" fontId="11" fillId="0" borderId="32" xfId="0" applyFont="1" applyBorder="1" applyAlignment="1">
      <alignment horizontal="center"/>
    </xf>
    <xf numFmtId="0" fontId="11" fillId="0" borderId="33" xfId="0" applyFont="1" applyBorder="1" applyAlignment="1">
      <alignment horizontal="center"/>
    </xf>
    <xf numFmtId="0" fontId="11" fillId="0" borderId="34" xfId="0" applyFont="1" applyBorder="1" applyAlignment="1">
      <alignment horizontal="center"/>
    </xf>
    <xf numFmtId="0" fontId="11" fillId="0" borderId="19" xfId="0" applyFont="1" applyBorder="1" applyAlignment="1">
      <alignment horizontal="center" vertical="top"/>
    </xf>
    <xf numFmtId="0" fontId="11" fillId="0" borderId="13" xfId="0" applyFont="1" applyBorder="1" applyAlignment="1">
      <alignment horizontal="center" vertical="top"/>
    </xf>
    <xf numFmtId="0" fontId="11" fillId="0" borderId="20" xfId="0" applyFont="1" applyBorder="1" applyAlignment="1">
      <alignment horizontal="center" vertical="top"/>
    </xf>
    <xf numFmtId="0" fontId="9" fillId="9" borderId="0" xfId="0" applyFont="1" applyFill="1" applyAlignment="1">
      <alignment horizontal="center" vertical="center"/>
    </xf>
    <xf numFmtId="0" fontId="10" fillId="9" borderId="31" xfId="0" applyFont="1" applyFill="1" applyBorder="1" applyAlignment="1">
      <alignment horizontal="center"/>
    </xf>
    <xf numFmtId="0" fontId="10" fillId="9" borderId="29" xfId="0" applyFont="1" applyFill="1" applyBorder="1" applyAlignment="1">
      <alignment horizontal="center"/>
    </xf>
    <xf numFmtId="14" fontId="10" fillId="9" borderId="29" xfId="0" applyNumberFormat="1" applyFont="1" applyFill="1" applyBorder="1" applyAlignment="1">
      <alignment horizontal="center"/>
    </xf>
    <xf numFmtId="164" fontId="10" fillId="9" borderId="29" xfId="8" applyFont="1" applyFill="1" applyBorder="1" applyAlignment="1">
      <alignment horizontal="center"/>
    </xf>
    <xf numFmtId="166" fontId="12" fillId="9" borderId="29" xfId="7" applyNumberFormat="1" applyFont="1" applyFill="1" applyBorder="1" applyAlignment="1">
      <alignment horizontal="center" vertical="center"/>
    </xf>
    <xf numFmtId="165" fontId="10" fillId="9" borderId="29" xfId="7" applyFont="1" applyFill="1" applyBorder="1">
      <alignment vertical="top"/>
    </xf>
    <xf numFmtId="165" fontId="12" fillId="9" borderId="29" xfId="7" applyFont="1" applyFill="1" applyBorder="1" applyAlignment="1"/>
    <xf numFmtId="165" fontId="10" fillId="9" borderId="30" xfId="7" applyFont="1" applyFill="1" applyBorder="1">
      <alignment vertical="top"/>
    </xf>
    <xf numFmtId="165" fontId="10" fillId="9" borderId="0" xfId="7" applyFont="1" applyFill="1">
      <alignment vertical="top"/>
    </xf>
    <xf numFmtId="0" fontId="10" fillId="9" borderId="0" xfId="0" applyFont="1" applyFill="1">
      <alignment vertical="top"/>
    </xf>
    <xf numFmtId="0" fontId="34" fillId="0" borderId="42" xfId="0" pivotButton="1" applyFont="1" applyBorder="1">
      <alignment vertical="top"/>
    </xf>
    <xf numFmtId="0" fontId="34" fillId="0" borderId="42" xfId="0" applyFont="1" applyBorder="1">
      <alignment vertical="top"/>
    </xf>
    <xf numFmtId="0" fontId="34" fillId="0" borderId="43" xfId="0" applyFont="1" applyBorder="1">
      <alignment vertical="top"/>
    </xf>
    <xf numFmtId="164" fontId="34" fillId="0" borderId="44" xfId="0" applyNumberFormat="1" applyFont="1" applyBorder="1">
      <alignment vertical="top"/>
    </xf>
    <xf numFmtId="165" fontId="34" fillId="0" borderId="42" xfId="0" applyNumberFormat="1" applyFont="1" applyBorder="1">
      <alignment vertical="top"/>
    </xf>
    <xf numFmtId="165" fontId="34" fillId="0" borderId="45" xfId="0" applyNumberFormat="1" applyFont="1" applyBorder="1">
      <alignment vertical="top"/>
    </xf>
    <xf numFmtId="164" fontId="34" fillId="0" borderId="48" xfId="0" applyNumberFormat="1" applyFont="1" applyBorder="1">
      <alignment vertical="top"/>
    </xf>
    <xf numFmtId="164" fontId="34" fillId="0" borderId="49" xfId="0" applyNumberFormat="1" applyFont="1" applyBorder="1">
      <alignment vertical="top"/>
    </xf>
    <xf numFmtId="164" fontId="34" fillId="0" borderId="25" xfId="0" applyNumberFormat="1" applyFont="1" applyBorder="1">
      <alignment vertical="top"/>
    </xf>
    <xf numFmtId="164" fontId="34" fillId="0" borderId="26" xfId="0" applyNumberFormat="1" applyFont="1" applyBorder="1">
      <alignment vertical="top"/>
    </xf>
    <xf numFmtId="164" fontId="34" fillId="0" borderId="27" xfId="0" applyNumberFormat="1" applyFont="1" applyBorder="1">
      <alignment vertical="top"/>
    </xf>
    <xf numFmtId="0" fontId="36" fillId="0" borderId="1" xfId="0" applyFont="1" applyBorder="1">
      <alignment vertical="top"/>
    </xf>
    <xf numFmtId="0" fontId="36" fillId="0" borderId="47" xfId="0" applyFont="1" applyBorder="1">
      <alignment vertical="top"/>
    </xf>
    <xf numFmtId="0" fontId="36" fillId="0" borderId="17" xfId="0" applyFont="1" applyBorder="1" applyAlignment="1">
      <alignment horizontal="right" vertical="top"/>
    </xf>
    <xf numFmtId="0" fontId="36" fillId="0" borderId="15" xfId="0" applyFont="1" applyBorder="1" applyAlignment="1">
      <alignment horizontal="right" vertical="top"/>
    </xf>
    <xf numFmtId="0" fontId="36" fillId="0" borderId="14" xfId="0" applyFont="1" applyBorder="1" applyAlignment="1">
      <alignment horizontal="right" vertical="top"/>
    </xf>
    <xf numFmtId="164" fontId="34" fillId="0" borderId="1" xfId="0" applyNumberFormat="1" applyFont="1" applyBorder="1">
      <alignment vertical="top"/>
    </xf>
    <xf numFmtId="164" fontId="34" fillId="0" borderId="18" xfId="0" applyNumberFormat="1" applyFont="1" applyBorder="1">
      <alignment vertical="top"/>
    </xf>
    <xf numFmtId="164" fontId="34" fillId="0" borderId="16" xfId="0" applyNumberFormat="1" applyFont="1" applyBorder="1">
      <alignment vertical="top"/>
    </xf>
    <xf numFmtId="0" fontId="34" fillId="0" borderId="28" xfId="0" applyFont="1" applyBorder="1">
      <alignment vertical="top"/>
    </xf>
    <xf numFmtId="0" fontId="34" fillId="0" borderId="50" xfId="0" applyFont="1" applyBorder="1">
      <alignment vertical="top"/>
    </xf>
    <xf numFmtId="167" fontId="36" fillId="0" borderId="26" xfId="0" applyNumberFormat="1" applyFont="1" applyBorder="1">
      <alignment vertical="top"/>
    </xf>
    <xf numFmtId="167" fontId="36" fillId="0" borderId="25" xfId="0" applyNumberFormat="1" applyFont="1" applyBorder="1">
      <alignment vertical="top"/>
    </xf>
    <xf numFmtId="167" fontId="36" fillId="0" borderId="27" xfId="0" applyNumberFormat="1" applyFont="1" applyBorder="1">
      <alignment vertical="top"/>
    </xf>
    <xf numFmtId="0" fontId="34" fillId="0" borderId="24" xfId="0" applyFont="1" applyBorder="1">
      <alignment vertical="top"/>
    </xf>
    <xf numFmtId="0" fontId="34" fillId="0" borderId="51" xfId="0" applyFont="1" applyBorder="1">
      <alignment vertical="top"/>
    </xf>
    <xf numFmtId="0" fontId="34" fillId="0" borderId="54" xfId="0" applyFont="1" applyBorder="1">
      <alignment vertical="top"/>
    </xf>
    <xf numFmtId="0" fontId="34" fillId="3" borderId="50" xfId="0" applyFont="1" applyFill="1" applyBorder="1">
      <alignment vertical="top"/>
    </xf>
    <xf numFmtId="164" fontId="38" fillId="3" borderId="48" xfId="0" applyNumberFormat="1" applyFont="1" applyFill="1" applyBorder="1">
      <alignment vertical="top"/>
    </xf>
    <xf numFmtId="164" fontId="38" fillId="3" borderId="18" xfId="0" applyNumberFormat="1" applyFont="1" applyFill="1" applyBorder="1">
      <alignment vertical="top"/>
    </xf>
    <xf numFmtId="164" fontId="38" fillId="3" borderId="25" xfId="0" applyNumberFormat="1" applyFont="1" applyFill="1" applyBorder="1">
      <alignment vertical="top"/>
    </xf>
    <xf numFmtId="167" fontId="36" fillId="0" borderId="17" xfId="0" applyNumberFormat="1" applyFont="1" applyBorder="1">
      <alignment vertical="top"/>
    </xf>
    <xf numFmtId="167" fontId="36" fillId="0" borderId="15" xfId="0" applyNumberFormat="1" applyFont="1" applyBorder="1">
      <alignment vertical="top"/>
    </xf>
    <xf numFmtId="167" fontId="36" fillId="0" borderId="14" xfId="0" applyNumberFormat="1" applyFont="1" applyBorder="1">
      <alignment vertical="top"/>
    </xf>
    <xf numFmtId="164" fontId="34" fillId="3" borderId="44" xfId="0" applyNumberFormat="1" applyFont="1" applyFill="1" applyBorder="1">
      <alignment vertical="top"/>
    </xf>
    <xf numFmtId="0" fontId="34" fillId="3" borderId="24" xfId="0" applyFont="1" applyFill="1" applyBorder="1">
      <alignment vertical="top"/>
    </xf>
    <xf numFmtId="0" fontId="34" fillId="3" borderId="28" xfId="0" applyFont="1" applyFill="1" applyBorder="1">
      <alignment vertical="top"/>
    </xf>
    <xf numFmtId="0" fontId="36" fillId="0" borderId="50" xfId="0" applyFont="1" applyBorder="1" applyAlignment="1">
      <alignment horizontal="center" vertical="top"/>
    </xf>
    <xf numFmtId="164" fontId="34" fillId="2" borderId="51" xfId="0" applyNumberFormat="1" applyFont="1" applyFill="1" applyBorder="1">
      <alignment vertical="top"/>
    </xf>
    <xf numFmtId="164" fontId="34" fillId="2" borderId="22" xfId="0" applyNumberFormat="1" applyFont="1" applyFill="1" applyBorder="1">
      <alignment vertical="top"/>
    </xf>
    <xf numFmtId="164" fontId="34" fillId="2" borderId="28" xfId="0" applyNumberFormat="1" applyFont="1" applyFill="1" applyBorder="1">
      <alignment vertical="top"/>
    </xf>
    <xf numFmtId="167" fontId="36" fillId="2" borderId="28" xfId="0" applyNumberFormat="1" applyFont="1" applyFill="1" applyBorder="1">
      <alignment vertical="top"/>
    </xf>
    <xf numFmtId="0" fontId="36" fillId="0" borderId="50" xfId="0" pivotButton="1" applyFont="1" applyBorder="1" applyAlignment="1">
      <alignment horizontal="center" vertical="top"/>
    </xf>
    <xf numFmtId="0" fontId="36" fillId="0" borderId="17" xfId="0" applyFont="1" applyBorder="1">
      <alignment vertical="top"/>
    </xf>
    <xf numFmtId="0" fontId="36" fillId="0" borderId="52" xfId="0" applyFont="1" applyBorder="1">
      <alignment vertical="top"/>
    </xf>
    <xf numFmtId="0" fontId="37" fillId="0" borderId="50" xfId="0" pivotButton="1" applyFont="1" applyBorder="1">
      <alignment vertical="top"/>
    </xf>
    <xf numFmtId="0" fontId="37" fillId="0" borderId="17" xfId="0" applyFont="1" applyBorder="1">
      <alignment vertical="top"/>
    </xf>
    <xf numFmtId="0" fontId="37" fillId="0" borderId="53" xfId="0" applyFont="1" applyBorder="1">
      <alignment vertical="top"/>
    </xf>
    <xf numFmtId="0" fontId="37" fillId="0" borderId="52" xfId="0" applyFont="1" applyBorder="1">
      <alignment vertical="top"/>
    </xf>
    <xf numFmtId="164" fontId="35" fillId="4" borderId="48" xfId="0" applyNumberFormat="1" applyFont="1" applyFill="1" applyBorder="1">
      <alignment vertical="top"/>
    </xf>
    <xf numFmtId="164" fontId="35" fillId="4" borderId="44" xfId="0" applyNumberFormat="1" applyFont="1" applyFill="1" applyBorder="1">
      <alignment vertical="top"/>
    </xf>
    <xf numFmtId="164" fontId="35" fillId="4" borderId="49" xfId="0" applyNumberFormat="1" applyFont="1" applyFill="1" applyBorder="1">
      <alignment vertical="top"/>
    </xf>
    <xf numFmtId="164" fontId="35" fillId="4" borderId="51" xfId="0" applyNumberFormat="1" applyFont="1" applyFill="1" applyBorder="1">
      <alignment vertical="top"/>
    </xf>
    <xf numFmtId="0" fontId="35" fillId="4" borderId="51" xfId="0" applyFont="1" applyFill="1" applyBorder="1">
      <alignment vertical="top"/>
    </xf>
    <xf numFmtId="0" fontId="35" fillId="4" borderId="50" xfId="0" applyFont="1" applyFill="1" applyBorder="1">
      <alignment vertical="top"/>
    </xf>
    <xf numFmtId="164" fontId="35" fillId="4" borderId="19" xfId="0" applyNumberFormat="1" applyFont="1" applyFill="1" applyBorder="1">
      <alignment vertical="top"/>
    </xf>
    <xf numFmtId="164" fontId="35" fillId="4" borderId="13" xfId="0" applyNumberFormat="1" applyFont="1" applyFill="1" applyBorder="1">
      <alignment vertical="top"/>
    </xf>
    <xf numFmtId="164" fontId="35" fillId="4" borderId="20" xfId="0" applyNumberFormat="1" applyFont="1" applyFill="1" applyBorder="1">
      <alignment vertical="top"/>
    </xf>
    <xf numFmtId="164" fontId="35" fillId="4" borderId="24" xfId="0" applyNumberFormat="1" applyFont="1" applyFill="1" applyBorder="1">
      <alignment vertical="top"/>
    </xf>
    <xf numFmtId="0" fontId="35" fillId="4" borderId="24" xfId="0" applyFont="1" applyFill="1" applyBorder="1">
      <alignment vertical="top"/>
    </xf>
    <xf numFmtId="0" fontId="35" fillId="4" borderId="28" xfId="0" applyFont="1" applyFill="1" applyBorder="1">
      <alignment vertical="top"/>
    </xf>
  </cellXfs>
  <cellStyles count="9">
    <cellStyle name="Moeda" xfId="1" builtinId="4"/>
    <cellStyle name="Moeda 2" xfId="2" xr:uid="{00000000-0005-0000-0000-000001000000}"/>
    <cellStyle name="Moeda 2 4" xfId="8" xr:uid="{D44129CD-B0E8-475A-A4F0-22C924FA55D3}"/>
    <cellStyle name="Normal" xfId="0" builtinId="0"/>
    <cellStyle name="Normal 2" xfId="3" xr:uid="{00000000-0005-0000-0000-000003000000}"/>
    <cellStyle name="Normal_Composição Adto de Clientes - Ctas a Receber" xfId="4" xr:uid="{00000000-0005-0000-0000-000004000000}"/>
    <cellStyle name="Normal_modelo aging" xfId="5" xr:uid="{00000000-0005-0000-0000-000005000000}"/>
    <cellStyle name="Porcentagem" xfId="6" builtinId="5"/>
    <cellStyle name="Vírgula" xfId="7" builtinId="3"/>
  </cellStyles>
  <dxfs count="1437">
    <dxf>
      <numFmt numFmtId="164" formatCode="_(&quot;R$ &quot;* #,##0.00_);_(&quot;R$ &quot;* \(#,##0.00\);_(&quot;R$ &quot;* &quot;-&quot;??_);_(@_)"/>
    </dxf>
    <dxf>
      <font>
        <color theme="0"/>
      </font>
    </dxf>
    <dxf>
      <font>
        <color theme="0"/>
      </font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top/>
      </border>
    </dxf>
    <dxf>
      <border>
        <left/>
      </border>
    </dxf>
    <dxf>
      <alignment horizontal="right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alignment horizontal="center" readingOrder="0"/>
    </dxf>
    <dxf>
      <alignment horizontal="right" readingOrder="0"/>
    </dxf>
    <dxf>
      <font>
        <name val="Calibri"/>
        <scheme val="minor"/>
      </font>
    </dxf>
    <dxf>
      <font>
        <sz val="11"/>
      </font>
    </dxf>
    <dxf>
      <border>
        <bottom style="medium">
          <color indexed="64"/>
        </bottom>
      </border>
    </dxf>
    <dxf>
      <border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</dxf>
    <dxf>
      <alignment horizontal="center" readingOrder="0"/>
    </dxf>
    <dxf>
      <font>
        <b/>
      </font>
    </dxf>
    <dxf>
      <alignment horizontal="center" readingOrder="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bottom style="medium">
          <color indexed="64"/>
        </bottom>
      </border>
    </dxf>
    <dxf>
      <border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bottom style="medium">
          <color indexed="64"/>
        </bottom>
      </border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left/>
        <right/>
      </border>
    </dxf>
    <dxf>
      <border>
        <left style="medium">
          <color indexed="64"/>
        </left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right" readingOrder="0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>
          <bgColor theme="0"/>
        </patternFill>
      </fill>
    </dxf>
    <dxf>
      <font>
        <color auto="1"/>
      </font>
    </dxf>
    <dxf>
      <numFmt numFmtId="167" formatCode="_(&quot;R$ &quot;* #,##0_);_(&quot;R$ &quot;* \(#,##0\);_(&quot;R$ &quot;* &quot;-&quot;??_);_(@_)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color rgb="FFFF0000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color auto="1"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>
          <bgColor theme="0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>
          <bgColor rgb="FF00B0F0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>
          <bgColor rgb="FFFFFF00"/>
        </patternFill>
      </fill>
    </dxf>
    <dxf>
      <fill>
        <patternFill>
          <bgColor theme="7" tint="0.399975585192419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solid">
          <bgColor rgb="FF00B0F0"/>
        </patternFill>
      </fill>
    </dxf>
    <dxf>
      <fill>
        <patternFill>
          <bgColor theme="7" tint="0.39997558519241921"/>
        </patternFill>
      </fill>
    </dxf>
    <dxf>
      <fill>
        <patternFill>
          <bgColor theme="7" tint="0.39997558519241921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>
          <bgColor rgb="FFFFFF00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/>
        <right/>
        <top/>
        <bottom/>
        <horizontal/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</border>
    </dxf>
    <dxf>
      <border>
        <left style="medium">
          <color indexed="64"/>
        </left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</border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theme="0"/>
      </font>
    </dxf>
    <dxf>
      <font>
        <color theme="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theme="0"/>
      </font>
    </dxf>
    <dxf>
      <font>
        <color theme="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numFmt numFmtId="164" formatCode="_(&quot;R$ &quot;* #,##0.00_);_(&quot;R$ &quot;* \(#,##0.00\);_(&quot;R$ &quot;* &quot;-&quot;??_);_(@_)"/>
    </dxf>
    <dxf>
      <font>
        <color theme="0"/>
      </font>
    </dxf>
    <dxf>
      <font>
        <color theme="0"/>
      </font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top/>
      </border>
    </dxf>
    <dxf>
      <border>
        <left/>
      </border>
    </dxf>
    <dxf>
      <alignment horizontal="right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alignment horizontal="center" readingOrder="0"/>
    </dxf>
    <dxf>
      <alignment horizontal="right" readingOrder="0"/>
    </dxf>
    <dxf>
      <font>
        <name val="Calibri"/>
        <scheme val="minor"/>
      </font>
    </dxf>
    <dxf>
      <font>
        <sz val="11"/>
      </font>
    </dxf>
    <dxf>
      <border>
        <bottom style="medium">
          <color indexed="64"/>
        </bottom>
      </border>
    </dxf>
    <dxf>
      <border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</dxf>
    <dxf>
      <alignment horizontal="center" readingOrder="0"/>
    </dxf>
    <dxf>
      <font>
        <b/>
      </font>
    </dxf>
    <dxf>
      <alignment horizontal="center" readingOrder="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bottom style="medium">
          <color indexed="64"/>
        </bottom>
      </border>
    </dxf>
    <dxf>
      <border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bottom style="medium">
          <color indexed="64"/>
        </bottom>
      </border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left/>
        <right/>
      </border>
    </dxf>
    <dxf>
      <border>
        <left style="medium">
          <color indexed="64"/>
        </left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right" readingOrder="0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>
          <bgColor theme="0"/>
        </patternFill>
      </fill>
    </dxf>
    <dxf>
      <font>
        <color auto="1"/>
      </font>
    </dxf>
    <dxf>
      <numFmt numFmtId="167" formatCode="_(&quot;R$ &quot;* #,##0_);_(&quot;R$ &quot;* \(#,##0\);_(&quot;R$ &quot;* &quot;-&quot;??_);_(@_)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color rgb="FFFF0000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color auto="1"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>
          <bgColor theme="0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>
          <bgColor rgb="FF00B0F0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>
          <bgColor rgb="FFFFFF00"/>
        </patternFill>
      </fill>
    </dxf>
    <dxf>
      <fill>
        <patternFill>
          <bgColor theme="7" tint="0.399975585192419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solid">
          <bgColor rgb="FF00B0F0"/>
        </patternFill>
      </fill>
    </dxf>
    <dxf>
      <fill>
        <patternFill>
          <bgColor theme="7" tint="0.39997558519241921"/>
        </patternFill>
      </fill>
    </dxf>
    <dxf>
      <fill>
        <patternFill>
          <bgColor theme="7" tint="0.39997558519241921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>
          <bgColor rgb="FFFFFF00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/>
        <right/>
        <top/>
        <bottom/>
        <horizontal/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</border>
    </dxf>
    <dxf>
      <border>
        <left style="medium">
          <color indexed="64"/>
        </left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</border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theme="0"/>
      </font>
    </dxf>
    <dxf>
      <font>
        <color theme="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theme="0"/>
      </font>
    </dxf>
    <dxf>
      <font>
        <color theme="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family val="2"/>
        <scheme val="minor"/>
      </font>
      <numFmt numFmtId="165" formatCode="_(* #,##0.00_);_(* \(#,##0.00\);_(* &quot;-&quot;??_);_(@_)"/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theme="0" tint="-0.149998474074526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family val="2"/>
        <scheme val="minor"/>
      </font>
      <numFmt numFmtId="165" formatCode="_(* #,##0.00_);_(* \(#,##0.00\);_(* &quot;-&quot;??_);_(@_)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family val="2"/>
        <scheme val="minor"/>
      </font>
      <numFmt numFmtId="165" formatCode="_(* #,##0.00_);_(* \(#,##0.00\);_(* &quot;-&quot;??_);_(@_)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family val="2"/>
        <scheme val="minor"/>
      </font>
      <numFmt numFmtId="165" formatCode="_(* #,##0.00_);_(* \(#,##0.00\);_(* &quot;-&quot;??_);_(@_)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family val="2"/>
        <scheme val="minor"/>
      </font>
      <numFmt numFmtId="165" formatCode="_(* #,##0.00_);_(* \(#,##0.00\);_(* &quot;-&quot;??_);_(@_)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family val="2"/>
        <scheme val="minor"/>
      </font>
      <numFmt numFmtId="165" formatCode="_(* #,##0.00_);_(* \(#,##0.00\);_(* &quot;-&quot;??_);_(@_)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border outline="0">
        <left style="thin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family val="2"/>
        <scheme val="minor"/>
      </font>
      <numFmt numFmtId="165" formatCode="_(* #,##0.00_);_(* \(#,##0.00\);_(* &quot;-&quot;??_);_(@_)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theme="0" tint="-0.149998474074526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family val="2"/>
        <scheme val="minor"/>
      </font>
      <numFmt numFmtId="165" formatCode="_(* #,##0.00_);_(* \(#,##0.00\);_(* &quot;-&quot;??_);_(@_)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border outline="0">
        <right style="thin">
          <color indexed="64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family val="2"/>
        <scheme val="minor"/>
      </font>
      <numFmt numFmtId="165" formatCode="_(* #,##0.00_);_(* \(#,##0.00\);_(* &quot;-&quot;??_);_(@_)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family val="2"/>
        <scheme val="minor"/>
      </font>
      <numFmt numFmtId="165" formatCode="_(* #,##0.00_);_(* \(#,##0.00\);_(* &quot;-&quot;??_);_(@_)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family val="2"/>
        <scheme val="minor"/>
      </font>
      <numFmt numFmtId="165" formatCode="_(* #,##0.00_);_(* \(#,##0.00\);_(* &quot;-&quot;??_);_(@_)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family val="2"/>
        <scheme val="minor"/>
      </font>
      <numFmt numFmtId="165" formatCode="_(* #,##0.00_);_(* \(#,##0.00\);_(* &quot;-&quot;??_);_(@_)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family val="2"/>
        <scheme val="minor"/>
      </font>
      <numFmt numFmtId="165" formatCode="_(* #,##0.00_);_(* \(#,##0.00\);_(* &quot;-&quot;??_);_(@_)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family val="2"/>
        <scheme val="minor"/>
      </font>
      <numFmt numFmtId="165" formatCode="_(* #,##0.00_);_(* \(#,##0.00\);_(* &quot;-&quot;??_);_(@_)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family val="2"/>
        <scheme val="minor"/>
      </font>
      <numFmt numFmtId="164" formatCode="_(&quot;R$ &quot;* #,##0.00_);_(&quot;R$ &quot;* \(#,##0.00\);_(&quot;R$ &quot;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</dxf>
    <dxf>
      <border outline="0">
        <top style="thin">
          <color indexed="64"/>
        </top>
      </border>
    </dxf>
    <dxf>
      <font>
        <b/>
        <family val="2"/>
      </font>
      <fill>
        <patternFill patternType="none">
          <fgColor indexed="64"/>
          <bgColor auto="1"/>
        </patternFill>
      </fill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9" formatCode="dd/mm/yyyy"/>
    </dxf>
    <dxf>
      <numFmt numFmtId="19" formatCode="dd/mm/yyyy"/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theme="0"/>
      </font>
    </dxf>
    <dxf>
      <font>
        <color theme="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border>
        <left style="medium">
          <color indexed="64"/>
        </left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</border>
    </dxf>
    <dxf>
      <border>
        <left style="medium">
          <color indexed="64"/>
        </left>
        <right style="medium">
          <color indexed="64"/>
        </right>
      </border>
    </dxf>
    <dxf>
      <border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/>
        <right/>
        <top/>
        <bottom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>
          <bgColor rgb="FFFFFF00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39997558519241921"/>
        </patternFill>
      </fill>
    </dxf>
    <dxf>
      <fill>
        <patternFill>
          <bgColor theme="7" tint="0.39997558519241921"/>
        </patternFill>
      </fill>
    </dxf>
    <dxf>
      <fill>
        <patternFill patternType="solid">
          <bgColor rgb="FF00B0F0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7" tint="0.39997558519241921"/>
        </patternFill>
      </fill>
    </dxf>
    <dxf>
      <fill>
        <patternFill>
          <bgColor rgb="FFFFFF00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>
          <bgColor rgb="FF00B0F0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>
          <bgColor theme="0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color auto="1"/>
      </font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167" formatCode="_(&quot;R$ &quot;* #,##0_);_(&quot;R$ &quot;* \(#,##0\);_(&quot;R$ &quot;* &quot;-&quot;??_);_(@_)"/>
    </dxf>
    <dxf>
      <font>
        <color auto="1"/>
      </font>
    </dxf>
    <dxf>
      <fill>
        <patternFill>
          <bgColor theme="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alignment horizontal="right" readingOrder="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</border>
    </dxf>
    <dxf>
      <border>
        <left/>
        <right/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border>
        <left style="medium">
          <color indexed="64"/>
        </left>
        <bottom style="medium">
          <color indexed="64"/>
        </bottom>
      </border>
    </dxf>
    <dxf>
      <border>
        <right style="medium">
          <color indexed="64"/>
        </right>
        <bottom style="medium">
          <color indexed="64"/>
        </bottom>
      </border>
    </dxf>
    <dxf>
      <border>
        <right style="medium">
          <color indexed="64"/>
        </right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readingOrder="0"/>
    </dxf>
    <dxf>
      <font>
        <b/>
      </font>
    </dxf>
    <dxf>
      <alignment horizontal="center" readingOrder="0"/>
    </dxf>
    <dxf>
      <font>
        <b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right style="medium">
          <color indexed="64"/>
        </right>
      </border>
    </dxf>
    <dxf>
      <border>
        <bottom style="medium">
          <color indexed="64"/>
        </bottom>
      </border>
    </dxf>
    <dxf>
      <font>
        <sz val="11"/>
      </font>
    </dxf>
    <dxf>
      <font>
        <name val="Calibri"/>
        <scheme val="minor"/>
      </font>
    </dxf>
    <dxf>
      <alignment horizontal="right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readingOrder="0"/>
    </dxf>
    <dxf>
      <border>
        <left/>
      </border>
    </dxf>
    <dxf>
      <border>
        <top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font>
        <color theme="0"/>
      </font>
    </dxf>
    <dxf>
      <font>
        <color theme="0"/>
      </font>
    </dxf>
    <dxf>
      <numFmt numFmtId="164" formatCode="_(&quot;R$ &quot;* #,##0.00_);_(&quot;R$ &quot;* \(#,##0.00\);_(&quot;R$ &quot;* &quot;-&quot;??_);_(@_)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485775</xdr:colOff>
      <xdr:row>1245</xdr:row>
      <xdr:rowOff>0</xdr:rowOff>
    </xdr:from>
    <xdr:ext cx="65" cy="17222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1D256BDA-F340-4F34-9A6A-7EC2D8C54384}"/>
            </a:ext>
          </a:extLst>
        </xdr:cNvPr>
        <xdr:cNvSpPr txBox="1"/>
      </xdr:nvSpPr>
      <xdr:spPr>
        <a:xfrm>
          <a:off x="6391275" y="16478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3</xdr:col>
      <xdr:colOff>485775</xdr:colOff>
      <xdr:row>1245</xdr:row>
      <xdr:rowOff>0</xdr:rowOff>
    </xdr:from>
    <xdr:ext cx="65" cy="172227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A0B56F1D-195D-4A97-88F2-0414016382D3}"/>
            </a:ext>
          </a:extLst>
        </xdr:cNvPr>
        <xdr:cNvSpPr txBox="1"/>
      </xdr:nvSpPr>
      <xdr:spPr>
        <a:xfrm>
          <a:off x="6391275" y="16478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3</xdr:col>
      <xdr:colOff>485775</xdr:colOff>
      <xdr:row>1245</xdr:row>
      <xdr:rowOff>0</xdr:rowOff>
    </xdr:from>
    <xdr:ext cx="65" cy="172227"/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9C533C10-B018-4871-88C9-F27DB961018C}"/>
            </a:ext>
          </a:extLst>
        </xdr:cNvPr>
        <xdr:cNvSpPr txBox="1"/>
      </xdr:nvSpPr>
      <xdr:spPr>
        <a:xfrm>
          <a:off x="6391275" y="16478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2</xdr:col>
      <xdr:colOff>485775</xdr:colOff>
      <xdr:row>1245</xdr:row>
      <xdr:rowOff>0</xdr:rowOff>
    </xdr:from>
    <xdr:ext cx="65" cy="172227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39C4F812-398F-46FE-82CB-662E3223A975}"/>
            </a:ext>
          </a:extLst>
        </xdr:cNvPr>
        <xdr:cNvSpPr txBox="1"/>
      </xdr:nvSpPr>
      <xdr:spPr>
        <a:xfrm>
          <a:off x="5476875" y="16478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3</xdr:col>
      <xdr:colOff>485775</xdr:colOff>
      <xdr:row>1245</xdr:row>
      <xdr:rowOff>0</xdr:rowOff>
    </xdr:from>
    <xdr:ext cx="65" cy="172227"/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20972C67-ED62-49F4-A6B1-7621ABB6C631}"/>
            </a:ext>
          </a:extLst>
        </xdr:cNvPr>
        <xdr:cNvSpPr txBox="1"/>
      </xdr:nvSpPr>
      <xdr:spPr>
        <a:xfrm>
          <a:off x="6391275" y="16478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3</xdr:col>
      <xdr:colOff>485775</xdr:colOff>
      <xdr:row>1245</xdr:row>
      <xdr:rowOff>0</xdr:rowOff>
    </xdr:from>
    <xdr:ext cx="65" cy="172227"/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5072A189-4F8D-4B09-B799-0A3A0F4A6DD6}"/>
            </a:ext>
          </a:extLst>
        </xdr:cNvPr>
        <xdr:cNvSpPr txBox="1"/>
      </xdr:nvSpPr>
      <xdr:spPr>
        <a:xfrm>
          <a:off x="6391275" y="16478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0</xdr:col>
      <xdr:colOff>485775</xdr:colOff>
      <xdr:row>689</xdr:row>
      <xdr:rowOff>0</xdr:rowOff>
    </xdr:from>
    <xdr:ext cx="65" cy="172227"/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7E15204B-06BA-4E42-AA06-BE72BBA98883}"/>
            </a:ext>
          </a:extLst>
        </xdr:cNvPr>
        <xdr:cNvSpPr txBox="1"/>
      </xdr:nvSpPr>
      <xdr:spPr>
        <a:xfrm>
          <a:off x="6410325" y="39243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0</xdr:col>
      <xdr:colOff>485775</xdr:colOff>
      <xdr:row>689</xdr:row>
      <xdr:rowOff>0</xdr:rowOff>
    </xdr:from>
    <xdr:ext cx="65" cy="172227"/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7D2BDBDF-52E1-45FC-8AED-6DD1B39AD168}"/>
            </a:ext>
          </a:extLst>
        </xdr:cNvPr>
        <xdr:cNvSpPr txBox="1"/>
      </xdr:nvSpPr>
      <xdr:spPr>
        <a:xfrm>
          <a:off x="6410325" y="39243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0</xdr:col>
      <xdr:colOff>485775</xdr:colOff>
      <xdr:row>689</xdr:row>
      <xdr:rowOff>0</xdr:rowOff>
    </xdr:from>
    <xdr:ext cx="65" cy="172227"/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DC4D624-A851-489D-A07D-BC3B63578304}"/>
            </a:ext>
          </a:extLst>
        </xdr:cNvPr>
        <xdr:cNvSpPr txBox="1"/>
      </xdr:nvSpPr>
      <xdr:spPr>
        <a:xfrm>
          <a:off x="6410325" y="39243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0</xdr:col>
      <xdr:colOff>485775</xdr:colOff>
      <xdr:row>689</xdr:row>
      <xdr:rowOff>0</xdr:rowOff>
    </xdr:from>
    <xdr:ext cx="65" cy="172227"/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D0137FCB-5047-4E9C-9A6E-04B800310437}"/>
            </a:ext>
          </a:extLst>
        </xdr:cNvPr>
        <xdr:cNvSpPr txBox="1"/>
      </xdr:nvSpPr>
      <xdr:spPr>
        <a:xfrm>
          <a:off x="6410325" y="39243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0</xdr:col>
      <xdr:colOff>485775</xdr:colOff>
      <xdr:row>689</xdr:row>
      <xdr:rowOff>0</xdr:rowOff>
    </xdr:from>
    <xdr:ext cx="65" cy="172227"/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7E758115-2DBD-4B32-99EE-F1EEED8FDE2E}"/>
            </a:ext>
          </a:extLst>
        </xdr:cNvPr>
        <xdr:cNvSpPr txBox="1"/>
      </xdr:nvSpPr>
      <xdr:spPr>
        <a:xfrm>
          <a:off x="6410325" y="39243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0</xdr:col>
      <xdr:colOff>485775</xdr:colOff>
      <xdr:row>689</xdr:row>
      <xdr:rowOff>0</xdr:rowOff>
    </xdr:from>
    <xdr:ext cx="65" cy="172227"/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F72BF5DE-6FBD-46E0-8EE9-7D090E7009E3}"/>
            </a:ext>
          </a:extLst>
        </xdr:cNvPr>
        <xdr:cNvSpPr txBox="1"/>
      </xdr:nvSpPr>
      <xdr:spPr>
        <a:xfrm>
          <a:off x="6410325" y="39243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0</xdr:col>
      <xdr:colOff>485775</xdr:colOff>
      <xdr:row>689</xdr:row>
      <xdr:rowOff>0</xdr:rowOff>
    </xdr:from>
    <xdr:ext cx="65" cy="172227"/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0A8876F8-17A3-4D55-BA58-564C3CA27807}"/>
            </a:ext>
          </a:extLst>
        </xdr:cNvPr>
        <xdr:cNvSpPr txBox="1"/>
      </xdr:nvSpPr>
      <xdr:spPr>
        <a:xfrm>
          <a:off x="6410325" y="39243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0</xdr:col>
      <xdr:colOff>485775</xdr:colOff>
      <xdr:row>689</xdr:row>
      <xdr:rowOff>0</xdr:rowOff>
    </xdr:from>
    <xdr:ext cx="65" cy="172227"/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8204C3C9-49AE-426D-8ED3-7A6CFBBC1086}"/>
            </a:ext>
          </a:extLst>
        </xdr:cNvPr>
        <xdr:cNvSpPr txBox="1"/>
      </xdr:nvSpPr>
      <xdr:spPr>
        <a:xfrm>
          <a:off x="6410325" y="39243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0</xdr:col>
      <xdr:colOff>485775</xdr:colOff>
      <xdr:row>689</xdr:row>
      <xdr:rowOff>0</xdr:rowOff>
    </xdr:from>
    <xdr:ext cx="65" cy="172227"/>
    <xdr:sp macro="" textlink="">
      <xdr:nvSpPr>
        <xdr:cNvPr id="16" name="CaixaDeTexto 15">
          <a:extLst>
            <a:ext uri="{FF2B5EF4-FFF2-40B4-BE49-F238E27FC236}">
              <a16:creationId xmlns:a16="http://schemas.microsoft.com/office/drawing/2014/main" id="{3E6D1BA3-6788-4C6C-BD52-4261179800DE}"/>
            </a:ext>
          </a:extLst>
        </xdr:cNvPr>
        <xdr:cNvSpPr txBox="1"/>
      </xdr:nvSpPr>
      <xdr:spPr>
        <a:xfrm>
          <a:off x="6410325" y="39243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0</xdr:col>
      <xdr:colOff>485775</xdr:colOff>
      <xdr:row>688</xdr:row>
      <xdr:rowOff>0</xdr:rowOff>
    </xdr:from>
    <xdr:ext cx="65" cy="172227"/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BCBF5A89-D8FE-4808-8125-B6EE5C15DEDF}"/>
            </a:ext>
          </a:extLst>
        </xdr:cNvPr>
        <xdr:cNvSpPr txBox="1"/>
      </xdr:nvSpPr>
      <xdr:spPr>
        <a:xfrm>
          <a:off x="171450" y="9842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0</xdr:col>
      <xdr:colOff>485775</xdr:colOff>
      <xdr:row>688</xdr:row>
      <xdr:rowOff>0</xdr:rowOff>
    </xdr:from>
    <xdr:ext cx="65" cy="172227"/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B0EC25B5-2997-4953-B37E-A4116716FA3C}"/>
            </a:ext>
          </a:extLst>
        </xdr:cNvPr>
        <xdr:cNvSpPr txBox="1"/>
      </xdr:nvSpPr>
      <xdr:spPr>
        <a:xfrm>
          <a:off x="171450" y="9842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0</xdr:col>
      <xdr:colOff>485775</xdr:colOff>
      <xdr:row>688</xdr:row>
      <xdr:rowOff>0</xdr:rowOff>
    </xdr:from>
    <xdr:ext cx="65" cy="172227"/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1BF49F07-D3F1-46C0-A6B4-32DF07F4D8B0}"/>
            </a:ext>
          </a:extLst>
        </xdr:cNvPr>
        <xdr:cNvSpPr txBox="1"/>
      </xdr:nvSpPr>
      <xdr:spPr>
        <a:xfrm>
          <a:off x="171450" y="9842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0</xdr:col>
      <xdr:colOff>485775</xdr:colOff>
      <xdr:row>688</xdr:row>
      <xdr:rowOff>0</xdr:rowOff>
    </xdr:from>
    <xdr:ext cx="65" cy="172227"/>
    <xdr:sp macro="" textlink="">
      <xdr:nvSpPr>
        <xdr:cNvPr id="20" name="CaixaDeTexto 19">
          <a:extLst>
            <a:ext uri="{FF2B5EF4-FFF2-40B4-BE49-F238E27FC236}">
              <a16:creationId xmlns:a16="http://schemas.microsoft.com/office/drawing/2014/main" id="{BDC2CFC9-0A6D-481A-A0C3-D1C2488E02EF}"/>
            </a:ext>
          </a:extLst>
        </xdr:cNvPr>
        <xdr:cNvSpPr txBox="1"/>
      </xdr:nvSpPr>
      <xdr:spPr>
        <a:xfrm>
          <a:off x="171450" y="9842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0</xdr:col>
      <xdr:colOff>485775</xdr:colOff>
      <xdr:row>688</xdr:row>
      <xdr:rowOff>0</xdr:rowOff>
    </xdr:from>
    <xdr:ext cx="65" cy="172227"/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5D5E4DEC-0BFA-4A8D-947F-54219B7BC503}"/>
            </a:ext>
          </a:extLst>
        </xdr:cNvPr>
        <xdr:cNvSpPr txBox="1"/>
      </xdr:nvSpPr>
      <xdr:spPr>
        <a:xfrm>
          <a:off x="171450" y="9842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0</xdr:col>
      <xdr:colOff>485775</xdr:colOff>
      <xdr:row>688</xdr:row>
      <xdr:rowOff>0</xdr:rowOff>
    </xdr:from>
    <xdr:ext cx="65" cy="172227"/>
    <xdr:sp macro="" textlink="">
      <xdr:nvSpPr>
        <xdr:cNvPr id="22" name="CaixaDeTexto 21">
          <a:extLst>
            <a:ext uri="{FF2B5EF4-FFF2-40B4-BE49-F238E27FC236}">
              <a16:creationId xmlns:a16="http://schemas.microsoft.com/office/drawing/2014/main" id="{DED38565-56B6-48E9-91EB-837BB66A327F}"/>
            </a:ext>
          </a:extLst>
        </xdr:cNvPr>
        <xdr:cNvSpPr txBox="1"/>
      </xdr:nvSpPr>
      <xdr:spPr>
        <a:xfrm>
          <a:off x="171450" y="9842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0</xdr:col>
      <xdr:colOff>485775</xdr:colOff>
      <xdr:row>688</xdr:row>
      <xdr:rowOff>0</xdr:rowOff>
    </xdr:from>
    <xdr:ext cx="65" cy="172227"/>
    <xdr:sp macro="" textlink="">
      <xdr:nvSpPr>
        <xdr:cNvPr id="23" name="CaixaDeTexto 22">
          <a:extLst>
            <a:ext uri="{FF2B5EF4-FFF2-40B4-BE49-F238E27FC236}">
              <a16:creationId xmlns:a16="http://schemas.microsoft.com/office/drawing/2014/main" id="{6D613C7B-312C-4AC5-8179-51AD08E6B9A3}"/>
            </a:ext>
          </a:extLst>
        </xdr:cNvPr>
        <xdr:cNvSpPr txBox="1"/>
      </xdr:nvSpPr>
      <xdr:spPr>
        <a:xfrm>
          <a:off x="171450" y="9842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0</xdr:col>
      <xdr:colOff>485775</xdr:colOff>
      <xdr:row>688</xdr:row>
      <xdr:rowOff>0</xdr:rowOff>
    </xdr:from>
    <xdr:ext cx="65" cy="172227"/>
    <xdr:sp macro="" textlink="">
      <xdr:nvSpPr>
        <xdr:cNvPr id="24" name="CaixaDeTexto 23">
          <a:extLst>
            <a:ext uri="{FF2B5EF4-FFF2-40B4-BE49-F238E27FC236}">
              <a16:creationId xmlns:a16="http://schemas.microsoft.com/office/drawing/2014/main" id="{7B2ABBC5-DEE7-42C9-8C1B-D052ACDBB578}"/>
            </a:ext>
          </a:extLst>
        </xdr:cNvPr>
        <xdr:cNvSpPr txBox="1"/>
      </xdr:nvSpPr>
      <xdr:spPr>
        <a:xfrm>
          <a:off x="171450" y="9842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0</xdr:col>
      <xdr:colOff>485775</xdr:colOff>
      <xdr:row>688</xdr:row>
      <xdr:rowOff>0</xdr:rowOff>
    </xdr:from>
    <xdr:ext cx="65" cy="172227"/>
    <xdr:sp macro="" textlink="">
      <xdr:nvSpPr>
        <xdr:cNvPr id="25" name="CaixaDeTexto 24">
          <a:extLst>
            <a:ext uri="{FF2B5EF4-FFF2-40B4-BE49-F238E27FC236}">
              <a16:creationId xmlns:a16="http://schemas.microsoft.com/office/drawing/2014/main" id="{C374990C-6C6D-4D35-A485-F24C7E78A97B}"/>
            </a:ext>
          </a:extLst>
        </xdr:cNvPr>
        <xdr:cNvSpPr txBox="1"/>
      </xdr:nvSpPr>
      <xdr:spPr>
        <a:xfrm>
          <a:off x="171450" y="9842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3</xdr:col>
      <xdr:colOff>485775</xdr:colOff>
      <xdr:row>1245</xdr:row>
      <xdr:rowOff>0</xdr:rowOff>
    </xdr:from>
    <xdr:ext cx="65" cy="172227"/>
    <xdr:sp macro="" textlink="">
      <xdr:nvSpPr>
        <xdr:cNvPr id="26" name="CaixaDeTexto 25">
          <a:extLst>
            <a:ext uri="{FF2B5EF4-FFF2-40B4-BE49-F238E27FC236}">
              <a16:creationId xmlns:a16="http://schemas.microsoft.com/office/drawing/2014/main" id="{1B600ECC-D68D-453F-B7E5-07D24673EE2F}"/>
            </a:ext>
          </a:extLst>
        </xdr:cNvPr>
        <xdr:cNvSpPr txBox="1"/>
      </xdr:nvSpPr>
      <xdr:spPr>
        <a:xfrm>
          <a:off x="5600700" y="2098357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3</xdr:col>
      <xdr:colOff>485775</xdr:colOff>
      <xdr:row>1245</xdr:row>
      <xdr:rowOff>0</xdr:rowOff>
    </xdr:from>
    <xdr:ext cx="65" cy="172227"/>
    <xdr:sp macro="" textlink="">
      <xdr:nvSpPr>
        <xdr:cNvPr id="27" name="CaixaDeTexto 26">
          <a:extLst>
            <a:ext uri="{FF2B5EF4-FFF2-40B4-BE49-F238E27FC236}">
              <a16:creationId xmlns:a16="http://schemas.microsoft.com/office/drawing/2014/main" id="{429E02A5-305A-4DE1-B46A-884D0ACBDEAF}"/>
            </a:ext>
          </a:extLst>
        </xdr:cNvPr>
        <xdr:cNvSpPr txBox="1"/>
      </xdr:nvSpPr>
      <xdr:spPr>
        <a:xfrm>
          <a:off x="5600700" y="2098357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3</xdr:col>
      <xdr:colOff>485775</xdr:colOff>
      <xdr:row>1245</xdr:row>
      <xdr:rowOff>0</xdr:rowOff>
    </xdr:from>
    <xdr:ext cx="65" cy="172227"/>
    <xdr:sp macro="" textlink="">
      <xdr:nvSpPr>
        <xdr:cNvPr id="28" name="CaixaDeTexto 27">
          <a:extLst>
            <a:ext uri="{FF2B5EF4-FFF2-40B4-BE49-F238E27FC236}">
              <a16:creationId xmlns:a16="http://schemas.microsoft.com/office/drawing/2014/main" id="{0C0F97F5-77A3-4DFF-8F8F-322FE417884F}"/>
            </a:ext>
          </a:extLst>
        </xdr:cNvPr>
        <xdr:cNvSpPr txBox="1"/>
      </xdr:nvSpPr>
      <xdr:spPr>
        <a:xfrm>
          <a:off x="5600700" y="2098357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2</xdr:col>
      <xdr:colOff>485775</xdr:colOff>
      <xdr:row>1245</xdr:row>
      <xdr:rowOff>0</xdr:rowOff>
    </xdr:from>
    <xdr:ext cx="65" cy="172227"/>
    <xdr:sp macro="" textlink="">
      <xdr:nvSpPr>
        <xdr:cNvPr id="29" name="CaixaDeTexto 28">
          <a:extLst>
            <a:ext uri="{FF2B5EF4-FFF2-40B4-BE49-F238E27FC236}">
              <a16:creationId xmlns:a16="http://schemas.microsoft.com/office/drawing/2014/main" id="{D67E543A-65E4-4748-9867-906841FC5B6F}"/>
            </a:ext>
          </a:extLst>
        </xdr:cNvPr>
        <xdr:cNvSpPr txBox="1"/>
      </xdr:nvSpPr>
      <xdr:spPr>
        <a:xfrm>
          <a:off x="4562475" y="2098357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3</xdr:col>
      <xdr:colOff>485775</xdr:colOff>
      <xdr:row>1245</xdr:row>
      <xdr:rowOff>0</xdr:rowOff>
    </xdr:from>
    <xdr:ext cx="65" cy="172227"/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DFA01E15-BACC-4224-B643-84D4861AC0D9}"/>
            </a:ext>
          </a:extLst>
        </xdr:cNvPr>
        <xdr:cNvSpPr txBox="1"/>
      </xdr:nvSpPr>
      <xdr:spPr>
        <a:xfrm>
          <a:off x="5600700" y="2098357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3</xdr:col>
      <xdr:colOff>485775</xdr:colOff>
      <xdr:row>1245</xdr:row>
      <xdr:rowOff>0</xdr:rowOff>
    </xdr:from>
    <xdr:ext cx="65" cy="172227"/>
    <xdr:sp macro="" textlink="">
      <xdr:nvSpPr>
        <xdr:cNvPr id="31" name="CaixaDeTexto 30">
          <a:extLst>
            <a:ext uri="{FF2B5EF4-FFF2-40B4-BE49-F238E27FC236}">
              <a16:creationId xmlns:a16="http://schemas.microsoft.com/office/drawing/2014/main" id="{FAC20B48-4C6F-470E-945F-D880AB0A95DD}"/>
            </a:ext>
          </a:extLst>
        </xdr:cNvPr>
        <xdr:cNvSpPr txBox="1"/>
      </xdr:nvSpPr>
      <xdr:spPr>
        <a:xfrm>
          <a:off x="5600700" y="2098357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0</xdr:col>
      <xdr:colOff>485775</xdr:colOff>
      <xdr:row>698</xdr:row>
      <xdr:rowOff>0</xdr:rowOff>
    </xdr:from>
    <xdr:ext cx="65" cy="172227"/>
    <xdr:sp macro="" textlink="">
      <xdr:nvSpPr>
        <xdr:cNvPr id="32" name="CaixaDeTexto 31">
          <a:extLst>
            <a:ext uri="{FF2B5EF4-FFF2-40B4-BE49-F238E27FC236}">
              <a16:creationId xmlns:a16="http://schemas.microsoft.com/office/drawing/2014/main" id="{BBEA3CCB-BCA2-4ACA-9C7C-E588D0FD0770}"/>
            </a:ext>
          </a:extLst>
        </xdr:cNvPr>
        <xdr:cNvSpPr txBox="1"/>
      </xdr:nvSpPr>
      <xdr:spPr>
        <a:xfrm>
          <a:off x="171450" y="114300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0</xdr:col>
      <xdr:colOff>485775</xdr:colOff>
      <xdr:row>698</xdr:row>
      <xdr:rowOff>0</xdr:rowOff>
    </xdr:from>
    <xdr:ext cx="65" cy="172227"/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29467F8F-BA9F-4984-B406-9E86F867210E}"/>
            </a:ext>
          </a:extLst>
        </xdr:cNvPr>
        <xdr:cNvSpPr txBox="1"/>
      </xdr:nvSpPr>
      <xdr:spPr>
        <a:xfrm>
          <a:off x="171450" y="114300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0</xdr:col>
      <xdr:colOff>485775</xdr:colOff>
      <xdr:row>698</xdr:row>
      <xdr:rowOff>0</xdr:rowOff>
    </xdr:from>
    <xdr:ext cx="65" cy="172227"/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381C1A33-CC30-4B58-9555-C1305A9AD18F}"/>
            </a:ext>
          </a:extLst>
        </xdr:cNvPr>
        <xdr:cNvSpPr txBox="1"/>
      </xdr:nvSpPr>
      <xdr:spPr>
        <a:xfrm>
          <a:off x="171450" y="114300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0</xdr:col>
      <xdr:colOff>485775</xdr:colOff>
      <xdr:row>698</xdr:row>
      <xdr:rowOff>0</xdr:rowOff>
    </xdr:from>
    <xdr:ext cx="65" cy="172227"/>
    <xdr:sp macro="" textlink="">
      <xdr:nvSpPr>
        <xdr:cNvPr id="35" name="CaixaDeTexto 34">
          <a:extLst>
            <a:ext uri="{FF2B5EF4-FFF2-40B4-BE49-F238E27FC236}">
              <a16:creationId xmlns:a16="http://schemas.microsoft.com/office/drawing/2014/main" id="{26153052-84B0-4A73-AA73-A6828583FA60}"/>
            </a:ext>
          </a:extLst>
        </xdr:cNvPr>
        <xdr:cNvSpPr txBox="1"/>
      </xdr:nvSpPr>
      <xdr:spPr>
        <a:xfrm>
          <a:off x="171450" y="114300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0</xdr:col>
      <xdr:colOff>485775</xdr:colOff>
      <xdr:row>698</xdr:row>
      <xdr:rowOff>0</xdr:rowOff>
    </xdr:from>
    <xdr:ext cx="65" cy="172227"/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id="{1BB587C1-0A29-4477-8DB7-A72C4FE9AEC1}"/>
            </a:ext>
          </a:extLst>
        </xdr:cNvPr>
        <xdr:cNvSpPr txBox="1"/>
      </xdr:nvSpPr>
      <xdr:spPr>
        <a:xfrm>
          <a:off x="171450" y="114300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0</xdr:col>
      <xdr:colOff>485775</xdr:colOff>
      <xdr:row>698</xdr:row>
      <xdr:rowOff>0</xdr:rowOff>
    </xdr:from>
    <xdr:ext cx="65" cy="172227"/>
    <xdr:sp macro="" textlink="">
      <xdr:nvSpPr>
        <xdr:cNvPr id="37" name="CaixaDeTexto 36">
          <a:extLst>
            <a:ext uri="{FF2B5EF4-FFF2-40B4-BE49-F238E27FC236}">
              <a16:creationId xmlns:a16="http://schemas.microsoft.com/office/drawing/2014/main" id="{0CD0E119-1799-468F-BF7F-29A712FE98C4}"/>
            </a:ext>
          </a:extLst>
        </xdr:cNvPr>
        <xdr:cNvSpPr txBox="1"/>
      </xdr:nvSpPr>
      <xdr:spPr>
        <a:xfrm>
          <a:off x="171450" y="114300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0</xdr:col>
      <xdr:colOff>485775</xdr:colOff>
      <xdr:row>698</xdr:row>
      <xdr:rowOff>0</xdr:rowOff>
    </xdr:from>
    <xdr:ext cx="65" cy="172227"/>
    <xdr:sp macro="" textlink="">
      <xdr:nvSpPr>
        <xdr:cNvPr id="38" name="CaixaDeTexto 37">
          <a:extLst>
            <a:ext uri="{FF2B5EF4-FFF2-40B4-BE49-F238E27FC236}">
              <a16:creationId xmlns:a16="http://schemas.microsoft.com/office/drawing/2014/main" id="{33C5E5D8-27C2-4809-B0F1-0F59A9C87DF8}"/>
            </a:ext>
          </a:extLst>
        </xdr:cNvPr>
        <xdr:cNvSpPr txBox="1"/>
      </xdr:nvSpPr>
      <xdr:spPr>
        <a:xfrm>
          <a:off x="171450" y="114300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0</xdr:col>
      <xdr:colOff>485775</xdr:colOff>
      <xdr:row>698</xdr:row>
      <xdr:rowOff>0</xdr:rowOff>
    </xdr:from>
    <xdr:ext cx="65" cy="172227"/>
    <xdr:sp macro="" textlink="">
      <xdr:nvSpPr>
        <xdr:cNvPr id="39" name="CaixaDeTexto 38">
          <a:extLst>
            <a:ext uri="{FF2B5EF4-FFF2-40B4-BE49-F238E27FC236}">
              <a16:creationId xmlns:a16="http://schemas.microsoft.com/office/drawing/2014/main" id="{47D343FE-CC99-4DF7-9421-A190A476419D}"/>
            </a:ext>
          </a:extLst>
        </xdr:cNvPr>
        <xdr:cNvSpPr txBox="1"/>
      </xdr:nvSpPr>
      <xdr:spPr>
        <a:xfrm>
          <a:off x="171450" y="114300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0</xdr:col>
      <xdr:colOff>485775</xdr:colOff>
      <xdr:row>698</xdr:row>
      <xdr:rowOff>0</xdr:rowOff>
    </xdr:from>
    <xdr:ext cx="65" cy="172227"/>
    <xdr:sp macro="" textlink="">
      <xdr:nvSpPr>
        <xdr:cNvPr id="40" name="CaixaDeTexto 39">
          <a:extLst>
            <a:ext uri="{FF2B5EF4-FFF2-40B4-BE49-F238E27FC236}">
              <a16:creationId xmlns:a16="http://schemas.microsoft.com/office/drawing/2014/main" id="{4E92C5D9-13AF-4A1F-9D75-13CB3A9780AF}"/>
            </a:ext>
          </a:extLst>
        </xdr:cNvPr>
        <xdr:cNvSpPr txBox="1"/>
      </xdr:nvSpPr>
      <xdr:spPr>
        <a:xfrm>
          <a:off x="171450" y="114300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0</xdr:col>
      <xdr:colOff>485775</xdr:colOff>
      <xdr:row>697</xdr:row>
      <xdr:rowOff>0</xdr:rowOff>
    </xdr:from>
    <xdr:ext cx="65" cy="172227"/>
    <xdr:sp macro="" textlink="">
      <xdr:nvSpPr>
        <xdr:cNvPr id="41" name="CaixaDeTexto 40">
          <a:extLst>
            <a:ext uri="{FF2B5EF4-FFF2-40B4-BE49-F238E27FC236}">
              <a16:creationId xmlns:a16="http://schemas.microsoft.com/office/drawing/2014/main" id="{DA47E94B-23DC-48FE-80E1-A20C4DC0CF53}"/>
            </a:ext>
          </a:extLst>
        </xdr:cNvPr>
        <xdr:cNvSpPr txBox="1"/>
      </xdr:nvSpPr>
      <xdr:spPr>
        <a:xfrm>
          <a:off x="171450" y="1141380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0</xdr:col>
      <xdr:colOff>485775</xdr:colOff>
      <xdr:row>697</xdr:row>
      <xdr:rowOff>0</xdr:rowOff>
    </xdr:from>
    <xdr:ext cx="65" cy="172227"/>
    <xdr:sp macro="" textlink="">
      <xdr:nvSpPr>
        <xdr:cNvPr id="42" name="CaixaDeTexto 41">
          <a:extLst>
            <a:ext uri="{FF2B5EF4-FFF2-40B4-BE49-F238E27FC236}">
              <a16:creationId xmlns:a16="http://schemas.microsoft.com/office/drawing/2014/main" id="{890EFE0C-78CE-4A26-8528-E17DBF961D3E}"/>
            </a:ext>
          </a:extLst>
        </xdr:cNvPr>
        <xdr:cNvSpPr txBox="1"/>
      </xdr:nvSpPr>
      <xdr:spPr>
        <a:xfrm>
          <a:off x="171450" y="1141380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0</xdr:col>
      <xdr:colOff>485775</xdr:colOff>
      <xdr:row>697</xdr:row>
      <xdr:rowOff>0</xdr:rowOff>
    </xdr:from>
    <xdr:ext cx="65" cy="172227"/>
    <xdr:sp macro="" textlink="">
      <xdr:nvSpPr>
        <xdr:cNvPr id="43" name="CaixaDeTexto 42">
          <a:extLst>
            <a:ext uri="{FF2B5EF4-FFF2-40B4-BE49-F238E27FC236}">
              <a16:creationId xmlns:a16="http://schemas.microsoft.com/office/drawing/2014/main" id="{0848CA1C-258F-4A27-9C18-BE63F8D8BF3E}"/>
            </a:ext>
          </a:extLst>
        </xdr:cNvPr>
        <xdr:cNvSpPr txBox="1"/>
      </xdr:nvSpPr>
      <xdr:spPr>
        <a:xfrm>
          <a:off x="171450" y="1141380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0</xdr:col>
      <xdr:colOff>485775</xdr:colOff>
      <xdr:row>697</xdr:row>
      <xdr:rowOff>0</xdr:rowOff>
    </xdr:from>
    <xdr:ext cx="65" cy="172227"/>
    <xdr:sp macro="" textlink="">
      <xdr:nvSpPr>
        <xdr:cNvPr id="44" name="CaixaDeTexto 43">
          <a:extLst>
            <a:ext uri="{FF2B5EF4-FFF2-40B4-BE49-F238E27FC236}">
              <a16:creationId xmlns:a16="http://schemas.microsoft.com/office/drawing/2014/main" id="{FB972B37-94A4-40A6-ADBF-33569D2F490A}"/>
            </a:ext>
          </a:extLst>
        </xdr:cNvPr>
        <xdr:cNvSpPr txBox="1"/>
      </xdr:nvSpPr>
      <xdr:spPr>
        <a:xfrm>
          <a:off x="171450" y="1141380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0</xdr:col>
      <xdr:colOff>485775</xdr:colOff>
      <xdr:row>697</xdr:row>
      <xdr:rowOff>0</xdr:rowOff>
    </xdr:from>
    <xdr:ext cx="65" cy="172227"/>
    <xdr:sp macro="" textlink="">
      <xdr:nvSpPr>
        <xdr:cNvPr id="45" name="CaixaDeTexto 44">
          <a:extLst>
            <a:ext uri="{FF2B5EF4-FFF2-40B4-BE49-F238E27FC236}">
              <a16:creationId xmlns:a16="http://schemas.microsoft.com/office/drawing/2014/main" id="{D3020174-0151-4F6D-AFB5-83484551D2FB}"/>
            </a:ext>
          </a:extLst>
        </xdr:cNvPr>
        <xdr:cNvSpPr txBox="1"/>
      </xdr:nvSpPr>
      <xdr:spPr>
        <a:xfrm>
          <a:off x="171450" y="1141380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0</xdr:col>
      <xdr:colOff>485775</xdr:colOff>
      <xdr:row>697</xdr:row>
      <xdr:rowOff>0</xdr:rowOff>
    </xdr:from>
    <xdr:ext cx="65" cy="172227"/>
    <xdr:sp macro="" textlink="">
      <xdr:nvSpPr>
        <xdr:cNvPr id="46" name="CaixaDeTexto 45">
          <a:extLst>
            <a:ext uri="{FF2B5EF4-FFF2-40B4-BE49-F238E27FC236}">
              <a16:creationId xmlns:a16="http://schemas.microsoft.com/office/drawing/2014/main" id="{22A8CB10-6132-4A1B-8EA3-9647873B9E16}"/>
            </a:ext>
          </a:extLst>
        </xdr:cNvPr>
        <xdr:cNvSpPr txBox="1"/>
      </xdr:nvSpPr>
      <xdr:spPr>
        <a:xfrm>
          <a:off x="171450" y="1141380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0</xdr:col>
      <xdr:colOff>485775</xdr:colOff>
      <xdr:row>697</xdr:row>
      <xdr:rowOff>0</xdr:rowOff>
    </xdr:from>
    <xdr:ext cx="65" cy="172227"/>
    <xdr:sp macro="" textlink="">
      <xdr:nvSpPr>
        <xdr:cNvPr id="47" name="CaixaDeTexto 46">
          <a:extLst>
            <a:ext uri="{FF2B5EF4-FFF2-40B4-BE49-F238E27FC236}">
              <a16:creationId xmlns:a16="http://schemas.microsoft.com/office/drawing/2014/main" id="{1C3DB637-8E18-4AAF-B5E3-94B1B10E015D}"/>
            </a:ext>
          </a:extLst>
        </xdr:cNvPr>
        <xdr:cNvSpPr txBox="1"/>
      </xdr:nvSpPr>
      <xdr:spPr>
        <a:xfrm>
          <a:off x="171450" y="1141380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0</xdr:col>
      <xdr:colOff>485775</xdr:colOff>
      <xdr:row>697</xdr:row>
      <xdr:rowOff>0</xdr:rowOff>
    </xdr:from>
    <xdr:ext cx="65" cy="172227"/>
    <xdr:sp macro="" textlink="">
      <xdr:nvSpPr>
        <xdr:cNvPr id="48" name="CaixaDeTexto 47">
          <a:extLst>
            <a:ext uri="{FF2B5EF4-FFF2-40B4-BE49-F238E27FC236}">
              <a16:creationId xmlns:a16="http://schemas.microsoft.com/office/drawing/2014/main" id="{14D6BC5B-C906-4B58-80C7-BCE7F0962451}"/>
            </a:ext>
          </a:extLst>
        </xdr:cNvPr>
        <xdr:cNvSpPr txBox="1"/>
      </xdr:nvSpPr>
      <xdr:spPr>
        <a:xfrm>
          <a:off x="171450" y="1141380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0</xdr:col>
      <xdr:colOff>485775</xdr:colOff>
      <xdr:row>697</xdr:row>
      <xdr:rowOff>0</xdr:rowOff>
    </xdr:from>
    <xdr:ext cx="65" cy="172227"/>
    <xdr:sp macro="" textlink="">
      <xdr:nvSpPr>
        <xdr:cNvPr id="49" name="CaixaDeTexto 48">
          <a:extLst>
            <a:ext uri="{FF2B5EF4-FFF2-40B4-BE49-F238E27FC236}">
              <a16:creationId xmlns:a16="http://schemas.microsoft.com/office/drawing/2014/main" id="{07B1912B-FA5B-46B0-94C8-DFCAF357474B}"/>
            </a:ext>
          </a:extLst>
        </xdr:cNvPr>
        <xdr:cNvSpPr txBox="1"/>
      </xdr:nvSpPr>
      <xdr:spPr>
        <a:xfrm>
          <a:off x="171450" y="1141380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P:\Pasta%20di&#225;ria\DPTO%20CONT&#193;BIL\EMPRESAS\0332_MICROMEDICAL\332\Contabilidade%20Anterior\Contas.xls" TargetMode="External"/><Relationship Id="rId1" Type="http://schemas.openxmlformats.org/officeDocument/2006/relationships/externalLinkPath" Target="Contas.xls" TargetMode="External"/></Relationships>
</file>

<file path=xl/externalLinks/_rels/externalLink2.xml.rels><?xml version="1.0" encoding="UTF-8" standalone="yes"?>
<Relationships xmlns="http://schemas.openxmlformats.org/package/2006/relationships"><Relationship Id="rId3" Type="http://schemas.openxmlformats.org/officeDocument/2006/relationships/externalLinkPath" Target="../01/Relat&#243;rios/00%20-%20Aging%20List%20A%20Receber%20Janeiro%20%20-%20Contabilidade.xlsm" TargetMode="External"/><Relationship Id="rId2" Type="http://schemas.openxmlformats.org/officeDocument/2006/relationships/externalLinkPath" Target="file:///P:\Pasta%20di&#225;ria\DPTO%20CONT&#193;BIL\EMPRESAS\0332_MICROMEDICAL\332\01\Relat&#243;rios\00%20-%20Aging%20List%20A%20Receber%20Janeiro%20%20-%20Contabilidade.xlsm" TargetMode="External"/><Relationship Id="rId1" Type="http://schemas.openxmlformats.org/officeDocument/2006/relationships/externalLinkPath" Target="/Pasta%20di&#225;ria/DPTO%20CONT&#193;BIL/EMPRESAS/0332_MICROMEDICAL/332/01/Relat&#243;rios/00%20-%20Aging%20List%20A%20Receber%20Janeiro%20%20-%20Contabilidade.xlsm" TargetMode="External"/></Relationships>
</file>

<file path=xl/externalLinks/_rels/externalLink3.xml.rels><?xml version="1.0" encoding="UTF-8" standalone="yes"?>
<Relationships xmlns="http://schemas.openxmlformats.org/package/2006/relationships"><Relationship Id="rId3" Type="http://schemas.openxmlformats.org/officeDocument/2006/relationships/externalLinkPath" Target="../02/Relat&#243;rios/00%20-%20Aging%20List%20A%20Receber%20Fevereiro%20-%2028-02%20%20-%20Contabilidade.xlsm" TargetMode="External"/><Relationship Id="rId2" Type="http://schemas.openxmlformats.org/officeDocument/2006/relationships/externalLinkPath" Target="file:///P:\Pasta%20di&#225;ria\DPTO%20CONT&#193;BIL\EMPRESAS\0332_MICROMEDICAL\332\02\Relat&#243;rios\00%20-%20Aging%20List%20A%20Receber%20Fevereiro%20-%2028-02%20%20-%20Contabilidade.xlsm" TargetMode="External"/><Relationship Id="rId1" Type="http://schemas.openxmlformats.org/officeDocument/2006/relationships/externalLinkPath" Target="/Pasta%20di&#225;ria/DPTO%20CONT&#193;BIL/EMPRESAS/0332_MICROMEDICAL/332/02/Relat&#243;rios/00%20-%20Aging%20List%20A%20Receber%20Fevereiro%20-%2028-02%20%20-%20Contabilida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as"/>
    </sheetNames>
    <sheetDataSet>
      <sheetData sheetId="0">
        <row r="1">
          <cell r="A1" t="str">
            <v>Empresa:</v>
          </cell>
        </row>
        <row r="2">
          <cell r="A2" t="str">
            <v>C.N.P.J.:</v>
          </cell>
        </row>
        <row r="3">
          <cell r="A3" t="str">
            <v>PLANO DE CONTAS</v>
          </cell>
        </row>
        <row r="6">
          <cell r="A6">
            <v>1</v>
          </cell>
        </row>
        <row r="7">
          <cell r="A7">
            <v>2</v>
          </cell>
        </row>
        <row r="8">
          <cell r="A8">
            <v>80</v>
          </cell>
        </row>
        <row r="9">
          <cell r="A9">
            <v>81</v>
          </cell>
        </row>
        <row r="10">
          <cell r="A10">
            <v>3001</v>
          </cell>
          <cell r="B10" t="str">
            <v>CLIENTES</v>
          </cell>
        </row>
        <row r="11">
          <cell r="A11">
            <v>3097</v>
          </cell>
          <cell r="B11" t="str">
            <v>CAIXA BENEF. DOS FUNCIONARIOS DO BANCO ESTADO SAO PAULO</v>
          </cell>
        </row>
        <row r="12">
          <cell r="A12">
            <v>3098</v>
          </cell>
          <cell r="B12" t="str">
            <v>AMIL ASSISTENCIA MEDICA INTERNACIONAL SA</v>
          </cell>
        </row>
        <row r="13">
          <cell r="A13">
            <v>3099</v>
          </cell>
          <cell r="B13" t="str">
            <v>HOSPITAL ALVORADA TAGUATINGA LTDA</v>
          </cell>
        </row>
        <row r="14">
          <cell r="A14">
            <v>3100</v>
          </cell>
          <cell r="B14" t="str">
            <v>SOC BENEFICIENTE DE SENHORAS HOSPITAL SIRIO LIBANES</v>
          </cell>
        </row>
        <row r="15">
          <cell r="A15">
            <v>3103</v>
          </cell>
          <cell r="B15" t="str">
            <v>HOSPITAL ALVORADA TAGUATINGA LTDA</v>
          </cell>
        </row>
        <row r="16">
          <cell r="A16">
            <v>3104</v>
          </cell>
          <cell r="B16" t="str">
            <v>PRONCOR UNIDADE INTENSIVA CARDIORESPIRATORIA S A</v>
          </cell>
        </row>
        <row r="17">
          <cell r="A17">
            <v>3105</v>
          </cell>
          <cell r="B17" t="str">
            <v>FUND DE APOIO AO ENSINO PESQ E ASSISTENCIA HCFMRPUSP</v>
          </cell>
        </row>
        <row r="18">
          <cell r="A18">
            <v>3106</v>
          </cell>
          <cell r="B18" t="str">
            <v>UNIMED SERRA GAUCHA/RS COOPERATIVA DE ASSISTENCIA A SAUDE LT</v>
          </cell>
        </row>
        <row r="19">
          <cell r="A19">
            <v>3107</v>
          </cell>
          <cell r="B19" t="str">
            <v>FUNDACAO SANEPAR DE ASSISTENCIA SOCIAL</v>
          </cell>
        </row>
        <row r="20">
          <cell r="A20">
            <v>3110</v>
          </cell>
          <cell r="B20" t="str">
            <v>SPDM - ASSOC PAULISTA PARA O DES DA MEDICINA</v>
          </cell>
        </row>
        <row r="21">
          <cell r="A21">
            <v>3111</v>
          </cell>
          <cell r="B21" t="str">
            <v>UNIMED RECIFE COOPERATIVA DE TRABALHO MEDICO</v>
          </cell>
        </row>
        <row r="22">
          <cell r="A22">
            <v>3112</v>
          </cell>
          <cell r="B22" t="str">
            <v>ASSOCIACAO SANTA SAUDE</v>
          </cell>
        </row>
        <row r="23">
          <cell r="A23">
            <v>3113</v>
          </cell>
          <cell r="B23" t="str">
            <v>FUNDACAO FACULDADE REGIONAL DE MEDICINA S.J.RIO PRETO</v>
          </cell>
        </row>
        <row r="24">
          <cell r="A24">
            <v>3114</v>
          </cell>
          <cell r="B24" t="str">
            <v>HOSPITAL E MATERNIDADE DR CHRISTOVAO DA GAMA S A</v>
          </cell>
        </row>
        <row r="25">
          <cell r="A25">
            <v>3115</v>
          </cell>
          <cell r="B25" t="str">
            <v>CORIS MEDICINA VASCULAR LTDA</v>
          </cell>
        </row>
        <row r="26">
          <cell r="A26">
            <v>3116</v>
          </cell>
          <cell r="B26" t="str">
            <v>HOSPITAL DE CLINICAS</v>
          </cell>
        </row>
        <row r="27">
          <cell r="A27">
            <v>3117</v>
          </cell>
          <cell r="B27" t="str">
            <v>SUL AMERICA SERVICOS DE SAUDE S/A</v>
          </cell>
        </row>
        <row r="28">
          <cell r="A28">
            <v>3118</v>
          </cell>
          <cell r="B28" t="str">
            <v>UNIMED DE PRES PRUDENTE COOPERATIVA DE TRABALHO MEDICO</v>
          </cell>
        </row>
        <row r="29">
          <cell r="A29">
            <v>3119</v>
          </cell>
          <cell r="B29" t="str">
            <v>SURGMED COMERCIO IMP E EXP PROD P/ USO MEDICOS E HOSP LTDA</v>
          </cell>
        </row>
        <row r="30">
          <cell r="A30">
            <v>3120</v>
          </cell>
          <cell r="B30" t="str">
            <v>SOCIEDADE BENEFICENTE SAGRADA FAMILIA</v>
          </cell>
        </row>
        <row r="31">
          <cell r="A31">
            <v>3121</v>
          </cell>
          <cell r="B31" t="str">
            <v>POLICLIN S A SERVICOS MEDICO HOSPITALARES</v>
          </cell>
        </row>
        <row r="32">
          <cell r="A32">
            <v>3122</v>
          </cell>
          <cell r="B32" t="str">
            <v>IRMANDADE DA SANTA CASA DE MISERICORDIA DE MATAO</v>
          </cell>
        </row>
        <row r="33">
          <cell r="A33">
            <v>3123</v>
          </cell>
          <cell r="B33" t="str">
            <v>HOSPITAL DA FUNDACAO CASA DE CARIDADE DE SAO LOURENCO</v>
          </cell>
        </row>
        <row r="34">
          <cell r="A34">
            <v>3124</v>
          </cell>
          <cell r="B34" t="str">
            <v>IRMANDADE DA SANTA CASA DE MISERICORDIA DE SANTOS</v>
          </cell>
        </row>
        <row r="35">
          <cell r="A35">
            <v>3125</v>
          </cell>
          <cell r="B35" t="str">
            <v>IMPAR SERVICOS HOSPITALARES S/A</v>
          </cell>
        </row>
        <row r="36">
          <cell r="A36">
            <v>3126</v>
          </cell>
          <cell r="B36" t="str">
            <v>REDE DOR SAO LUIZ S.A.</v>
          </cell>
        </row>
        <row r="37">
          <cell r="A37">
            <v>3127</v>
          </cell>
          <cell r="B37" t="str">
            <v>REAL SOCIEDADE PORTUGUESA DE BENEF 16 DE SETEMBRO</v>
          </cell>
        </row>
        <row r="38">
          <cell r="A38">
            <v>3128</v>
          </cell>
          <cell r="B38" t="str">
            <v>SUL AMERICA COMPANHIA DE SEGURO SAUDE</v>
          </cell>
        </row>
        <row r="39">
          <cell r="A39">
            <v>3129</v>
          </cell>
          <cell r="B39" t="str">
            <v>UNIMED DE PIRACICABA SOCIEDADE COOPERATIVA DE SERVICOS MEDIC</v>
          </cell>
        </row>
        <row r="40">
          <cell r="A40">
            <v>3131</v>
          </cell>
          <cell r="B40" t="str">
            <v>GOCARE PLANOS DE SAUDE LTDA</v>
          </cell>
        </row>
        <row r="41">
          <cell r="A41">
            <v>3132</v>
          </cell>
          <cell r="B41" t="str">
            <v>REAL HOSPITAL PORTUGUES DE BENEFICENCIA EM PERNAMBUCO</v>
          </cell>
        </row>
        <row r="42">
          <cell r="A42">
            <v>3134</v>
          </cell>
          <cell r="B42" t="str">
            <v>SUL AMERICA COMPANHIA DE SEGURO SAUDE</v>
          </cell>
        </row>
        <row r="43">
          <cell r="A43">
            <v>3135</v>
          </cell>
          <cell r="B43" t="str">
            <v>PLENA SAUDE S.A.</v>
          </cell>
        </row>
        <row r="44">
          <cell r="A44">
            <v>3136</v>
          </cell>
          <cell r="B44" t="str">
            <v>REAL E BENEMERITA ASSOCIACAO PORTUGUESA DE BENEFICENCIA</v>
          </cell>
        </row>
        <row r="45">
          <cell r="A45">
            <v>3138</v>
          </cell>
          <cell r="B45" t="str">
            <v>SELECT OPERADORA DE PLANO DE SAUDE LTDA</v>
          </cell>
        </row>
        <row r="46">
          <cell r="A46">
            <v>3139</v>
          </cell>
          <cell r="B46" t="str">
            <v>SUL AMERICA COMPANHIA DE SEGURO SAUDE</v>
          </cell>
        </row>
        <row r="47">
          <cell r="A47">
            <v>3140</v>
          </cell>
          <cell r="B47" t="str">
            <v>HOSPITAL EVANGELICO DE LONDRINA</v>
          </cell>
        </row>
        <row r="48">
          <cell r="A48">
            <v>3141</v>
          </cell>
          <cell r="B48" t="str">
            <v>SUL AMERICA COMPANHIA DE SEGURO SAUDE</v>
          </cell>
        </row>
        <row r="49">
          <cell r="A49">
            <v>3142</v>
          </cell>
          <cell r="B49" t="str">
            <v>NOTRE DAME INTERMEDICA SAUDE S.A.</v>
          </cell>
        </row>
        <row r="50">
          <cell r="A50">
            <v>3143</v>
          </cell>
          <cell r="B50" t="str">
            <v>HOSPITAL CEPOG LTDA</v>
          </cell>
        </row>
        <row r="51">
          <cell r="A51">
            <v>3144</v>
          </cell>
          <cell r="B51" t="str">
            <v>HOSPITAL DO SERVIDOR PUBLICO MUNICIPAL</v>
          </cell>
        </row>
        <row r="52">
          <cell r="A52">
            <v>3145</v>
          </cell>
          <cell r="B52" t="str">
            <v>CASA DE SAUDE SANTA MARCELINA</v>
          </cell>
        </row>
        <row r="53">
          <cell r="A53">
            <v>3146</v>
          </cell>
          <cell r="B53" t="str">
            <v>CENTRAL NACIONAL UNIMED - COOPERATIVA CENTRAL</v>
          </cell>
        </row>
        <row r="54">
          <cell r="A54">
            <v>3147</v>
          </cell>
          <cell r="B54" t="str">
            <v>ASSOCIACAO BENEFICENTE HOSPITAL UNIVERSITARIO</v>
          </cell>
        </row>
        <row r="55">
          <cell r="A55">
            <v>3148</v>
          </cell>
          <cell r="B55" t="str">
            <v>UNIMED SERGIPE - COOPERATIVA DE TRABALHO MEDICO</v>
          </cell>
        </row>
        <row r="56">
          <cell r="A56">
            <v>3149</v>
          </cell>
          <cell r="B56" t="str">
            <v>INSTITUTO SOCRATES GUANAES - ISG</v>
          </cell>
        </row>
        <row r="57">
          <cell r="A57">
            <v>3150</v>
          </cell>
          <cell r="B57" t="str">
            <v>ASSOCIACAO BENEFICENTE BOM SAMARITANO</v>
          </cell>
        </row>
        <row r="58">
          <cell r="A58">
            <v>3151</v>
          </cell>
          <cell r="B58" t="str">
            <v>ASSOCIACAO DO PLANO DE SAUDE DA SANTA CASA DE MISERICORDIA D</v>
          </cell>
        </row>
        <row r="59">
          <cell r="A59">
            <v>3153</v>
          </cell>
          <cell r="B59" t="str">
            <v>UNIMED JOAO PESSOA COOPERATIVA DE TRABALHO MEDICO</v>
          </cell>
        </row>
        <row r="60">
          <cell r="A60">
            <v>3154</v>
          </cell>
          <cell r="B60" t="str">
            <v>HOSPITAL DE CLINICAS ANTONIO AFONSO</v>
          </cell>
        </row>
        <row r="61">
          <cell r="A61">
            <v>3155</v>
          </cell>
          <cell r="B61" t="str">
            <v>UNIAO BRASILEIRA DE EDUCACAO E ASSISTENCIA</v>
          </cell>
        </row>
        <row r="62">
          <cell r="A62">
            <v>3157</v>
          </cell>
          <cell r="B62" t="str">
            <v>ASSOCIACAO PORTUGUESA DE BENEFICENCIA DE SAO JOSE DO RIO PRE</v>
          </cell>
        </row>
        <row r="63">
          <cell r="A63">
            <v>3158</v>
          </cell>
          <cell r="B63" t="str">
            <v>ASSOCIACAO BENEFICENTE SIRIA</v>
          </cell>
        </row>
        <row r="64">
          <cell r="A64">
            <v>3159</v>
          </cell>
          <cell r="B64" t="str">
            <v>HOSPITAL PALMAS MEDICAL S.A</v>
          </cell>
        </row>
        <row r="65">
          <cell r="A65">
            <v>3161</v>
          </cell>
          <cell r="B65" t="str">
            <v>INSTITUTO DE ANGIOLOGIA E CARDIOLOGIA DE GOIANIA LTDA</v>
          </cell>
        </row>
        <row r="66">
          <cell r="A66">
            <v>3162</v>
          </cell>
          <cell r="B66" t="str">
            <v>UNIMED DE SAO CARLOS - COOPERATIVA DE TRABALHO MEDICO</v>
          </cell>
        </row>
        <row r="67">
          <cell r="A67">
            <v>3163</v>
          </cell>
          <cell r="B67" t="str">
            <v>ASSOCIACAO CONGREGACAO SANTA CATARINA</v>
          </cell>
        </row>
        <row r="68">
          <cell r="A68">
            <v>3164</v>
          </cell>
          <cell r="B68" t="str">
            <v>UNIMED DE JUNDIAI COOPERATIVA DE TRABALHO MEDICO</v>
          </cell>
        </row>
        <row r="69">
          <cell r="A69">
            <v>3165</v>
          </cell>
          <cell r="B69" t="str">
            <v>SAMEL PLANO DE SAUDE LTDA.</v>
          </cell>
        </row>
        <row r="70">
          <cell r="A70">
            <v>3167</v>
          </cell>
          <cell r="B70" t="str">
            <v>RC RADIOLOGIA INTERVENCIONISTA LTDA</v>
          </cell>
        </row>
        <row r="71">
          <cell r="A71">
            <v>3168</v>
          </cell>
          <cell r="B71" t="str">
            <v>UNIMED DE BOTUCATU COOPERATIVA DE TRABALHO MEDICO</v>
          </cell>
        </row>
        <row r="72">
          <cell r="A72">
            <v>3169</v>
          </cell>
          <cell r="B72" t="str">
            <v>UNIVERSIDADE ESTADUAL DO OESTE DO PARANA</v>
          </cell>
        </row>
        <row r="73">
          <cell r="A73">
            <v>3171</v>
          </cell>
          <cell r="B73" t="str">
            <v>CLINICA DE CAMPO GRANDE S A</v>
          </cell>
        </row>
        <row r="74">
          <cell r="A74">
            <v>3172</v>
          </cell>
          <cell r="B74" t="str">
            <v>REDE D´OR SAO LUIZ S.A.</v>
          </cell>
        </row>
        <row r="75">
          <cell r="A75">
            <v>3173</v>
          </cell>
          <cell r="B75" t="str">
            <v>HOSPITAL SANTA CLARA</v>
          </cell>
        </row>
        <row r="76">
          <cell r="A76">
            <v>3174</v>
          </cell>
          <cell r="B76" t="str">
            <v>FUNDACAO FELICE ROSSO</v>
          </cell>
        </row>
        <row r="77">
          <cell r="A77">
            <v>3177</v>
          </cell>
          <cell r="B77" t="str">
            <v>SAMEDIL - SERVICOS DE ATENDIMENTO MEDICO S/A</v>
          </cell>
        </row>
        <row r="78">
          <cell r="A78">
            <v>3179</v>
          </cell>
          <cell r="B78" t="str">
            <v>UNIMED LITORAL COOPERATIVA DE TRABALHO MEDICO LTDA</v>
          </cell>
        </row>
        <row r="79">
          <cell r="A79">
            <v>3181</v>
          </cell>
          <cell r="B79" t="str">
            <v>UNIMED MACEIO COOPERATIVA DE TRABALHO MEDICO</v>
          </cell>
        </row>
        <row r="80">
          <cell r="A80">
            <v>3183</v>
          </cell>
          <cell r="B80" t="str">
            <v>SERVICO DE HEMODINAMICA E DIAGNOSTICO POR IMAGEM DO HOSPITAL</v>
          </cell>
        </row>
        <row r="81">
          <cell r="A81">
            <v>3184</v>
          </cell>
          <cell r="B81" t="str">
            <v>SOCIEDADE BENEFICENTE SAO CAMILO</v>
          </cell>
        </row>
        <row r="82">
          <cell r="A82">
            <v>3185</v>
          </cell>
          <cell r="B82" t="str">
            <v>SOCIEDADE BENEFICENTE SAO CAMILO-SANTANA</v>
          </cell>
        </row>
        <row r="83">
          <cell r="A83">
            <v>3186</v>
          </cell>
          <cell r="B83" t="str">
            <v>UNIMED SALTO/ITU - COOPERATIVA MEDICA</v>
          </cell>
        </row>
        <row r="84">
          <cell r="A84">
            <v>3187</v>
          </cell>
          <cell r="B84" t="str">
            <v>CAIXA DE ASSIST DOS SERV DO ESTADO DE MA</v>
          </cell>
        </row>
        <row r="85">
          <cell r="A85">
            <v>3190</v>
          </cell>
          <cell r="B85" t="str">
            <v>ASHOPE - ASSOCIACAO DE SERVICOS HOSPITALARES</v>
          </cell>
        </row>
        <row r="86">
          <cell r="A86">
            <v>3192</v>
          </cell>
          <cell r="B86" t="str">
            <v>UNIMED RECIFE COOPERATIVA DE TRABALHO MEDICO</v>
          </cell>
        </row>
        <row r="87">
          <cell r="A87">
            <v>3194</v>
          </cell>
          <cell r="B87" t="str">
            <v>PROTECARDIO - CLINICA DE HEMODINAMICA, DIAGNOSTICO E TRATAME</v>
          </cell>
        </row>
        <row r="88">
          <cell r="A88">
            <v>3197</v>
          </cell>
          <cell r="B88" t="str">
            <v>BANCO BRADESCO SAUDE S/A</v>
          </cell>
        </row>
        <row r="89">
          <cell r="A89">
            <v>3198</v>
          </cell>
          <cell r="B89" t="str">
            <v>HOSPITAL MATER DEI S/A</v>
          </cell>
        </row>
        <row r="90">
          <cell r="A90">
            <v>3199</v>
          </cell>
          <cell r="B90" t="str">
            <v>UNIMAGEM UNIDADE DE DIAGNOSTICO POR IMAGEM SAO FRANCISCO DE</v>
          </cell>
        </row>
        <row r="91">
          <cell r="A91">
            <v>3200</v>
          </cell>
          <cell r="B91" t="str">
            <v>SECRETARIA DE ESTADO DE SAUDE DE MATO GROSSO - SES</v>
          </cell>
        </row>
        <row r="92">
          <cell r="A92">
            <v>3201</v>
          </cell>
          <cell r="B92" t="str">
            <v>UNIMED CURITIBA - SOCIEDADE COOPERATIVA DE MEDICOS</v>
          </cell>
        </row>
        <row r="93">
          <cell r="A93">
            <v>3202</v>
          </cell>
          <cell r="B93" t="str">
            <v>HBA SA ASSISTENCIA MEDICA E HOSPITALAR</v>
          </cell>
        </row>
        <row r="94">
          <cell r="A94">
            <v>3203</v>
          </cell>
          <cell r="B94" t="str">
            <v>INSTITUTO SOCRATES GUANAES - ISG</v>
          </cell>
        </row>
        <row r="95">
          <cell r="A95">
            <v>3204</v>
          </cell>
          <cell r="B95" t="str">
            <v>ARRUDA &amp; ARRUDA JUNIOR LTDA</v>
          </cell>
        </row>
        <row r="96">
          <cell r="A96">
            <v>3205</v>
          </cell>
          <cell r="B96" t="str">
            <v>UNIMED SAO JOSE DOS CAMPOS - COOPERATIVA DE TRABALHO MEDICO</v>
          </cell>
        </row>
        <row r="97">
          <cell r="A97">
            <v>3206</v>
          </cell>
          <cell r="B97" t="str">
            <v>UNIMED SAO JOSE DOS CAMPOS COOPERATIVA TRABALHO MEDICO</v>
          </cell>
        </row>
        <row r="98">
          <cell r="A98">
            <v>3208</v>
          </cell>
          <cell r="B98" t="str">
            <v>REAL E BENEMERITA ASSOCIACAO PORTUGUESA DE BENEFICENCIA</v>
          </cell>
        </row>
        <row r="99">
          <cell r="A99">
            <v>3209</v>
          </cell>
          <cell r="B99" t="str">
            <v>SOCIEDADE B H SANTA CASA DE MISERICORDIA DE R PRETO</v>
          </cell>
        </row>
        <row r="100">
          <cell r="A100">
            <v>3210</v>
          </cell>
          <cell r="B100" t="str">
            <v>POSTAL SAUDE - CAIXA DE ASSIST E SAUDE DOS FUNC DOS CORREIOS</v>
          </cell>
        </row>
        <row r="101">
          <cell r="A101">
            <v>3211</v>
          </cell>
          <cell r="B101" t="str">
            <v>SANTA HELENA ASSISTENCIA MEDICA S/A</v>
          </cell>
        </row>
        <row r="102">
          <cell r="A102">
            <v>3212</v>
          </cell>
          <cell r="B102" t="str">
            <v>FUNDACAO GERALDO CORREA</v>
          </cell>
        </row>
        <row r="103">
          <cell r="A103">
            <v>3213</v>
          </cell>
          <cell r="B103" t="str">
            <v>NOSSA SAUDE OPERADORA DE PLANOS PRIVADOS DE ASSISTENCIA A SA</v>
          </cell>
        </row>
        <row r="104">
          <cell r="A104">
            <v>3214</v>
          </cell>
          <cell r="B104" t="str">
            <v>UNIMED REGIONAL JAU COOPERATIVA DE TRABALHO MEDICO</v>
          </cell>
        </row>
        <row r="105">
          <cell r="A105">
            <v>3215</v>
          </cell>
          <cell r="B105" t="str">
            <v>SANTA CASA DE MISERICORDIA DE MARILIA</v>
          </cell>
        </row>
        <row r="106">
          <cell r="A106">
            <v>3217</v>
          </cell>
          <cell r="B106" t="str">
            <v>AMICO SAUDE LTDA</v>
          </cell>
        </row>
        <row r="107">
          <cell r="A107">
            <v>3218</v>
          </cell>
          <cell r="B107" t="str">
            <v>ASSOCIACAO SAO FRANCISCO VIDA</v>
          </cell>
        </row>
        <row r="108">
          <cell r="A108">
            <v>3220</v>
          </cell>
          <cell r="B108" t="str">
            <v>ASSOCIACAO DOS AGENTES FISCAIS DE RENDAS DO ESTADO DE SAO PA</v>
          </cell>
        </row>
        <row r="109">
          <cell r="A109">
            <v>3542</v>
          </cell>
          <cell r="B109" t="str">
            <v>INSTITUTO NACIONAL DE TECNOLOGIA E SAUDE</v>
          </cell>
        </row>
        <row r="110">
          <cell r="A110">
            <v>3604</v>
          </cell>
          <cell r="B110" t="str">
            <v>AMICO SAUDE LTDA</v>
          </cell>
        </row>
        <row r="111">
          <cell r="A111">
            <v>3595</v>
          </cell>
          <cell r="B111" t="str">
            <v>CAIXA DE ASSISTENCIA OSWALDO CRUZ</v>
          </cell>
        </row>
        <row r="112">
          <cell r="A112">
            <v>3611</v>
          </cell>
          <cell r="B112" t="str">
            <v>FUNDACAO HOSPITALAR SAO LUCAS</v>
          </cell>
        </row>
        <row r="113">
          <cell r="A113">
            <v>3570</v>
          </cell>
          <cell r="B113" t="str">
            <v>HOSPITAIS INTEGRADOS DA GAVEA S/A</v>
          </cell>
        </row>
        <row r="114">
          <cell r="A114">
            <v>3554</v>
          </cell>
          <cell r="B114" t="str">
            <v>HOSPITAL DO CORACAO DE GOIAS LTDA</v>
          </cell>
        </row>
        <row r="115">
          <cell r="A115">
            <v>3589</v>
          </cell>
          <cell r="B115" t="str">
            <v>HOSPITAL ESPERANCA SA</v>
          </cell>
        </row>
        <row r="116">
          <cell r="A116">
            <v>3537</v>
          </cell>
          <cell r="B116" t="str">
            <v>INSTITUTO PERNAMBUCO DE CIRURGIA E ORTOPEDIA LTDA</v>
          </cell>
        </row>
        <row r="117">
          <cell r="A117">
            <v>3583</v>
          </cell>
          <cell r="B117" t="str">
            <v>IRMANDADE DA SANTA CASA DE MISERICORDIA DE LIMEIRA</v>
          </cell>
        </row>
        <row r="118">
          <cell r="A118">
            <v>3557</v>
          </cell>
          <cell r="B118" t="str">
            <v>NATHALIA MARQUES CATELAN</v>
          </cell>
        </row>
        <row r="119">
          <cell r="A119">
            <v>3586</v>
          </cell>
          <cell r="B119" t="str">
            <v>SECRETARIA DE ESTADO DA SAUDE - SUSAM</v>
          </cell>
        </row>
        <row r="120">
          <cell r="A120">
            <v>3573</v>
          </cell>
          <cell r="B120" t="str">
            <v>UNIMED DE MACAE COOPERATIVA DE ASSISTENCIA A SAUDE</v>
          </cell>
        </row>
        <row r="121">
          <cell r="A121">
            <v>3551</v>
          </cell>
          <cell r="B121" t="str">
            <v>UNIMED SAO GONCALO NITEROI SOC COOP SERV MED HOSP LTDA</v>
          </cell>
        </row>
        <row r="122">
          <cell r="A122">
            <v>3221</v>
          </cell>
          <cell r="B122" t="str">
            <v>UNIMED JOAO PESSOA COOPERATIVA DE TRABALHO MEDICO</v>
          </cell>
        </row>
        <row r="123">
          <cell r="A123">
            <v>3222</v>
          </cell>
          <cell r="B123" t="str">
            <v>AUSTACLINICAS ASSISTENCIA MEDICA E HOSPITALAR LTDA</v>
          </cell>
        </row>
        <row r="124">
          <cell r="A124">
            <v>3223</v>
          </cell>
          <cell r="B124" t="str">
            <v>SOCIEDADE BENEFICENTE SAO CAMILO- POMPEIA</v>
          </cell>
        </row>
        <row r="125">
          <cell r="A125">
            <v>3224</v>
          </cell>
          <cell r="B125" t="str">
            <v>UNIMED GRANDE FLORIANOPOLIS - COOPERATIVA DE TRABALHO MEDICO</v>
          </cell>
        </row>
        <row r="126">
          <cell r="A126">
            <v>3225</v>
          </cell>
          <cell r="B126" t="str">
            <v>SANTA CASA DE MISERICORDIA DA BAHIA</v>
          </cell>
        </row>
        <row r="127">
          <cell r="A127">
            <v>3226</v>
          </cell>
          <cell r="B127" t="str">
            <v>HOSPITAL POLICLINICA CASCAVEL S.A.</v>
          </cell>
        </row>
        <row r="128">
          <cell r="A128">
            <v>3227</v>
          </cell>
          <cell r="B128" t="str">
            <v>UNIMED REGIONAL MARINGA - COOPERATIVA DE TRABALHO MEDICO</v>
          </cell>
        </row>
        <row r="129">
          <cell r="A129">
            <v>3228</v>
          </cell>
          <cell r="B129" t="str">
            <v>UNIMED DE LONDRINA COOPERATIVA DE TRABALHO MEDICO</v>
          </cell>
        </row>
        <row r="130">
          <cell r="A130">
            <v>3230</v>
          </cell>
          <cell r="B130" t="str">
            <v>UNIMED DE SANTOS COOP DE TRABALHO MEDICO</v>
          </cell>
        </row>
        <row r="131">
          <cell r="A131">
            <v>3231</v>
          </cell>
          <cell r="B131" t="str">
            <v>ASSOCIACAO HOSPITALAR FILHAS DE NOSSA SENHORA DO MONTE CALVA</v>
          </cell>
        </row>
        <row r="132">
          <cell r="A132">
            <v>3587</v>
          </cell>
          <cell r="B132" t="str">
            <v>CENTRO DE CARDIOLOGIA E RADIOLOGIA INTERVENCIONISTA LTDA</v>
          </cell>
        </row>
        <row r="133">
          <cell r="A133">
            <v>3552</v>
          </cell>
          <cell r="B133" t="str">
            <v>CONFERENCIA SAO JOSE DO AVAI</v>
          </cell>
        </row>
        <row r="134">
          <cell r="A134">
            <v>3538</v>
          </cell>
          <cell r="B134" t="str">
            <v>ESHO EMPRESA DE SERVICOS HOSPITALARES S.A.</v>
          </cell>
        </row>
        <row r="135">
          <cell r="A135">
            <v>3584</v>
          </cell>
          <cell r="B135" t="str">
            <v>HOSPITAL ENCORE LTDA</v>
          </cell>
        </row>
        <row r="136">
          <cell r="A136">
            <v>3571</v>
          </cell>
          <cell r="B136" t="str">
            <v>HOSPITAL SANTA JULIA LTDA</v>
          </cell>
        </row>
        <row r="137">
          <cell r="A137">
            <v>3606</v>
          </cell>
          <cell r="B137" t="str">
            <v>NEUROCOR - DIAGNOSTICO E TERAPEUTICA ENDOVASCULAR LTDA</v>
          </cell>
        </row>
        <row r="138">
          <cell r="A138">
            <v>3555</v>
          </cell>
          <cell r="B138" t="str">
            <v>SUL AMERICA COMPANHIA DE SEGURO SAUDE</v>
          </cell>
        </row>
        <row r="139">
          <cell r="A139">
            <v>3558</v>
          </cell>
          <cell r="B139" t="str">
            <v>THOMAS PESSOA DO NASCIMENTO</v>
          </cell>
        </row>
        <row r="140">
          <cell r="A140">
            <v>3590</v>
          </cell>
          <cell r="B140" t="str">
            <v>UNIMED SERGIPE - COOPERATIVA DE TRABALHO MEDICO</v>
          </cell>
        </row>
        <row r="141">
          <cell r="A141">
            <v>3232</v>
          </cell>
          <cell r="B141" t="str">
            <v>ASSOCIACAO POLICIAL DE ASSISTENCIA A SAUDE DE BAURU</v>
          </cell>
        </row>
        <row r="142">
          <cell r="A142">
            <v>3233</v>
          </cell>
          <cell r="B142" t="str">
            <v>PREVENT SENIOR ATENDIMENTO A SAUDE LTDA.</v>
          </cell>
        </row>
        <row r="143">
          <cell r="A143">
            <v>3234</v>
          </cell>
          <cell r="B143" t="str">
            <v>ENDOCATH DIAGNOSTICOS E TRATAMENTOS LTDA</v>
          </cell>
        </row>
        <row r="144">
          <cell r="A144">
            <v>3235</v>
          </cell>
          <cell r="B144" t="str">
            <v>HUMANA SAUDE LTDA</v>
          </cell>
        </row>
        <row r="145">
          <cell r="A145">
            <v>3236</v>
          </cell>
          <cell r="B145" t="str">
            <v>ASSOCIACAO MAIS SAUDE SANTA CASA DE SAO</v>
          </cell>
        </row>
        <row r="146">
          <cell r="A146">
            <v>3237</v>
          </cell>
          <cell r="B146" t="str">
            <v>PROMEDICA PATRIMONIAL S A PROPAT</v>
          </cell>
        </row>
        <row r="147">
          <cell r="A147">
            <v>3238</v>
          </cell>
          <cell r="B147" t="str">
            <v>UNIMED RECIFE COOPERATIVA DE TRABALHO MEDICO</v>
          </cell>
        </row>
        <row r="148">
          <cell r="A148">
            <v>3240</v>
          </cell>
          <cell r="B148" t="str">
            <v>UNIMED GOIANIA COOPERATIVA DE TRABALHO MEDICO</v>
          </cell>
        </row>
        <row r="149">
          <cell r="A149">
            <v>3241</v>
          </cell>
          <cell r="B149" t="str">
            <v>INSTITUTO DAS PEQUENAS MISSIONARIAS DE MARIA IMACULADA</v>
          </cell>
        </row>
        <row r="150">
          <cell r="A150">
            <v>3242</v>
          </cell>
          <cell r="B150" t="str">
            <v>HOSPITAL DE CLINICAS JARDIM HELENA LTDA</v>
          </cell>
        </row>
        <row r="151">
          <cell r="A151">
            <v>3585</v>
          </cell>
          <cell r="B151" t="str">
            <v>FUNDACAO BAHIANA DE CARDIOLOGIA</v>
          </cell>
        </row>
        <row r="152">
          <cell r="A152">
            <v>3559</v>
          </cell>
          <cell r="B152" t="str">
            <v>HEITOR FERREIRA BUREI</v>
          </cell>
        </row>
        <row r="153">
          <cell r="A153">
            <v>3588</v>
          </cell>
          <cell r="B153" t="str">
            <v>HOSPITAL PROHOPE LTDA</v>
          </cell>
        </row>
        <row r="154">
          <cell r="A154">
            <v>3556</v>
          </cell>
          <cell r="B154" t="str">
            <v>LETICIA VITORIA ROCHA FEITOSA</v>
          </cell>
        </row>
        <row r="155">
          <cell r="A155">
            <v>3553</v>
          </cell>
          <cell r="B155" t="str">
            <v>REDE DOR SAO LUIZ S.A.</v>
          </cell>
        </row>
        <row r="156">
          <cell r="A156">
            <v>3572</v>
          </cell>
          <cell r="B156" t="str">
            <v>SANTA CASA DE MISERICORDIA DE BARRA MANSA</v>
          </cell>
        </row>
        <row r="157">
          <cell r="A157">
            <v>3607</v>
          </cell>
          <cell r="B157" t="str">
            <v>UNIMED ANHANGUERA COOPERATIVA DE TRABALHO MEDICO</v>
          </cell>
        </row>
        <row r="158">
          <cell r="A158">
            <v>3539</v>
          </cell>
          <cell r="B158" t="str">
            <v>UNIMED CASCAVEL - COOP. DE TRABALHO MEDICO LTDA</v>
          </cell>
        </row>
        <row r="159">
          <cell r="A159">
            <v>3591</v>
          </cell>
          <cell r="B159" t="str">
            <v>UNIMED RECIFE COOPERATIVA DE TRABALHO MEDICO</v>
          </cell>
        </row>
        <row r="160">
          <cell r="A160">
            <v>3243</v>
          </cell>
          <cell r="B160" t="str">
            <v>CAIXA DE PREVIDENCIA E ASSISTENCIA DOS SERVIDORES DA FUNDACA</v>
          </cell>
        </row>
        <row r="161">
          <cell r="A161">
            <v>3245</v>
          </cell>
          <cell r="B161" t="str">
            <v>SF SISTEMA DE SAUDE LTDA</v>
          </cell>
        </row>
        <row r="162">
          <cell r="A162">
            <v>3246</v>
          </cell>
          <cell r="B162" t="str">
            <v>REDE DOR SAO LUIZ S.A- OSASCO</v>
          </cell>
        </row>
        <row r="163">
          <cell r="A163">
            <v>3247</v>
          </cell>
          <cell r="B163" t="str">
            <v>HSS SAUDE S/A</v>
          </cell>
        </row>
        <row r="164">
          <cell r="A164">
            <v>3249</v>
          </cell>
          <cell r="B164" t="str">
            <v>PORTO SEGURO - SEGURO SAUDE S/A</v>
          </cell>
        </row>
        <row r="165">
          <cell r="A165">
            <v>3250</v>
          </cell>
          <cell r="B165" t="str">
            <v>UNIMED DE MARILIA COOPERATIVA DE TRABALHO MEDICO</v>
          </cell>
        </row>
        <row r="166">
          <cell r="A166">
            <v>3251</v>
          </cell>
          <cell r="B166" t="str">
            <v>HOSPITAL 22 DE OUTUBRO SOCIEDADE LTDA</v>
          </cell>
        </row>
        <row r="167">
          <cell r="A167">
            <v>3252</v>
          </cell>
          <cell r="B167" t="str">
            <v>SOCIEDADE HOSPITALAR ANGELINA CARON</v>
          </cell>
        </row>
        <row r="168">
          <cell r="A168">
            <v>3253</v>
          </cell>
          <cell r="B168" t="str">
            <v>UNIMED DO SUDOESTE COOPERATIVA DE TRABALHO MEDICO LTDA</v>
          </cell>
        </row>
        <row r="169">
          <cell r="A169">
            <v>3254</v>
          </cell>
          <cell r="B169" t="str">
            <v>ASSOCIACAO POLICIAL DE ASSISTENCIA A SAUDE</v>
          </cell>
        </row>
        <row r="170">
          <cell r="A170">
            <v>3608</v>
          </cell>
          <cell r="B170" t="str">
            <v>HOSPITAL BOM CLIMA LTDA</v>
          </cell>
        </row>
        <row r="171">
          <cell r="A171">
            <v>3592</v>
          </cell>
          <cell r="B171" t="str">
            <v>HOSPITAL PROHOPE LTDA</v>
          </cell>
        </row>
        <row r="172">
          <cell r="A172">
            <v>3560</v>
          </cell>
          <cell r="B172" t="str">
            <v>JOAO GUILHERME LEITE BARBOSA</v>
          </cell>
        </row>
        <row r="173">
          <cell r="A173">
            <v>3540</v>
          </cell>
          <cell r="B173" t="str">
            <v>UNIMED NATAL SOCIEDADE COOPERATIVA DE TRABALHO MEDICO</v>
          </cell>
        </row>
        <row r="174">
          <cell r="A174">
            <v>3574</v>
          </cell>
          <cell r="B174" t="str">
            <v>VIP LINE COMERCIO DE MATERIAL MEDICO LTDA</v>
          </cell>
        </row>
        <row r="175">
          <cell r="A175">
            <v>3255</v>
          </cell>
          <cell r="B175" t="str">
            <v>ASSOCIACAO BENEFICENTE PORTUGUESA DE BAURU</v>
          </cell>
        </row>
        <row r="176">
          <cell r="A176">
            <v>3271</v>
          </cell>
          <cell r="B176" t="str">
            <v>UNIMED SEGUROS SAUDE S/A</v>
          </cell>
        </row>
        <row r="177">
          <cell r="A177">
            <v>3272</v>
          </cell>
          <cell r="B177" t="str">
            <v>HOSPITAL ALVORADA TAGUATINGA LTDA</v>
          </cell>
        </row>
        <row r="178">
          <cell r="A178">
            <v>3273</v>
          </cell>
          <cell r="B178" t="str">
            <v>AMIL ASSISTENCIA MEDICA INTERNACIONAL S.A.</v>
          </cell>
        </row>
        <row r="179">
          <cell r="A179">
            <v>3274</v>
          </cell>
          <cell r="B179" t="str">
            <v>ESHO EMPRESA DE SERVICOS HOSPITALARES S.A.</v>
          </cell>
        </row>
        <row r="180">
          <cell r="A180">
            <v>3275</v>
          </cell>
          <cell r="B180" t="str">
            <v>POSTAL SAUDE - CAIXA DE ASSIST E SAUDE DOS FUNC DOS CORREIOS</v>
          </cell>
        </row>
        <row r="181">
          <cell r="A181">
            <v>3276</v>
          </cell>
          <cell r="B181" t="str">
            <v>CASA DE SAUDE SANTA THEREZINHA LTDA.</v>
          </cell>
        </row>
        <row r="182">
          <cell r="A182">
            <v>3277</v>
          </cell>
          <cell r="B182" t="str">
            <v>AMICO SAUDE LTDA</v>
          </cell>
        </row>
        <row r="183">
          <cell r="A183">
            <v>3278</v>
          </cell>
          <cell r="B183" t="str">
            <v>HOSPITAL DO CORACAO SAMCORDIS LTDA</v>
          </cell>
        </row>
        <row r="184">
          <cell r="A184">
            <v>3279</v>
          </cell>
          <cell r="B184" t="str">
            <v>UNIMED SAO GONCALO NITEROI SOC COOP SERV</v>
          </cell>
        </row>
        <row r="185">
          <cell r="A185">
            <v>3575</v>
          </cell>
          <cell r="B185" t="str">
            <v>CENTRO MEDICO RIO PRETO S.A</v>
          </cell>
        </row>
        <row r="186">
          <cell r="A186">
            <v>3541</v>
          </cell>
          <cell r="B186" t="str">
            <v>IMPLANTUS MATERIAIS CIRURGICOS</v>
          </cell>
        </row>
        <row r="187">
          <cell r="A187">
            <v>3593</v>
          </cell>
          <cell r="B187" t="str">
            <v>INTENSIVA DAY HOSPITAL LTDA</v>
          </cell>
        </row>
        <row r="188">
          <cell r="A188">
            <v>3561</v>
          </cell>
          <cell r="B188" t="str">
            <v>JOSE ALBERTO BATISTA FILHO</v>
          </cell>
        </row>
        <row r="189">
          <cell r="A189">
            <v>3609</v>
          </cell>
          <cell r="B189" t="str">
            <v>SANTA CASA DE MISERICORDIA DE PASSOS</v>
          </cell>
        </row>
        <row r="190">
          <cell r="A190">
            <v>3280</v>
          </cell>
          <cell r="B190" t="str">
            <v>MICROMEDICAL IMPLANTES DO BRASIL LTDA</v>
          </cell>
        </row>
        <row r="191">
          <cell r="A191">
            <v>3281</v>
          </cell>
          <cell r="B191" t="str">
            <v>HOSPITAL FLUMINENSE S/A</v>
          </cell>
        </row>
        <row r="192">
          <cell r="A192">
            <v>3282</v>
          </cell>
          <cell r="B192" t="str">
            <v>REAL GRANDEZA FUNDACAO DE PREVIDENCIA E ASSIST SOCIAL</v>
          </cell>
        </row>
        <row r="193">
          <cell r="A193">
            <v>3283</v>
          </cell>
          <cell r="B193" t="str">
            <v>BANCO BRADESCO SAUDE S/A</v>
          </cell>
        </row>
        <row r="194">
          <cell r="A194">
            <v>3284</v>
          </cell>
          <cell r="B194" t="str">
            <v>AMESC - ASSOCIACAO MEDICA ESPIRITA CRISTA</v>
          </cell>
        </row>
        <row r="195">
          <cell r="A195">
            <v>3285</v>
          </cell>
          <cell r="B195" t="str">
            <v>HOSPITAL ILHA DO GOVERNADOR LTDA</v>
          </cell>
        </row>
        <row r="196">
          <cell r="A196">
            <v>3286</v>
          </cell>
          <cell r="B196" t="str">
            <v>GRUPO HOSPITALAR DO RIO DE JANEIRO LTDA.</v>
          </cell>
        </row>
        <row r="197">
          <cell r="A197">
            <v>3287</v>
          </cell>
          <cell r="B197" t="str">
            <v>GEAP AUTOGESTAO EM SAUDE RJ</v>
          </cell>
        </row>
        <row r="198">
          <cell r="A198">
            <v>3288</v>
          </cell>
          <cell r="B198" t="str">
            <v>HOSP CASA SAO BERNARDO HOSP. GERAL ADM. E GESTAO HOSPI. LTDA</v>
          </cell>
        </row>
        <row r="199">
          <cell r="A199">
            <v>3289</v>
          </cell>
          <cell r="B199" t="str">
            <v>HOSPITAL DI CAMP LTDA</v>
          </cell>
        </row>
        <row r="200">
          <cell r="A200">
            <v>3610</v>
          </cell>
          <cell r="B200" t="str">
            <v>ASSOCIACAO HOSPITALAR SANTANA</v>
          </cell>
        </row>
        <row r="201">
          <cell r="A201">
            <v>3576</v>
          </cell>
          <cell r="B201" t="str">
            <v>INSTITUTO MARIA SCHMITT DE DESENVOLVIMENTO DE ENSINO, ASSIST</v>
          </cell>
        </row>
        <row r="202">
          <cell r="A202">
            <v>3594</v>
          </cell>
          <cell r="B202" t="str">
            <v>INSTITUTO PERNAMBUCO DE CIRURGIA E ORTOPEDIA LTDA</v>
          </cell>
        </row>
        <row r="203">
          <cell r="A203">
            <v>3562</v>
          </cell>
          <cell r="B203" t="str">
            <v>LEONARDO DEMETRIO PAULINI</v>
          </cell>
        </row>
        <row r="204">
          <cell r="A204">
            <v>3290</v>
          </cell>
          <cell r="B204" t="str">
            <v>LEVE SAUDE OPERADORA DE PLANOS DE SAUDE S.A.</v>
          </cell>
        </row>
        <row r="205">
          <cell r="A205">
            <v>3291</v>
          </cell>
          <cell r="B205" t="str">
            <v>LARISSA PORTO DOS SANTOS SILVA</v>
          </cell>
        </row>
        <row r="206">
          <cell r="A206">
            <v>3292</v>
          </cell>
          <cell r="B206" t="str">
            <v>RENATO MAIA CARDOSO</v>
          </cell>
        </row>
        <row r="207">
          <cell r="A207">
            <v>3293</v>
          </cell>
          <cell r="B207" t="str">
            <v>INSTITUICAO ADVENTISTA ESTE BRAS. DE PREV E ASS. A SAUDE</v>
          </cell>
        </row>
        <row r="208">
          <cell r="A208">
            <v>3294</v>
          </cell>
          <cell r="B208" t="str">
            <v>SUL AMERICA COMPANHIA DE SEGURO SAUDE</v>
          </cell>
        </row>
        <row r="209">
          <cell r="A209">
            <v>3295</v>
          </cell>
          <cell r="B209" t="str">
            <v>UNIMED DO EST R J FEDERACAO EST DAS COOPERATIVAS MED</v>
          </cell>
        </row>
        <row r="210">
          <cell r="A210">
            <v>3296</v>
          </cell>
          <cell r="B210" t="str">
            <v>UNIMED DE VOLTA REDONDA COOPERATIVA DE TRABALHO MEDICO</v>
          </cell>
        </row>
        <row r="211">
          <cell r="A211">
            <v>3297</v>
          </cell>
          <cell r="B211" t="str">
            <v>CLINICA SAO GONCALO LTDA</v>
          </cell>
        </row>
        <row r="212">
          <cell r="A212">
            <v>3298</v>
          </cell>
          <cell r="B212" t="str">
            <v>UNIMED CENTRO SUL FLUMINENSE COOPERATIVA DE TRABALHO MEDICO</v>
          </cell>
        </row>
        <row r="213">
          <cell r="A213">
            <v>3299</v>
          </cell>
          <cell r="B213" t="str">
            <v>NOTRE DAME INTERMEDICA SAUDE S.A.</v>
          </cell>
        </row>
        <row r="214">
          <cell r="A214">
            <v>3563</v>
          </cell>
          <cell r="B214" t="str">
            <v>AGATHA LUNA VITORIA MENEZES DOS SANTOS</v>
          </cell>
        </row>
        <row r="215">
          <cell r="A215">
            <v>3577</v>
          </cell>
          <cell r="B215" t="str">
            <v>SOCIEDADE BENEFICENTE SAO CAMILO - IPIRANGA</v>
          </cell>
        </row>
        <row r="216">
          <cell r="A216">
            <v>3300</v>
          </cell>
          <cell r="B216" t="str">
            <v>CASA DE CARIDADE DOM ORIONE</v>
          </cell>
        </row>
        <row r="217">
          <cell r="A217">
            <v>3301</v>
          </cell>
          <cell r="B217" t="str">
            <v>UNIMED DE NOVA FRIBURGO SOC. COOP. DE SERV. MED. E HOSP.</v>
          </cell>
        </row>
        <row r="218">
          <cell r="A218">
            <v>3302</v>
          </cell>
          <cell r="B218" t="str">
            <v>REDE DOR SAO LUIZ S.A.</v>
          </cell>
        </row>
        <row r="219">
          <cell r="A219">
            <v>3303</v>
          </cell>
          <cell r="B219" t="str">
            <v>HOSPITAL PAN-AMERICANO (AMIL)</v>
          </cell>
        </row>
        <row r="220">
          <cell r="A220">
            <v>3304</v>
          </cell>
          <cell r="B220" t="str">
            <v>KLINI PLANOS DE SAUDE LTDA</v>
          </cell>
        </row>
        <row r="221">
          <cell r="A221">
            <v>3305</v>
          </cell>
          <cell r="B221" t="str">
            <v>LIV LINHAS INTELIGENTES DE ATENCAO A VIDA S/A</v>
          </cell>
        </row>
        <row r="222">
          <cell r="A222">
            <v>3306</v>
          </cell>
          <cell r="B222" t="str">
            <v>SAMEDIL - SERVICOS DE ATENDIMENTO MEDICO S/A</v>
          </cell>
        </row>
        <row r="223">
          <cell r="A223">
            <v>3307</v>
          </cell>
          <cell r="B223" t="str">
            <v>HOSPITAL DR BALBINO LTDA</v>
          </cell>
        </row>
        <row r="224">
          <cell r="A224">
            <v>3308</v>
          </cell>
          <cell r="B224" t="str">
            <v>INSTITUTO DO CANCER DO CEARA</v>
          </cell>
        </row>
        <row r="225">
          <cell r="A225">
            <v>3309</v>
          </cell>
          <cell r="B225" t="str">
            <v>MEDISE MEDICINA DIAGNOSTICO E SERVICOS SA</v>
          </cell>
        </row>
        <row r="226">
          <cell r="A226">
            <v>3564</v>
          </cell>
          <cell r="B226" t="str">
            <v>AMEPLAN ASSISTENCIA MEDICA PLANEJADA LTDA</v>
          </cell>
        </row>
        <row r="227">
          <cell r="A227">
            <v>3578</v>
          </cell>
          <cell r="B227" t="str">
            <v>CENTRO BARBACENENSE DE ASSISTENCIA MEDICA E SOCIAL</v>
          </cell>
        </row>
        <row r="228">
          <cell r="A228">
            <v>3310</v>
          </cell>
          <cell r="B228" t="str">
            <v>OPERADORA UNIESTE DE PLANOS DE SAUDE LTDA</v>
          </cell>
        </row>
        <row r="229">
          <cell r="A229">
            <v>3311</v>
          </cell>
          <cell r="B229" t="str">
            <v>CAIXA DE ASSISTENCIA A SAUDE CABERJ</v>
          </cell>
        </row>
        <row r="230">
          <cell r="A230">
            <v>3312</v>
          </cell>
          <cell r="B230" t="str">
            <v>INSTITUTO CIRURGICO GABRIEL DE LUCENA LTDA</v>
          </cell>
        </row>
        <row r="231">
          <cell r="A231">
            <v>3313</v>
          </cell>
          <cell r="B231" t="str">
            <v>UNIMED DO BRASIL CONFEDERACAO NAC DAS COOPERATIVAS MED</v>
          </cell>
        </row>
        <row r="232">
          <cell r="A232">
            <v>3314</v>
          </cell>
          <cell r="B232" t="str">
            <v>PORTO SEGURO - SEGURO SAUDE S/A</v>
          </cell>
        </row>
        <row r="233">
          <cell r="A233">
            <v>3315</v>
          </cell>
          <cell r="B233" t="str">
            <v>SAMOC S/A SOC ASSISTENCIAL MEDICA E ODONTO-CIRURGICA</v>
          </cell>
        </row>
        <row r="234">
          <cell r="A234">
            <v>3316</v>
          </cell>
          <cell r="B234" t="str">
            <v>ESHO EMPRESA DE SERVICOS HOSPITALARES S A</v>
          </cell>
        </row>
        <row r="235">
          <cell r="A235">
            <v>3338</v>
          </cell>
          <cell r="B235" t="str">
            <v>BENEFICENCIA NIPO-BRASILEIRA DE SAO PAULO</v>
          </cell>
        </row>
        <row r="236">
          <cell r="A236">
            <v>3340</v>
          </cell>
          <cell r="B236" t="str">
            <v>ASSOCIACAO DOS SERVIDORES DA EMDAGRO ASSEM</v>
          </cell>
        </row>
        <row r="237">
          <cell r="A237">
            <v>3341</v>
          </cell>
          <cell r="B237" t="str">
            <v>UNIMED SUDOESTE DE MINAS COOPERATIVA DE TRABALHO MEDICO</v>
          </cell>
        </row>
        <row r="238">
          <cell r="A238">
            <v>3579</v>
          </cell>
          <cell r="B238" t="str">
            <v>INSTITUTO BRASILEIRO DE GESTAO DA SAUDE</v>
          </cell>
        </row>
        <row r="239">
          <cell r="A239">
            <v>3565</v>
          </cell>
          <cell r="B239" t="str">
            <v>UNIMED REGIONAL DA BAIXA MOGIANA COOP DE TRABALHO MED</v>
          </cell>
        </row>
        <row r="240">
          <cell r="A240">
            <v>3342</v>
          </cell>
          <cell r="B240" t="str">
            <v>GEAP AUTOGESTAO EM SAUDE</v>
          </cell>
        </row>
        <row r="241">
          <cell r="A241">
            <v>3343</v>
          </cell>
          <cell r="B241" t="str">
            <v>SERVICO DE ASSISTENCIA A SAUDE DO SERVIDOR MUNICIPAL - SERVI</v>
          </cell>
        </row>
        <row r="242">
          <cell r="A242">
            <v>3345</v>
          </cell>
          <cell r="B242" t="str">
            <v>UNICA ASSISTENCIA MEDICA LTDA</v>
          </cell>
        </row>
        <row r="243">
          <cell r="A243">
            <v>3347</v>
          </cell>
          <cell r="B243" t="str">
            <v>CARE PLUS MEDICINA ASSISTENCIAL LTDA</v>
          </cell>
        </row>
        <row r="244">
          <cell r="A244">
            <v>3348</v>
          </cell>
          <cell r="B244" t="str">
            <v>BRADESCO SAUDE OPERADORA DE PLANOS SA</v>
          </cell>
        </row>
        <row r="245">
          <cell r="A245">
            <v>3350</v>
          </cell>
          <cell r="B245" t="str">
            <v>ESHO EMPRESA DE SERVICOS HOSPITALARES S.A.</v>
          </cell>
        </row>
        <row r="246">
          <cell r="A246">
            <v>3351</v>
          </cell>
          <cell r="B246" t="str">
            <v>UNIVERSIDADE FEDERAL DA BAHIA</v>
          </cell>
        </row>
        <row r="247">
          <cell r="A247">
            <v>3352</v>
          </cell>
          <cell r="B247" t="str">
            <v>UNIMED CAMPO GRANDE</v>
          </cell>
        </row>
        <row r="248">
          <cell r="A248">
            <v>3353</v>
          </cell>
          <cell r="B248" t="str">
            <v>SUL AMERICA COMPANHIA DE SEGURO SAUDE</v>
          </cell>
        </row>
        <row r="249">
          <cell r="A249">
            <v>3354</v>
          </cell>
          <cell r="B249" t="str">
            <v>FUNDO MUNICIPAL DE SAUDE - FMS</v>
          </cell>
        </row>
        <row r="250">
          <cell r="A250">
            <v>3580</v>
          </cell>
          <cell r="B250" t="str">
            <v>UNIMED DE GUARATINGUETA COOPERATIVA DE TRABALHO MEDICO</v>
          </cell>
        </row>
        <row r="251">
          <cell r="A251">
            <v>3566</v>
          </cell>
          <cell r="B251" t="str">
            <v>UNIMED LESTE PAULISTA COOPERATIVA DE TRABALHO MEDICO</v>
          </cell>
        </row>
        <row r="252">
          <cell r="A252">
            <v>3355</v>
          </cell>
          <cell r="B252" t="str">
            <v>UNIMED COSTA DO DESCOBRIMENTO COOPERATIVA DE TRABALHO MEDICO</v>
          </cell>
        </row>
        <row r="253">
          <cell r="A253">
            <v>3356</v>
          </cell>
          <cell r="B253" t="str">
            <v>CAIXA DE ASSISTENCIA DOS FUNCIONARIOS DO BANCO DO BRASIL</v>
          </cell>
        </row>
        <row r="254">
          <cell r="A254">
            <v>3357</v>
          </cell>
          <cell r="B254" t="str">
            <v>ASSOCIACAO PETROBRAS DE SAUDE - APS</v>
          </cell>
        </row>
        <row r="255">
          <cell r="A255">
            <v>3358</v>
          </cell>
          <cell r="B255" t="str">
            <v>REDE DOR SAO LUIZ S.A.</v>
          </cell>
        </row>
        <row r="256">
          <cell r="A256">
            <v>3361</v>
          </cell>
          <cell r="B256" t="str">
            <v>IRMANDADE SANTA CASA DE MISERICORDIA DE MARINGA</v>
          </cell>
        </row>
        <row r="257">
          <cell r="A257">
            <v>3362</v>
          </cell>
          <cell r="B257" t="str">
            <v>C A MEDICAL IMP. EXP. E REPRESENTACAO LTDA</v>
          </cell>
        </row>
        <row r="258">
          <cell r="A258">
            <v>3364</v>
          </cell>
          <cell r="B258" t="str">
            <v>SPDM ASSOCIACAO PAULISTA P/DESENVOLVIMENTO DA MEDICINA</v>
          </cell>
        </row>
        <row r="259">
          <cell r="A259">
            <v>3365</v>
          </cell>
          <cell r="B259" t="str">
            <v>ASS POLICIAL DE ASSISTENCIA A SAUDE DA BAIXADA SANTISTA</v>
          </cell>
        </row>
        <row r="260">
          <cell r="A260">
            <v>3366</v>
          </cell>
          <cell r="B260" t="str">
            <v>SOUZA E PRADO LTDA</v>
          </cell>
        </row>
        <row r="261">
          <cell r="A261">
            <v>3367</v>
          </cell>
          <cell r="B261" t="str">
            <v>R.M.I. OPERADORA DE SAUDE INTEGRADA LTDA.</v>
          </cell>
        </row>
        <row r="262">
          <cell r="A262">
            <v>3543</v>
          </cell>
          <cell r="B262" t="str">
            <v>UNIMED NORTE PAULISTA - COOPERATIVA DE TRABALHO MEDICO</v>
          </cell>
        </row>
        <row r="263">
          <cell r="A263">
            <v>3567</v>
          </cell>
          <cell r="B263" t="str">
            <v>JOAO VINICIUS AVELINO DE LIMA</v>
          </cell>
        </row>
        <row r="264">
          <cell r="A264">
            <v>3581</v>
          </cell>
          <cell r="B264" t="str">
            <v>SANTA CASA DE MISERICORDIA DE VITORIA DA CONQUISTA</v>
          </cell>
        </row>
        <row r="265">
          <cell r="A265">
            <v>3375</v>
          </cell>
          <cell r="B265" t="str">
            <v>3T MEDICAL MATERIAL HOSPITALAR LTDA</v>
          </cell>
        </row>
        <row r="266">
          <cell r="A266">
            <v>3376</v>
          </cell>
          <cell r="B266" t="str">
            <v>CENTRAL NACIONAL UNIMED - COOPERATIVA CENTRAL</v>
          </cell>
        </row>
        <row r="267">
          <cell r="A267">
            <v>3377</v>
          </cell>
          <cell r="B267" t="str">
            <v>CASA DE SAUDE SANTA RITA DE CASSIA LTDA</v>
          </cell>
        </row>
        <row r="268">
          <cell r="A268">
            <v>3378</v>
          </cell>
          <cell r="B268" t="str">
            <v>MICROMEDICAL IMPLANTES DO BRASIL LTDA</v>
          </cell>
        </row>
        <row r="269">
          <cell r="A269">
            <v>3379</v>
          </cell>
          <cell r="B269" t="str">
            <v>CAIXA DE ASSISTENCIA DOS FUNCIONARIOS DO BANCO DO BRASIL</v>
          </cell>
        </row>
        <row r="270">
          <cell r="A270">
            <v>3380</v>
          </cell>
          <cell r="B270" t="str">
            <v>CASA DE SAUDE NOSSA SENHORA DO CARMO</v>
          </cell>
        </row>
        <row r="271">
          <cell r="A271">
            <v>3381</v>
          </cell>
          <cell r="B271" t="str">
            <v>ASSOCIACAO PETROBRAS DE SAUDE - APS</v>
          </cell>
        </row>
        <row r="272">
          <cell r="A272">
            <v>3383</v>
          </cell>
          <cell r="B272" t="str">
            <v>HBA SA ASSISTENCIA MEDICA E HOSPITALAR</v>
          </cell>
        </row>
        <row r="273">
          <cell r="A273">
            <v>3384</v>
          </cell>
          <cell r="B273" t="str">
            <v>UNIVERSIDADE FEDERAL DA BAHIA</v>
          </cell>
        </row>
        <row r="274">
          <cell r="A274">
            <v>3385</v>
          </cell>
          <cell r="B274" t="str">
            <v>HOSPITAL MATER DEI S.A.</v>
          </cell>
        </row>
        <row r="275">
          <cell r="A275">
            <v>3568</v>
          </cell>
          <cell r="B275" t="str">
            <v>AZEVEDO &amp; AZEVEDO LTDA</v>
          </cell>
        </row>
        <row r="276">
          <cell r="A276">
            <v>3582</v>
          </cell>
          <cell r="B276" t="str">
            <v>STA CASA DE MISERICORDIA E MATERNIDADE DE RONDONOPOLIS</v>
          </cell>
        </row>
        <row r="277">
          <cell r="A277">
            <v>3386</v>
          </cell>
          <cell r="B277" t="str">
            <v>BAHIA SECRETARIA DE SAUDE DO ESTADO</v>
          </cell>
        </row>
        <row r="278">
          <cell r="A278">
            <v>3394</v>
          </cell>
          <cell r="B278" t="str">
            <v>SANTA CASA DE MISERICORDIA DE VITORIA DA CONQUISTA</v>
          </cell>
        </row>
        <row r="279">
          <cell r="A279">
            <v>3396</v>
          </cell>
          <cell r="B279" t="str">
            <v>PROMEDICA PATRIMONIAL S A PROPAT</v>
          </cell>
        </row>
        <row r="280">
          <cell r="A280">
            <v>3397</v>
          </cell>
          <cell r="B280" t="str">
            <v>INSTITUTO RODOLFO NEIROTTI DE GERENCIAMENTO E PESQUISA LTDA</v>
          </cell>
        </row>
        <row r="281">
          <cell r="A281">
            <v>3401</v>
          </cell>
          <cell r="B281" t="str">
            <v>MICROMEDICAL IMPLANTES DO BRASIL LTDA</v>
          </cell>
        </row>
        <row r="282">
          <cell r="A282">
            <v>3409</v>
          </cell>
          <cell r="B282" t="str">
            <v>IRMANDADE DA SANTA CASA DE MISERICORDIA DE CURITIBA</v>
          </cell>
        </row>
        <row r="283">
          <cell r="A283">
            <v>3410</v>
          </cell>
          <cell r="B283" t="str">
            <v>GEAP AUTOGESTAO EM SAUDE SC</v>
          </cell>
        </row>
        <row r="284">
          <cell r="A284">
            <v>3416</v>
          </cell>
          <cell r="B284" t="str">
            <v>MED-TOUR ADMINISTRADORA DE BENEFICIOS E EMPREENDIMENTOS LTDA</v>
          </cell>
        </row>
        <row r="285">
          <cell r="A285">
            <v>3418</v>
          </cell>
          <cell r="B285" t="str">
            <v>UNIMED CENTRO RONDONIA COOPERATIVA DE TRABALHO MEDICO</v>
          </cell>
        </row>
        <row r="286">
          <cell r="A286">
            <v>3419</v>
          </cell>
          <cell r="B286" t="str">
            <v>HOSPITAL MATER DEI S.A.</v>
          </cell>
        </row>
        <row r="287">
          <cell r="A287">
            <v>3569</v>
          </cell>
          <cell r="B287" t="str">
            <v>SECRETARIA MUNICIPAL DA SAUDE</v>
          </cell>
        </row>
        <row r="288">
          <cell r="A288">
            <v>3420</v>
          </cell>
          <cell r="B288" t="str">
            <v>GEAP AUTOGESTAO EM SAUDE</v>
          </cell>
        </row>
        <row r="289">
          <cell r="A289">
            <v>3421</v>
          </cell>
          <cell r="B289" t="str">
            <v>HOSPITAL SAO VICENTE - RIO DE JANEIRO</v>
          </cell>
        </row>
        <row r="290">
          <cell r="A290">
            <v>3422</v>
          </cell>
          <cell r="B290" t="str">
            <v>UNIMED DE NOVA FRIBURGO SOC COOP DE SERV MED E HOSP LTD</v>
          </cell>
        </row>
        <row r="291">
          <cell r="A291">
            <v>3423</v>
          </cell>
          <cell r="B291" t="str">
            <v>IMPAR SERVICOS HOSPITALARES S/A</v>
          </cell>
        </row>
        <row r="292">
          <cell r="A292">
            <v>3424</v>
          </cell>
          <cell r="B292" t="str">
            <v>ASSOCIACAO CONGREGACAO DE SANTA CATARINA</v>
          </cell>
        </row>
        <row r="293">
          <cell r="A293">
            <v>3425</v>
          </cell>
          <cell r="B293" t="str">
            <v>CASA DE SAUDE SAO LUCAS S/A</v>
          </cell>
        </row>
        <row r="294">
          <cell r="A294">
            <v>3426</v>
          </cell>
          <cell r="B294" t="str">
            <v>SUPRICORP SUPRIMENTOS LTDA</v>
          </cell>
        </row>
        <row r="295">
          <cell r="A295">
            <v>3430</v>
          </cell>
          <cell r="B295" t="str">
            <v>VS  MEDICINA ESPECIALIZADA LTDA</v>
          </cell>
        </row>
        <row r="296">
          <cell r="A296">
            <v>3433</v>
          </cell>
          <cell r="B296" t="str">
            <v>FUNDACAO ADIB JATENE</v>
          </cell>
        </row>
        <row r="297">
          <cell r="A297">
            <v>3434</v>
          </cell>
          <cell r="B297" t="str">
            <v>REDE D´OR SAO LUIZ S.A.</v>
          </cell>
        </row>
        <row r="298">
          <cell r="A298">
            <v>3437</v>
          </cell>
          <cell r="B298" t="str">
            <v>UNIMED SJRPRETO COOPERATIVA DE TRABALHO MEDICO</v>
          </cell>
        </row>
        <row r="299">
          <cell r="A299">
            <v>3438</v>
          </cell>
          <cell r="B299" t="str">
            <v>HOSPITAL SANTA ROSA S.A.</v>
          </cell>
        </row>
        <row r="300">
          <cell r="A300">
            <v>3440</v>
          </cell>
          <cell r="B300" t="str">
            <v>ASSOCIACAO SANTA CASA SAUDE DE SAO JOSE DOS CAMPOS</v>
          </cell>
        </row>
        <row r="301">
          <cell r="A301">
            <v>3441</v>
          </cell>
          <cell r="B301" t="str">
            <v>REDE PRIMAVERA - ASSISTENCIA MEDICA HOSPITALAR LTDA</v>
          </cell>
        </row>
        <row r="302">
          <cell r="A302">
            <v>3442</v>
          </cell>
          <cell r="B302" t="str">
            <v>LACIC - LAB DE HEMODINAMICA E CARD INTERV DO CENTRO OESTE</v>
          </cell>
        </row>
        <row r="303">
          <cell r="A303">
            <v>3443</v>
          </cell>
          <cell r="B303" t="str">
            <v>FUNDACAO UNIVERSIDADE FEDERAL DE MATO GROSSO DO SUL</v>
          </cell>
        </row>
        <row r="304">
          <cell r="A304">
            <v>3444</v>
          </cell>
          <cell r="B304" t="str">
            <v>FUNDACAO SAO FRANCISCO XAVIER</v>
          </cell>
        </row>
        <row r="305">
          <cell r="A305">
            <v>3445</v>
          </cell>
          <cell r="B305" t="str">
            <v>INSTITUTO CURITIBA DE SAUDE</v>
          </cell>
        </row>
        <row r="306">
          <cell r="A306">
            <v>3448</v>
          </cell>
          <cell r="B306" t="str">
            <v>CENTRO CARDIOLOGICO SOARES E COELHO LTDA</v>
          </cell>
        </row>
        <row r="307">
          <cell r="A307">
            <v>3449</v>
          </cell>
          <cell r="B307" t="str">
            <v>INSTITUTO RODOLFO NEIROTTI DE GERENCIAMENTO E PESQUISA LTDA</v>
          </cell>
        </row>
        <row r="308">
          <cell r="A308">
            <v>3450</v>
          </cell>
          <cell r="B308" t="str">
            <v>SOCIEDADE BENEF ISRAELITABRAS HOSPITAL ALBERT EINSTEIN</v>
          </cell>
        </row>
        <row r="309">
          <cell r="A309">
            <v>3451</v>
          </cell>
          <cell r="B309" t="str">
            <v>FUNDACAO DA SEGURIDADE</v>
          </cell>
        </row>
        <row r="310">
          <cell r="A310">
            <v>3452</v>
          </cell>
          <cell r="B310" t="str">
            <v>BIOCATH COMERCIO DE PRODUTOS HOSPITALARES LTDA</v>
          </cell>
        </row>
        <row r="311">
          <cell r="A311">
            <v>3453</v>
          </cell>
          <cell r="B311" t="str">
            <v>CABERJ INTEGRAL SAUDE S</v>
          </cell>
        </row>
        <row r="312">
          <cell r="A312">
            <v>3454</v>
          </cell>
          <cell r="B312" t="str">
            <v>BRADESCO SAUDE OPERADORA DE PLANOS SA</v>
          </cell>
        </row>
        <row r="313">
          <cell r="A313">
            <v>3456</v>
          </cell>
          <cell r="B313" t="str">
            <v>HOSPITAL DAS CLINICAS DE JUSCELINO LTDA</v>
          </cell>
        </row>
        <row r="314">
          <cell r="A314">
            <v>3457</v>
          </cell>
          <cell r="B314" t="str">
            <v>REAL E BENEMERITA ASSOCIACAO PORTUGUESA DE BENEFICENCIA</v>
          </cell>
        </row>
        <row r="315">
          <cell r="A315">
            <v>3458</v>
          </cell>
          <cell r="B315" t="str">
            <v>REDE D´OR SAO LUIZ S.A.</v>
          </cell>
        </row>
        <row r="316">
          <cell r="A316">
            <v>3459</v>
          </cell>
          <cell r="B316" t="str">
            <v>UNIMED RIO EMPREENDIMENTOS MEDICOS E HOSPITALARES LTDA</v>
          </cell>
        </row>
        <row r="317">
          <cell r="A317">
            <v>3482</v>
          </cell>
          <cell r="B317" t="str">
            <v>SANTA CASA DE MISERICORDIA DA BAHIA</v>
          </cell>
        </row>
        <row r="318">
          <cell r="A318">
            <v>3483</v>
          </cell>
          <cell r="B318" t="str">
            <v>REDE PRIMAVERA - ASSISTENCIA MEDICA HOSPITALAR LTDA</v>
          </cell>
        </row>
        <row r="319">
          <cell r="A319">
            <v>3485</v>
          </cell>
          <cell r="B319" t="str">
            <v>HOSPITAL SAO RAFAEL SA</v>
          </cell>
        </row>
        <row r="320">
          <cell r="A320">
            <v>3486</v>
          </cell>
          <cell r="B320" t="str">
            <v>CARDIO PULMONAR DA BAHIA S.A</v>
          </cell>
        </row>
        <row r="321">
          <cell r="A321">
            <v>3487</v>
          </cell>
          <cell r="B321" t="str">
            <v>HOSPITAL ESPERANCA SA</v>
          </cell>
        </row>
        <row r="322">
          <cell r="A322">
            <v>3488</v>
          </cell>
          <cell r="B322" t="str">
            <v>FUNDACAO BAHIANA DE CARDIOLOGIA</v>
          </cell>
        </row>
        <row r="323">
          <cell r="A323">
            <v>3489</v>
          </cell>
          <cell r="B323" t="str">
            <v>PROMEDICA - PROTECAO MEDICA A EMPRESAS S.A.</v>
          </cell>
        </row>
        <row r="324">
          <cell r="A324">
            <v>3490</v>
          </cell>
          <cell r="B324" t="str">
            <v>HOSPITAL SANTA ISABEL S A</v>
          </cell>
        </row>
        <row r="325">
          <cell r="A325">
            <v>3491</v>
          </cell>
          <cell r="B325" t="str">
            <v>UNIMED COSTA DO DESCOBRIMENTO COOPERATIVA DE TRABALHO MEDICO</v>
          </cell>
        </row>
        <row r="326">
          <cell r="A326">
            <v>3503</v>
          </cell>
          <cell r="B326" t="str">
            <v>J BADIM SA</v>
          </cell>
        </row>
        <row r="327">
          <cell r="A327">
            <v>3505</v>
          </cell>
          <cell r="B327" t="str">
            <v>POLICLIN SAUDE S A</v>
          </cell>
        </row>
        <row r="328">
          <cell r="A328">
            <v>3513</v>
          </cell>
          <cell r="B328" t="str">
            <v>INSTITUTO DE TRATAMENTO ENDOVASCULAR LTDA</v>
          </cell>
        </row>
        <row r="329">
          <cell r="A329">
            <v>3515</v>
          </cell>
          <cell r="B329" t="str">
            <v>CAIXA DE ASSISTENCIA DOS FUNCIONARIOS DO BANCO DO BRASIL</v>
          </cell>
        </row>
        <row r="330">
          <cell r="A330">
            <v>3517</v>
          </cell>
          <cell r="B330" t="str">
            <v>CECOR SERVICOS MEDICOS S/C LTDA - ME</v>
          </cell>
        </row>
        <row r="331">
          <cell r="A331">
            <v>3518</v>
          </cell>
          <cell r="B331" t="str">
            <v>SISTEMAS E PLANOS DE SAUDE LTDA.</v>
          </cell>
        </row>
        <row r="332">
          <cell r="A332">
            <v>3522</v>
          </cell>
          <cell r="B332" t="str">
            <v>HOSPITAL SAO LUCAS SA</v>
          </cell>
        </row>
        <row r="333">
          <cell r="A333">
            <v>3524</v>
          </cell>
          <cell r="B333" t="str">
            <v>CRUZ VERMELHA BRASILEIRA - FILIAL DO ESTADO DO PARANA</v>
          </cell>
        </row>
        <row r="334">
          <cell r="A334">
            <v>3528</v>
          </cell>
          <cell r="B334" t="str">
            <v>REDE DOR SAO LUIZ SA</v>
          </cell>
        </row>
        <row r="335">
          <cell r="A335">
            <v>3529</v>
          </cell>
          <cell r="B335" t="str">
            <v>SUL AMERICA SERVICOS DE SAUDE S/A</v>
          </cell>
        </row>
        <row r="336">
          <cell r="A336">
            <v>3530</v>
          </cell>
          <cell r="B336" t="str">
            <v>UNIMED PETROPOLIS COOPERATIVA DE TRABALHO MEDICO</v>
          </cell>
        </row>
        <row r="337">
          <cell r="A337">
            <v>3531</v>
          </cell>
          <cell r="B337" t="str">
            <v>HOSPITAL CASA DE PORTUGAL- HOSPITAL GERAL, ADMINISTRACAO E G</v>
          </cell>
        </row>
        <row r="338">
          <cell r="A338">
            <v>3532</v>
          </cell>
          <cell r="B338" t="str">
            <v>CASA DE SAUDE SANTA MARIA SA</v>
          </cell>
        </row>
        <row r="339">
          <cell r="A339">
            <v>3533</v>
          </cell>
          <cell r="B339" t="str">
            <v>AMA ASSISTENCIA MEDICA ALTERNATIVA LTDA</v>
          </cell>
        </row>
        <row r="340">
          <cell r="A340">
            <v>3534</v>
          </cell>
          <cell r="B340" t="str">
            <v>PROCOR PRONTO SOCORRO CLINICO E CARDIOLOGICO LTDA</v>
          </cell>
        </row>
        <row r="341">
          <cell r="A341">
            <v>3535</v>
          </cell>
          <cell r="B341" t="str">
            <v>SMH SOCIEDADE MEDICO HOSPITALAR</v>
          </cell>
        </row>
        <row r="342">
          <cell r="A342">
            <v>3536</v>
          </cell>
          <cell r="B342" t="str">
            <v>Z S ECOMMERCE LTDA</v>
          </cell>
        </row>
        <row r="343">
          <cell r="A343">
            <v>5697</v>
          </cell>
          <cell r="B343" t="str">
            <v>IRMANDADE DA SANTA CASA DE MISERICORDIA DE SAO CARLOS</v>
          </cell>
        </row>
        <row r="344">
          <cell r="A344">
            <v>5720</v>
          </cell>
          <cell r="B344" t="str">
            <v>UNIMED LESTE PAULISTA COOPERATIVA DE TRABALHO MEDICO</v>
          </cell>
        </row>
        <row r="345">
          <cell r="A345">
            <v>5721</v>
          </cell>
          <cell r="B345" t="str">
            <v>UNIMED DE PINDAMONHANGABA COOPERATIVA DE TRABALHO MEDICO</v>
          </cell>
        </row>
        <row r="346">
          <cell r="A346">
            <v>5722</v>
          </cell>
          <cell r="B346" t="str">
            <v>INSTITUTO DE NEUROLOGIA</v>
          </cell>
        </row>
        <row r="347">
          <cell r="A347">
            <v>5723</v>
          </cell>
          <cell r="B347" t="str">
            <v>HOSPITAL NOVO ATIBAIA S.A.</v>
          </cell>
        </row>
        <row r="348">
          <cell r="A348">
            <v>5724</v>
          </cell>
          <cell r="B348" t="str">
            <v>CRUZ VERMELHA BRASILEIRA - FILIAL DO ESTADO DO PARANA</v>
          </cell>
        </row>
        <row r="349">
          <cell r="A349">
            <v>5725</v>
          </cell>
          <cell r="B349" t="str">
            <v>HOSPITAL LEFORTE LIBERDADE S.A.</v>
          </cell>
        </row>
        <row r="350">
          <cell r="A350">
            <v>5726</v>
          </cell>
          <cell r="B350" t="str">
            <v>UNIMED SANTA BÁRBARA D OESTE E AMERICANA</v>
          </cell>
        </row>
        <row r="351">
          <cell r="A351">
            <v>5727</v>
          </cell>
          <cell r="B351" t="str">
            <v>FUNDACAO EDUCACIONAL SEVERINO SOMBRA</v>
          </cell>
        </row>
        <row r="352">
          <cell r="A352">
            <v>5728</v>
          </cell>
          <cell r="B352" t="str">
            <v>INTENSIVA DAY HOSPITAL LTDA</v>
          </cell>
        </row>
        <row r="353">
          <cell r="A353">
            <v>3544</v>
          </cell>
          <cell r="B353" t="str">
            <v>UNIMED SANTA BARBARA D OESTE E AMERICANA</v>
          </cell>
        </row>
        <row r="354">
          <cell r="A354">
            <v>3545</v>
          </cell>
          <cell r="B354" t="str">
            <v>HOSPITAL E MATERNIDADE MARINGA S A</v>
          </cell>
        </row>
        <row r="355">
          <cell r="A355">
            <v>3546</v>
          </cell>
          <cell r="B355" t="str">
            <v>SSY HOLDING LTDA</v>
          </cell>
        </row>
        <row r="356">
          <cell r="A356">
            <v>3547</v>
          </cell>
          <cell r="B356" t="str">
            <v>UNIMED LESTE PAULISTA COOPERATIVA DE TRABALHO MEDICO</v>
          </cell>
        </row>
        <row r="357">
          <cell r="A357">
            <v>3548</v>
          </cell>
          <cell r="B357" t="str">
            <v>SCITECH PRODUTOS MEDICOS</v>
          </cell>
        </row>
        <row r="358">
          <cell r="A358">
            <v>3549</v>
          </cell>
          <cell r="B358" t="str">
            <v>UNIMED DE SOROCABA COOPERATIVA DE TRABALHO MEDICO</v>
          </cell>
        </row>
        <row r="359">
          <cell r="A359">
            <v>3550</v>
          </cell>
          <cell r="B359" t="str">
            <v>INTENSIVA DAY HOSPITAL LTDA</v>
          </cell>
        </row>
        <row r="361">
          <cell r="A361" t="str">
            <v>Sistema licenciado para CONTACPREV - ASSESSORIA CONTABIL LTDA - ME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Detalhes1"/>
      <sheetName val="Detalhes2"/>
      <sheetName val="Detalhes3"/>
      <sheetName val="Detalhes4"/>
      <sheetName val="Detalhes5"/>
      <sheetName val="Detalhes6"/>
      <sheetName val="Detalhes7"/>
      <sheetName val="Detalhes8"/>
      <sheetName val="Detalhes9"/>
      <sheetName val="Detalhes10"/>
      <sheetName val="Resumo do Aging List - Contabil"/>
      <sheetName val="Resumo do Aging List - Cont (2)"/>
      <sheetName val="Planilha2"/>
      <sheetName val="Aging analítico - Contabi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C2" t="str">
            <v>Aging list Clientes</v>
          </cell>
        </row>
        <row r="4">
          <cell r="C4" t="str">
            <v>Descrição</v>
          </cell>
          <cell r="D4" t="str">
            <v>Saldo em:</v>
          </cell>
          <cell r="E4">
            <v>46053</v>
          </cell>
          <cell r="F4" t="str">
            <v>% repres.</v>
          </cell>
        </row>
        <row r="6">
          <cell r="C6" t="str">
            <v>A vencer</v>
          </cell>
          <cell r="E6">
            <v>42998558.160000011</v>
          </cell>
          <cell r="F6">
            <v>0.73536255175974363</v>
          </cell>
        </row>
        <row r="8">
          <cell r="C8" t="str">
            <v>de 0 a 30 dias</v>
          </cell>
          <cell r="E8">
            <v>10147923.729999995</v>
          </cell>
          <cell r="F8">
            <v>0.1735500772232417</v>
          </cell>
        </row>
        <row r="9">
          <cell r="C9" t="str">
            <v>de 31 a 60 dias</v>
          </cell>
          <cell r="E9">
            <v>12637774.000000002</v>
          </cell>
          <cell r="F9">
            <v>0.21613156661258012</v>
          </cell>
        </row>
        <row r="10">
          <cell r="C10" t="str">
            <v>de 61 a 90 dias</v>
          </cell>
          <cell r="E10">
            <v>10743725.340000002</v>
          </cell>
          <cell r="F10">
            <v>0.18373949312509269</v>
          </cell>
        </row>
        <row r="11">
          <cell r="C11" t="str">
            <v>de 91 a 120 dias</v>
          </cell>
          <cell r="E11">
            <v>7573606.120000002</v>
          </cell>
          <cell r="F11">
            <v>0.12952402500806112</v>
          </cell>
        </row>
        <row r="12">
          <cell r="C12" t="str">
            <v>acima de 120 dias</v>
          </cell>
          <cell r="E12">
            <v>1895528.9700000025</v>
          </cell>
          <cell r="F12">
            <v>3.241738979076781E-2</v>
          </cell>
        </row>
        <row r="14">
          <cell r="C14" t="str">
            <v>Vencidos</v>
          </cell>
          <cell r="E14">
            <v>15474038.869999997</v>
          </cell>
          <cell r="F14">
            <v>0.26463744824025642</v>
          </cell>
        </row>
        <row r="16">
          <cell r="C16" t="str">
            <v>de 0 a 30 dias</v>
          </cell>
          <cell r="E16">
            <v>2814526.0700000003</v>
          </cell>
          <cell r="F16">
            <v>4.8134104058281807E-2</v>
          </cell>
        </row>
        <row r="17">
          <cell r="C17" t="str">
            <v>de 31 a 60 dias</v>
          </cell>
          <cell r="E17">
            <v>1740863.5799999996</v>
          </cell>
          <cell r="F17">
            <v>2.9772297938243285E-2</v>
          </cell>
        </row>
        <row r="18">
          <cell r="C18" t="str">
            <v>de 61 a 90 dias</v>
          </cell>
          <cell r="E18">
            <v>1518383.6299999994</v>
          </cell>
          <cell r="F18">
            <v>2.5967439572095217E-2</v>
          </cell>
        </row>
        <row r="19">
          <cell r="C19" t="str">
            <v>de 91 a 120 dias</v>
          </cell>
          <cell r="E19">
            <v>1321421.52</v>
          </cell>
          <cell r="F19">
            <v>2.2598988023775139E-2</v>
          </cell>
        </row>
        <row r="20">
          <cell r="C20" t="str">
            <v>de 121 a 150 dias</v>
          </cell>
          <cell r="E20">
            <v>768077.25</v>
          </cell>
          <cell r="F20">
            <v>1.3135678745480203E-2</v>
          </cell>
        </row>
        <row r="21">
          <cell r="C21" t="str">
            <v>de 151 a 180 dias</v>
          </cell>
          <cell r="E21">
            <v>230078.93</v>
          </cell>
          <cell r="F21">
            <v>3.9348163359659823E-3</v>
          </cell>
        </row>
        <row r="22">
          <cell r="C22" t="str">
            <v>acima de 181 dias</v>
          </cell>
          <cell r="E22">
            <v>7080687.8899999997</v>
          </cell>
          <cell r="F22">
            <v>0.12109412356641479</v>
          </cell>
        </row>
        <row r="24">
          <cell r="C24" t="str">
            <v>Total clientes</v>
          </cell>
          <cell r="E24">
            <v>58472597.030000009</v>
          </cell>
          <cell r="F24">
            <v>1</v>
          </cell>
          <cell r="Q24">
            <v>2284838.7000000002</v>
          </cell>
        </row>
        <row r="25">
          <cell r="Q25">
            <v>8109.2799999993294</v>
          </cell>
        </row>
        <row r="26">
          <cell r="C26" t="str">
            <v>( = ) Variação</v>
          </cell>
        </row>
        <row r="31">
          <cell r="D31" t="str">
            <v>VENCIDOS</v>
          </cell>
          <cell r="L31" t="str">
            <v>VINCENDOS</v>
          </cell>
        </row>
        <row r="32">
          <cell r="E32" t="str">
            <v>Dados</v>
          </cell>
        </row>
        <row r="33">
          <cell r="C33" t="str">
            <v>Cliente</v>
          </cell>
          <cell r="D33" t="str">
            <v>TOTAL</v>
          </cell>
          <cell r="E33" t="str">
            <v xml:space="preserve">acima de 181 dias </v>
          </cell>
          <cell r="F33" t="str">
            <v xml:space="preserve">151 a 180 dias </v>
          </cell>
          <cell r="G33" t="str">
            <v xml:space="preserve">  121 a 150 dias </v>
          </cell>
          <cell r="H33" t="str">
            <v xml:space="preserve">91 a 120 dias </v>
          </cell>
          <cell r="I33" t="str">
            <v xml:space="preserve">61 a 90 dias </v>
          </cell>
          <cell r="J33" t="str">
            <v xml:space="preserve">31 a 60 dias </v>
          </cell>
          <cell r="K33" t="str">
            <v xml:space="preserve">30 dias </v>
          </cell>
          <cell r="L33" t="str">
            <v xml:space="preserve">TOTAL </v>
          </cell>
          <cell r="M33" t="str">
            <v xml:space="preserve">30 dias  </v>
          </cell>
          <cell r="N33" t="str">
            <v xml:space="preserve">31 a 60 dias  </v>
          </cell>
          <cell r="O33" t="str">
            <v xml:space="preserve">61 a 90 dias  </v>
          </cell>
          <cell r="P33" t="str">
            <v xml:space="preserve">91 a 120 dias  </v>
          </cell>
          <cell r="Q33" t="str">
            <v xml:space="preserve">acima de 120 dias  </v>
          </cell>
          <cell r="R33" t="str">
            <v xml:space="preserve">TOTAL  </v>
          </cell>
        </row>
        <row r="34">
          <cell r="C34" t="str">
            <v>AMEPLAN ASSISTENCIA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11642.05</v>
          </cell>
          <cell r="L34">
            <v>11642.05</v>
          </cell>
          <cell r="M34">
            <v>11642.05</v>
          </cell>
          <cell r="N34">
            <v>11642.05</v>
          </cell>
          <cell r="O34">
            <v>0</v>
          </cell>
          <cell r="P34">
            <v>0</v>
          </cell>
          <cell r="Q34">
            <v>0</v>
          </cell>
          <cell r="R34">
            <v>23284.1</v>
          </cell>
          <cell r="S34">
            <v>34926.149999999994</v>
          </cell>
        </row>
        <row r="35">
          <cell r="C35" t="str">
            <v>AMESC - ASSOCIACAO M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50152.350000000006</v>
          </cell>
          <cell r="P35">
            <v>0</v>
          </cell>
          <cell r="Q35">
            <v>0</v>
          </cell>
          <cell r="R35">
            <v>50152.350000000006</v>
          </cell>
          <cell r="S35">
            <v>50152.350000000006</v>
          </cell>
        </row>
        <row r="36">
          <cell r="C36" t="str">
            <v>AMIL ASSISTENCIA MED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8109.28</v>
          </cell>
          <cell r="P36">
            <v>1850733.6099999996</v>
          </cell>
          <cell r="Q36">
            <v>434105.09</v>
          </cell>
          <cell r="R36">
            <v>2292947.9799999995</v>
          </cell>
          <cell r="S36">
            <v>2292947.9799999995</v>
          </cell>
        </row>
        <row r="37">
          <cell r="C37" t="str">
            <v>ANGIOCOR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29581.5</v>
          </cell>
          <cell r="O37">
            <v>29581.5</v>
          </cell>
          <cell r="P37">
            <v>29581.5</v>
          </cell>
          <cell r="Q37">
            <v>207070.5</v>
          </cell>
          <cell r="R37">
            <v>295815</v>
          </cell>
          <cell r="S37">
            <v>295815</v>
          </cell>
        </row>
        <row r="38">
          <cell r="C38" t="str">
            <v>APAS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2473.5</v>
          </cell>
          <cell r="Q38">
            <v>12367.5</v>
          </cell>
          <cell r="R38">
            <v>14841</v>
          </cell>
          <cell r="S38">
            <v>14841</v>
          </cell>
        </row>
        <row r="39">
          <cell r="C39" t="str">
            <v>APAS SAUDE SOROCABA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11000</v>
          </cell>
          <cell r="O39">
            <v>11000</v>
          </cell>
          <cell r="P39">
            <v>0</v>
          </cell>
          <cell r="Q39">
            <v>0</v>
          </cell>
          <cell r="R39">
            <v>22000</v>
          </cell>
          <cell r="S39">
            <v>22000</v>
          </cell>
        </row>
        <row r="40">
          <cell r="C40" t="str">
            <v>APAS-BAURU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44425.75</v>
          </cell>
          <cell r="O40">
            <v>44425.75</v>
          </cell>
          <cell r="P40">
            <v>0</v>
          </cell>
          <cell r="Q40">
            <v>0</v>
          </cell>
          <cell r="R40">
            <v>88851.5</v>
          </cell>
          <cell r="S40">
            <v>88851.5</v>
          </cell>
        </row>
        <row r="41">
          <cell r="C41" t="str">
            <v>ASHOPE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114350</v>
          </cell>
          <cell r="P41">
            <v>114350</v>
          </cell>
          <cell r="Q41">
            <v>0</v>
          </cell>
          <cell r="R41">
            <v>228700</v>
          </cell>
          <cell r="S41">
            <v>228700</v>
          </cell>
        </row>
        <row r="42">
          <cell r="C42" t="str">
            <v>ASSEM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45681.91</v>
          </cell>
          <cell r="Q42">
            <v>0</v>
          </cell>
          <cell r="R42">
            <v>45681.91</v>
          </cell>
          <cell r="S42">
            <v>45681.91</v>
          </cell>
        </row>
        <row r="43">
          <cell r="C43" t="str">
            <v>ASSIM SAUDE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249940</v>
          </cell>
          <cell r="O43">
            <v>0</v>
          </cell>
          <cell r="P43">
            <v>0</v>
          </cell>
          <cell r="Q43">
            <v>0</v>
          </cell>
          <cell r="R43">
            <v>249940</v>
          </cell>
          <cell r="S43">
            <v>249940</v>
          </cell>
        </row>
        <row r="44">
          <cell r="C44" t="str">
            <v>ASSISTENCIA MEDICA E</v>
          </cell>
          <cell r="E44">
            <v>31500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31500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31500</v>
          </cell>
        </row>
        <row r="45">
          <cell r="C45" t="str">
            <v>ASSOCIACAO AUXILIADO</v>
          </cell>
          <cell r="E45">
            <v>51255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51255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51255</v>
          </cell>
        </row>
        <row r="46">
          <cell r="C46" t="str">
            <v>ASSOCIACAO BENEFICEN</v>
          </cell>
          <cell r="E46">
            <v>311320.85000000003</v>
          </cell>
          <cell r="F46">
            <v>0</v>
          </cell>
          <cell r="G46">
            <v>0</v>
          </cell>
          <cell r="H46">
            <v>0</v>
          </cell>
          <cell r="I46">
            <v>11200</v>
          </cell>
          <cell r="J46">
            <v>0</v>
          </cell>
          <cell r="K46">
            <v>0</v>
          </cell>
          <cell r="L46">
            <v>322520.85000000003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322520.85000000003</v>
          </cell>
        </row>
        <row r="47">
          <cell r="C47" t="str">
            <v>ASSOCIACAO DOS AGENT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106582.5</v>
          </cell>
          <cell r="O47">
            <v>106582.5</v>
          </cell>
          <cell r="P47">
            <v>106582.5</v>
          </cell>
          <cell r="Q47">
            <v>106582.5</v>
          </cell>
          <cell r="R47">
            <v>426330</v>
          </cell>
          <cell r="S47">
            <v>426330</v>
          </cell>
        </row>
        <row r="48">
          <cell r="C48" t="str">
            <v>ASSOCIACAO EVANGELIC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57100</v>
          </cell>
          <cell r="O48">
            <v>0</v>
          </cell>
          <cell r="P48">
            <v>0</v>
          </cell>
          <cell r="Q48">
            <v>0</v>
          </cell>
          <cell r="R48">
            <v>57100</v>
          </cell>
          <cell r="S48">
            <v>57100</v>
          </cell>
        </row>
        <row r="49">
          <cell r="C49" t="str">
            <v>ASSOCIACAO HOSPITALA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18415</v>
          </cell>
          <cell r="K49">
            <v>18415</v>
          </cell>
          <cell r="L49">
            <v>36830</v>
          </cell>
          <cell r="M49">
            <v>18415</v>
          </cell>
          <cell r="N49">
            <v>18415</v>
          </cell>
          <cell r="O49">
            <v>0</v>
          </cell>
          <cell r="P49">
            <v>0</v>
          </cell>
          <cell r="Q49">
            <v>0</v>
          </cell>
          <cell r="R49">
            <v>36830</v>
          </cell>
          <cell r="S49">
            <v>73660</v>
          </cell>
        </row>
        <row r="50">
          <cell r="C50" t="str">
            <v>ASSOCIACAO PETROBRAS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982440.1</v>
          </cell>
          <cell r="P50">
            <v>0</v>
          </cell>
          <cell r="Q50">
            <v>0</v>
          </cell>
          <cell r="R50">
            <v>982440.1</v>
          </cell>
          <cell r="S50">
            <v>982440.1</v>
          </cell>
        </row>
        <row r="51">
          <cell r="C51" t="str">
            <v>ATIVA MEDICAL COMERC</v>
          </cell>
          <cell r="E51">
            <v>78000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78000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78000</v>
          </cell>
        </row>
        <row r="52">
          <cell r="C52" t="str">
            <v>ATIVIA SERVICOS DE S</v>
          </cell>
          <cell r="E52">
            <v>234840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234840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234840</v>
          </cell>
        </row>
        <row r="53">
          <cell r="C53" t="str">
            <v>AUSTACLINICAS ASSIST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138330</v>
          </cell>
          <cell r="O53">
            <v>294600</v>
          </cell>
          <cell r="P53">
            <v>0</v>
          </cell>
          <cell r="Q53">
            <v>0</v>
          </cell>
          <cell r="R53">
            <v>432930</v>
          </cell>
          <cell r="S53">
            <v>432930</v>
          </cell>
        </row>
        <row r="54">
          <cell r="C54" t="str">
            <v>AUSTACOR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38060</v>
          </cell>
          <cell r="P54">
            <v>0</v>
          </cell>
          <cell r="Q54">
            <v>0</v>
          </cell>
          <cell r="R54">
            <v>38060</v>
          </cell>
          <cell r="S54">
            <v>38060</v>
          </cell>
        </row>
        <row r="55">
          <cell r="C55" t="str">
            <v>BANCO BRADESCO S.A.</v>
          </cell>
          <cell r="E55">
            <v>408920.63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408920.63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408920.63</v>
          </cell>
        </row>
        <row r="56">
          <cell r="C56" t="str">
            <v>BANCO BRADESCO SAÚDE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871861.9</v>
          </cell>
          <cell r="P56">
            <v>292634.66000000003</v>
          </cell>
          <cell r="Q56">
            <v>0</v>
          </cell>
          <cell r="R56">
            <v>1164496.56</v>
          </cell>
          <cell r="S56">
            <v>1164496.56</v>
          </cell>
        </row>
        <row r="57">
          <cell r="C57" t="str">
            <v>BANCO DO BRASIL S.A.</v>
          </cell>
          <cell r="E57">
            <v>71100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71100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71100</v>
          </cell>
        </row>
        <row r="58">
          <cell r="C58" t="str">
            <v>BENEFICENCIA NIPO BR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4050</v>
          </cell>
          <cell r="Q58">
            <v>0</v>
          </cell>
          <cell r="R58">
            <v>4050</v>
          </cell>
          <cell r="S58">
            <v>4050</v>
          </cell>
        </row>
        <row r="59">
          <cell r="C59" t="str">
            <v>BIOMEDICAL - BAHIA</v>
          </cell>
          <cell r="E59">
            <v>141609.26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141609.26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141609.26</v>
          </cell>
        </row>
        <row r="60">
          <cell r="C60" t="str">
            <v>BOM SAMARITANO</v>
          </cell>
          <cell r="E60">
            <v>153000</v>
          </cell>
          <cell r="F60">
            <v>0</v>
          </cell>
          <cell r="G60">
            <v>0</v>
          </cell>
          <cell r="H60">
            <v>240.38</v>
          </cell>
          <cell r="I60">
            <v>0</v>
          </cell>
          <cell r="J60">
            <v>0</v>
          </cell>
          <cell r="K60">
            <v>0</v>
          </cell>
          <cell r="L60">
            <v>153240.38</v>
          </cell>
          <cell r="M60">
            <v>0</v>
          </cell>
          <cell r="N60">
            <v>0</v>
          </cell>
          <cell r="O60">
            <v>174080.13</v>
          </cell>
          <cell r="P60">
            <v>14240.38</v>
          </cell>
          <cell r="Q60">
            <v>0</v>
          </cell>
          <cell r="R60">
            <v>188320.51</v>
          </cell>
          <cell r="S60">
            <v>341560.89</v>
          </cell>
        </row>
        <row r="61">
          <cell r="C61" t="str">
            <v>BRADESCO SAUDE OPERA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89980</v>
          </cell>
          <cell r="Q61">
            <v>0</v>
          </cell>
          <cell r="R61">
            <v>89980</v>
          </cell>
          <cell r="S61">
            <v>89980</v>
          </cell>
        </row>
        <row r="62">
          <cell r="C62" t="str">
            <v>C A MEDICAL REPRESEN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1700</v>
          </cell>
          <cell r="O62">
            <v>0</v>
          </cell>
          <cell r="P62">
            <v>0</v>
          </cell>
          <cell r="Q62">
            <v>0</v>
          </cell>
          <cell r="R62">
            <v>1700</v>
          </cell>
          <cell r="S62">
            <v>1700</v>
          </cell>
        </row>
        <row r="63">
          <cell r="C63" t="str">
            <v>CABERJ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121355</v>
          </cell>
          <cell r="P63">
            <v>121355</v>
          </cell>
          <cell r="Q63">
            <v>121355</v>
          </cell>
          <cell r="R63">
            <v>364065</v>
          </cell>
          <cell r="S63">
            <v>364065</v>
          </cell>
        </row>
        <row r="64">
          <cell r="C64" t="str">
            <v>CAIXA BENEF. DOS FUN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513930.36000000004</v>
          </cell>
          <cell r="O64">
            <v>0</v>
          </cell>
          <cell r="P64">
            <v>0</v>
          </cell>
          <cell r="Q64">
            <v>0</v>
          </cell>
          <cell r="R64">
            <v>513930.36000000004</v>
          </cell>
          <cell r="S64">
            <v>513930.36000000004</v>
          </cell>
        </row>
        <row r="65">
          <cell r="C65" t="str">
            <v>CAPESESP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166543</v>
          </cell>
          <cell r="R65">
            <v>166543</v>
          </cell>
          <cell r="S65">
            <v>166543</v>
          </cell>
        </row>
        <row r="66">
          <cell r="C66" t="str">
            <v>CARE PLUS MEDICINA A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26380</v>
          </cell>
          <cell r="O66">
            <v>0</v>
          </cell>
          <cell r="P66">
            <v>0</v>
          </cell>
          <cell r="Q66">
            <v>0</v>
          </cell>
          <cell r="R66">
            <v>26380</v>
          </cell>
          <cell r="S66">
            <v>26380</v>
          </cell>
        </row>
        <row r="67">
          <cell r="C67" t="str">
            <v>CASA DE SAUDE NOSSA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117795.8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117795.8</v>
          </cell>
          <cell r="S67">
            <v>117795.8</v>
          </cell>
        </row>
        <row r="68">
          <cell r="C68" t="str">
            <v>CASA DE SAUDE SANTA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29793.58</v>
          </cell>
          <cell r="P68">
            <v>20614.97</v>
          </cell>
          <cell r="Q68">
            <v>0</v>
          </cell>
          <cell r="R68">
            <v>50408.55</v>
          </cell>
          <cell r="S68">
            <v>50408.55</v>
          </cell>
        </row>
        <row r="69">
          <cell r="C69" t="str">
            <v>CASSEMS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572560</v>
          </cell>
          <cell r="O69">
            <v>48050</v>
          </cell>
          <cell r="P69">
            <v>48050</v>
          </cell>
          <cell r="Q69">
            <v>0</v>
          </cell>
          <cell r="R69">
            <v>668660</v>
          </cell>
          <cell r="S69">
            <v>668660</v>
          </cell>
        </row>
        <row r="70">
          <cell r="C70" t="str">
            <v>CASSI SAO PAULO - SP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31180.29</v>
          </cell>
          <cell r="O70">
            <v>269736</v>
          </cell>
          <cell r="P70">
            <v>0</v>
          </cell>
          <cell r="Q70">
            <v>0</v>
          </cell>
          <cell r="R70">
            <v>300916.29000000004</v>
          </cell>
          <cell r="S70">
            <v>300916.29000000004</v>
          </cell>
        </row>
        <row r="71">
          <cell r="C71" t="str">
            <v>CENTRO MEDICO SANTA</v>
          </cell>
          <cell r="E71">
            <v>0</v>
          </cell>
          <cell r="F71">
            <v>0</v>
          </cell>
          <cell r="G71">
            <v>0</v>
          </cell>
          <cell r="H71">
            <v>28600</v>
          </cell>
          <cell r="I71">
            <v>28600</v>
          </cell>
          <cell r="J71">
            <v>14300</v>
          </cell>
          <cell r="K71">
            <v>0</v>
          </cell>
          <cell r="L71">
            <v>71500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71500</v>
          </cell>
        </row>
        <row r="72">
          <cell r="C72" t="str">
            <v>CENTRO TRASMONTANO D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32500</v>
          </cell>
          <cell r="O72">
            <v>0</v>
          </cell>
          <cell r="P72">
            <v>0</v>
          </cell>
          <cell r="Q72">
            <v>0</v>
          </cell>
          <cell r="R72">
            <v>32500</v>
          </cell>
          <cell r="S72">
            <v>32500</v>
          </cell>
        </row>
        <row r="73">
          <cell r="C73" t="str">
            <v>CLINICA MÉDICA NOSSA</v>
          </cell>
          <cell r="E73">
            <v>2034.5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2034.5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2034.5</v>
          </cell>
        </row>
        <row r="74">
          <cell r="C74" t="str">
            <v>COMPLEXO HOSPITALAR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4690</v>
          </cell>
          <cell r="P74">
            <v>0</v>
          </cell>
          <cell r="Q74">
            <v>0</v>
          </cell>
          <cell r="R74">
            <v>4690</v>
          </cell>
          <cell r="S74">
            <v>4690</v>
          </cell>
        </row>
        <row r="75">
          <cell r="C75" t="str">
            <v>CORIS MEDICINA VASCU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42480</v>
          </cell>
          <cell r="Q75">
            <v>0</v>
          </cell>
          <cell r="R75">
            <v>42480</v>
          </cell>
          <cell r="S75">
            <v>42480</v>
          </cell>
        </row>
        <row r="76">
          <cell r="C76" t="str">
            <v>CRUZ VERMELHA BRASIL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132300</v>
          </cell>
          <cell r="J76">
            <v>0</v>
          </cell>
          <cell r="K76">
            <v>0</v>
          </cell>
          <cell r="L76">
            <v>132300</v>
          </cell>
          <cell r="M76">
            <v>44034</v>
          </cell>
          <cell r="N76">
            <v>0</v>
          </cell>
          <cell r="O76">
            <v>0</v>
          </cell>
          <cell r="P76">
            <v>56249.23</v>
          </cell>
          <cell r="Q76">
            <v>0</v>
          </cell>
          <cell r="R76">
            <v>100283.23000000001</v>
          </cell>
          <cell r="S76">
            <v>232583.23</v>
          </cell>
        </row>
        <row r="77">
          <cell r="C77" t="str">
            <v>EDSON DOS SANTOS MAR</v>
          </cell>
          <cell r="E77">
            <v>0</v>
          </cell>
          <cell r="F77">
            <v>0</v>
          </cell>
          <cell r="G77">
            <v>0</v>
          </cell>
          <cell r="H77">
            <v>8102</v>
          </cell>
          <cell r="I77">
            <v>8102</v>
          </cell>
          <cell r="J77">
            <v>0</v>
          </cell>
          <cell r="K77">
            <v>8102</v>
          </cell>
          <cell r="L77">
            <v>24306</v>
          </cell>
          <cell r="M77">
            <v>8102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8102</v>
          </cell>
          <cell r="S77">
            <v>32408</v>
          </cell>
        </row>
        <row r="78">
          <cell r="C78" t="str">
            <v>ENDOCATH DIAGNOSTICO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70000</v>
          </cell>
          <cell r="Q78">
            <v>0</v>
          </cell>
          <cell r="R78">
            <v>70000</v>
          </cell>
          <cell r="S78">
            <v>70000</v>
          </cell>
        </row>
        <row r="79">
          <cell r="C79" t="str">
            <v>FAEPA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42308.56</v>
          </cell>
          <cell r="O79">
            <v>0</v>
          </cell>
          <cell r="P79">
            <v>0</v>
          </cell>
          <cell r="Q79">
            <v>0</v>
          </cell>
          <cell r="R79">
            <v>42308.56</v>
          </cell>
          <cell r="S79">
            <v>42308.56</v>
          </cell>
        </row>
        <row r="80">
          <cell r="C80" t="str">
            <v>FAJ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14000</v>
          </cell>
          <cell r="P80">
            <v>89904.63</v>
          </cell>
          <cell r="Q80">
            <v>0</v>
          </cell>
          <cell r="R80">
            <v>103904.63</v>
          </cell>
          <cell r="S80">
            <v>103904.63</v>
          </cell>
        </row>
        <row r="81">
          <cell r="C81" t="str">
            <v>FENIX MEDICAL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19243.25</v>
          </cell>
          <cell r="O81">
            <v>19243.25</v>
          </cell>
          <cell r="P81">
            <v>19243.25</v>
          </cell>
          <cell r="Q81">
            <v>9421</v>
          </cell>
          <cell r="R81">
            <v>67150.75</v>
          </cell>
          <cell r="S81">
            <v>67150.75</v>
          </cell>
        </row>
        <row r="82">
          <cell r="C82" t="str">
            <v>FOR LIFE MATERIAIS H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97675</v>
          </cell>
          <cell r="L82">
            <v>97675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97675</v>
          </cell>
        </row>
        <row r="83">
          <cell r="C83" t="str">
            <v>FUNDACAO BAHIANA DE</v>
          </cell>
          <cell r="E83">
            <v>59944.800000000003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69200</v>
          </cell>
          <cell r="L83">
            <v>129144.8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129144.8</v>
          </cell>
        </row>
        <row r="84">
          <cell r="C84" t="str">
            <v>FUNDACAO FELÍCIO ROC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22800</v>
          </cell>
          <cell r="O84">
            <v>0</v>
          </cell>
          <cell r="P84">
            <v>606989</v>
          </cell>
          <cell r="Q84">
            <v>0</v>
          </cell>
          <cell r="R84">
            <v>629789</v>
          </cell>
          <cell r="S84">
            <v>629789</v>
          </cell>
        </row>
        <row r="85">
          <cell r="C85" t="str">
            <v>FUNDACAO SANEPAR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74800</v>
          </cell>
          <cell r="Q85">
            <v>0</v>
          </cell>
          <cell r="R85">
            <v>74800</v>
          </cell>
          <cell r="S85">
            <v>74800</v>
          </cell>
        </row>
        <row r="86">
          <cell r="C86" t="str">
            <v>FUNDO MUNICIPAL DE S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31673.34</v>
          </cell>
          <cell r="O86">
            <v>0</v>
          </cell>
          <cell r="P86">
            <v>0</v>
          </cell>
          <cell r="Q86">
            <v>0</v>
          </cell>
          <cell r="R86">
            <v>31673.34</v>
          </cell>
          <cell r="S86">
            <v>31673.34</v>
          </cell>
        </row>
        <row r="87">
          <cell r="C87" t="str">
            <v>FUSVE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77500</v>
          </cell>
          <cell r="J87">
            <v>0</v>
          </cell>
          <cell r="K87">
            <v>86630</v>
          </cell>
          <cell r="L87">
            <v>164130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164130</v>
          </cell>
        </row>
        <row r="88">
          <cell r="C88" t="str">
            <v>G E R</v>
          </cell>
          <cell r="E88">
            <v>5920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5920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5920</v>
          </cell>
        </row>
        <row r="89">
          <cell r="C89" t="str">
            <v>GEAP SAUDE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60000</v>
          </cell>
          <cell r="O89">
            <v>0</v>
          </cell>
          <cell r="P89">
            <v>0</v>
          </cell>
          <cell r="Q89">
            <v>0</v>
          </cell>
          <cell r="R89">
            <v>60000</v>
          </cell>
          <cell r="S89">
            <v>60000</v>
          </cell>
        </row>
        <row r="90">
          <cell r="C90" t="str">
            <v>GERENCIA REGIONAL DO</v>
          </cell>
          <cell r="E90">
            <v>1071489.56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113722.45000000001</v>
          </cell>
          <cell r="L90">
            <v>1185212.01</v>
          </cell>
          <cell r="M90">
            <v>0</v>
          </cell>
          <cell r="N90">
            <v>26187.42</v>
          </cell>
          <cell r="O90">
            <v>0</v>
          </cell>
          <cell r="P90">
            <v>0</v>
          </cell>
          <cell r="Q90">
            <v>0</v>
          </cell>
          <cell r="R90">
            <v>26187.42</v>
          </cell>
          <cell r="S90">
            <v>1211399.43</v>
          </cell>
        </row>
        <row r="91">
          <cell r="C91" t="str">
            <v>GERSHOP SERVICOS HOS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14150.83</v>
          </cell>
          <cell r="O91">
            <v>14150.82</v>
          </cell>
          <cell r="P91">
            <v>0</v>
          </cell>
          <cell r="Q91">
            <v>0</v>
          </cell>
          <cell r="R91">
            <v>28301.65</v>
          </cell>
          <cell r="S91">
            <v>28301.65</v>
          </cell>
        </row>
        <row r="92">
          <cell r="C92" t="str">
            <v>GOCARE PLANOS DE SAU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29538.629999999997</v>
          </cell>
          <cell r="O92">
            <v>29538.629999999997</v>
          </cell>
          <cell r="P92">
            <v>29538.629999999997</v>
          </cell>
          <cell r="Q92">
            <v>29538.61</v>
          </cell>
          <cell r="R92">
            <v>118154.5</v>
          </cell>
          <cell r="S92">
            <v>118154.5</v>
          </cell>
        </row>
        <row r="93">
          <cell r="C93" t="str">
            <v>GRUPO CEMERU SAUDE</v>
          </cell>
          <cell r="E93">
            <v>9430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9430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9430</v>
          </cell>
        </row>
        <row r="94">
          <cell r="C94" t="str">
            <v>GS - PLANO GLOBAL DE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10107.24</v>
          </cell>
          <cell r="O94">
            <v>0</v>
          </cell>
          <cell r="P94">
            <v>0</v>
          </cell>
          <cell r="Q94">
            <v>0</v>
          </cell>
          <cell r="R94">
            <v>10107.24</v>
          </cell>
          <cell r="S94">
            <v>10107.24</v>
          </cell>
        </row>
        <row r="95">
          <cell r="C95" t="str">
            <v>H. MEDICOS ASSOCIADO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133200</v>
          </cell>
          <cell r="Q95">
            <v>0</v>
          </cell>
          <cell r="R95">
            <v>133200</v>
          </cell>
          <cell r="S95">
            <v>133200</v>
          </cell>
        </row>
        <row r="96">
          <cell r="C96" t="str">
            <v>HCOR - HOSPITAL DO C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941708.48</v>
          </cell>
          <cell r="Q96">
            <v>0</v>
          </cell>
          <cell r="R96">
            <v>941708.48</v>
          </cell>
          <cell r="S96">
            <v>941708.48</v>
          </cell>
        </row>
        <row r="97">
          <cell r="C97" t="str">
            <v>HEMOBAHIA</v>
          </cell>
          <cell r="E97">
            <v>24975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24975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  <cell r="S97">
            <v>24975</v>
          </cell>
        </row>
        <row r="98">
          <cell r="C98" t="str">
            <v>HEMOCOR</v>
          </cell>
          <cell r="E98">
            <v>110892.5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110892.5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110892.5</v>
          </cell>
        </row>
        <row r="99">
          <cell r="C99" t="str">
            <v>HOSP CASA SAO BERNAR</v>
          </cell>
          <cell r="E99">
            <v>15531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15531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15531</v>
          </cell>
        </row>
        <row r="100">
          <cell r="C100" t="str">
            <v>HOSP REGIONAL DE SOR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74234</v>
          </cell>
          <cell r="P100">
            <v>0</v>
          </cell>
          <cell r="Q100">
            <v>0</v>
          </cell>
          <cell r="R100">
            <v>74234</v>
          </cell>
          <cell r="S100">
            <v>74234</v>
          </cell>
        </row>
        <row r="101">
          <cell r="C101" t="str">
            <v>HOSP. CASA EVANGELIC</v>
          </cell>
          <cell r="E101">
            <v>105756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105756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  <cell r="S101">
            <v>105756</v>
          </cell>
        </row>
        <row r="102">
          <cell r="C102" t="str">
            <v>HOSPITAL 9 DE JULHO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4406.6499999999996</v>
          </cell>
          <cell r="P102">
            <v>104424.27</v>
          </cell>
          <cell r="Q102">
            <v>0</v>
          </cell>
          <cell r="R102">
            <v>108830.92</v>
          </cell>
          <cell r="S102">
            <v>108830.92</v>
          </cell>
        </row>
        <row r="103">
          <cell r="C103" t="str">
            <v>HOSPITAL ALVORADA MO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52493.2</v>
          </cell>
          <cell r="Q103">
            <v>0</v>
          </cell>
          <cell r="R103">
            <v>52493.2</v>
          </cell>
          <cell r="S103">
            <v>52493.2</v>
          </cell>
        </row>
        <row r="104">
          <cell r="C104" t="str">
            <v>HOSPITAL ANGELINA CA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149427.86000000002</v>
          </cell>
          <cell r="O104">
            <v>24206.799999999999</v>
          </cell>
          <cell r="P104">
            <v>148898.66999999998</v>
          </cell>
          <cell r="Q104">
            <v>0</v>
          </cell>
          <cell r="R104">
            <v>322533.33</v>
          </cell>
          <cell r="S104">
            <v>322533.33</v>
          </cell>
        </row>
        <row r="105">
          <cell r="C105" t="str">
            <v>HOSPITAL ANTONIO AFO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50846.83</v>
          </cell>
          <cell r="R105">
            <v>50846.83</v>
          </cell>
          <cell r="S105">
            <v>50846.83</v>
          </cell>
        </row>
        <row r="106">
          <cell r="C106" t="str">
            <v>HOSPITAL ASSUNCAO</v>
          </cell>
          <cell r="E106">
            <v>85930.5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85930.5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85930.5</v>
          </cell>
        </row>
        <row r="107">
          <cell r="C107" t="str">
            <v>HOSPITAL BALBINO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8206.4</v>
          </cell>
          <cell r="Q107">
            <v>0</v>
          </cell>
          <cell r="R107">
            <v>8206.4</v>
          </cell>
          <cell r="S107">
            <v>8206.4</v>
          </cell>
        </row>
        <row r="108">
          <cell r="C108" t="str">
            <v>HOSPITAL BENEFICENCI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13410.6</v>
          </cell>
          <cell r="O108">
            <v>0</v>
          </cell>
          <cell r="P108">
            <v>0</v>
          </cell>
          <cell r="Q108">
            <v>0</v>
          </cell>
          <cell r="R108">
            <v>13410.6</v>
          </cell>
          <cell r="S108">
            <v>13410.6</v>
          </cell>
        </row>
        <row r="109">
          <cell r="C109" t="str">
            <v>HOSPITAL BENEFICENTE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31382.5</v>
          </cell>
          <cell r="O109">
            <v>0</v>
          </cell>
          <cell r="P109">
            <v>0</v>
          </cell>
          <cell r="Q109">
            <v>0</v>
          </cell>
          <cell r="R109">
            <v>31382.5</v>
          </cell>
          <cell r="S109">
            <v>31382.5</v>
          </cell>
        </row>
        <row r="110">
          <cell r="C110" t="str">
            <v>HOSPITAL BENEFICIENC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320000</v>
          </cell>
          <cell r="P110">
            <v>228877.26</v>
          </cell>
          <cell r="Q110">
            <v>1891941.2400000002</v>
          </cell>
          <cell r="R110">
            <v>2440818.5000000005</v>
          </cell>
          <cell r="S110">
            <v>2440818.5000000005</v>
          </cell>
        </row>
        <row r="111">
          <cell r="C111" t="str">
            <v>HOSPITAL CARLOS CHAG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40020.980000000003</v>
          </cell>
          <cell r="Q111">
            <v>0</v>
          </cell>
          <cell r="R111">
            <v>40020.980000000003</v>
          </cell>
          <cell r="S111">
            <v>40020.980000000003</v>
          </cell>
        </row>
        <row r="112">
          <cell r="C112" t="str">
            <v>HOSPITAL CARLOS FERN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6842.85</v>
          </cell>
          <cell r="P112">
            <v>0</v>
          </cell>
          <cell r="Q112">
            <v>0</v>
          </cell>
          <cell r="R112">
            <v>6842.85</v>
          </cell>
          <cell r="S112">
            <v>6842.85</v>
          </cell>
        </row>
        <row r="113">
          <cell r="C113" t="str">
            <v>HOSPITAL CEPOG LTDA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6133.33</v>
          </cell>
          <cell r="O113">
            <v>6133.33</v>
          </cell>
          <cell r="P113">
            <v>6133.34</v>
          </cell>
          <cell r="Q113">
            <v>0</v>
          </cell>
          <cell r="R113">
            <v>18400</v>
          </cell>
          <cell r="S113">
            <v>18400</v>
          </cell>
        </row>
        <row r="114">
          <cell r="C114" t="str">
            <v>HOSPITAL COPA DOR ST</v>
          </cell>
          <cell r="E114">
            <v>7371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7371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7371</v>
          </cell>
        </row>
        <row r="115">
          <cell r="C115" t="str">
            <v>HOSPITAL DA FUNDACAO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50270.06</v>
          </cell>
          <cell r="O115">
            <v>108607.67</v>
          </cell>
          <cell r="P115">
            <v>0</v>
          </cell>
          <cell r="Q115">
            <v>0</v>
          </cell>
          <cell r="R115">
            <v>158877.72999999998</v>
          </cell>
          <cell r="S115">
            <v>158877.72999999998</v>
          </cell>
        </row>
        <row r="116">
          <cell r="C116" t="str">
            <v>HOSPITAL DE BASE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34200</v>
          </cell>
          <cell r="N116">
            <v>97782.92</v>
          </cell>
          <cell r="O116">
            <v>176210.4</v>
          </cell>
          <cell r="P116">
            <v>0</v>
          </cell>
          <cell r="Q116">
            <v>602023.34000000008</v>
          </cell>
          <cell r="R116">
            <v>910216.65999999992</v>
          </cell>
          <cell r="S116">
            <v>910216.65999999992</v>
          </cell>
        </row>
        <row r="117">
          <cell r="C117" t="str">
            <v>HOSPITAL DE CLINICAS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86033.66</v>
          </cell>
          <cell r="O117">
            <v>155039.57</v>
          </cell>
          <cell r="P117">
            <v>81467.34</v>
          </cell>
          <cell r="Q117">
            <v>13000</v>
          </cell>
          <cell r="R117">
            <v>335540.57</v>
          </cell>
          <cell r="S117">
            <v>335540.57</v>
          </cell>
        </row>
        <row r="118">
          <cell r="C118" t="str">
            <v>HOSPITAL DI CAMP LTD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6600</v>
          </cell>
          <cell r="O118">
            <v>6600</v>
          </cell>
          <cell r="P118">
            <v>6600</v>
          </cell>
          <cell r="Q118">
            <v>0</v>
          </cell>
          <cell r="R118">
            <v>19800</v>
          </cell>
          <cell r="S118">
            <v>19800</v>
          </cell>
        </row>
        <row r="119">
          <cell r="C119" t="str">
            <v>HOSPITAL DO SERVIDOR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31613.34</v>
          </cell>
          <cell r="L119">
            <v>31613.34</v>
          </cell>
          <cell r="M119">
            <v>0</v>
          </cell>
          <cell r="N119">
            <v>43390.82</v>
          </cell>
          <cell r="O119">
            <v>0</v>
          </cell>
          <cell r="P119">
            <v>0</v>
          </cell>
          <cell r="Q119">
            <v>0</v>
          </cell>
          <cell r="R119">
            <v>43390.82</v>
          </cell>
          <cell r="S119">
            <v>75004.160000000003</v>
          </cell>
        </row>
        <row r="120">
          <cell r="C120" t="str">
            <v>HOSPITAL DOM JOAQUIM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72079.42</v>
          </cell>
          <cell r="N120">
            <v>130526.40000000001</v>
          </cell>
          <cell r="O120">
            <v>0</v>
          </cell>
          <cell r="P120">
            <v>0</v>
          </cell>
          <cell r="Q120">
            <v>0</v>
          </cell>
          <cell r="R120">
            <v>202605.82</v>
          </cell>
          <cell r="S120">
            <v>202605.82</v>
          </cell>
        </row>
        <row r="121">
          <cell r="C121" t="str">
            <v>HOSPITAL DOM ORIONE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22333.33</v>
          </cell>
          <cell r="O121">
            <v>22333.33</v>
          </cell>
          <cell r="P121">
            <v>22333.34</v>
          </cell>
          <cell r="Q121">
            <v>0</v>
          </cell>
          <cell r="R121">
            <v>67000</v>
          </cell>
          <cell r="S121">
            <v>67000</v>
          </cell>
        </row>
        <row r="122">
          <cell r="C122" t="str">
            <v>HOSPITAL E CLINICA S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128000</v>
          </cell>
          <cell r="N122">
            <v>0</v>
          </cell>
          <cell r="O122">
            <v>0</v>
          </cell>
          <cell r="P122">
            <v>97403.7</v>
          </cell>
          <cell r="Q122">
            <v>0</v>
          </cell>
          <cell r="R122">
            <v>225403.7</v>
          </cell>
          <cell r="S122">
            <v>225403.7</v>
          </cell>
        </row>
        <row r="123">
          <cell r="C123" t="str">
            <v>HOSPITAL E MATERNIDA</v>
          </cell>
          <cell r="E123">
            <v>52624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52624</v>
          </cell>
          <cell r="M123">
            <v>0</v>
          </cell>
          <cell r="N123">
            <v>0</v>
          </cell>
          <cell r="O123">
            <v>250218</v>
          </cell>
          <cell r="P123">
            <v>80122.76999999999</v>
          </cell>
          <cell r="Q123">
            <v>9620</v>
          </cell>
          <cell r="R123">
            <v>339960.77</v>
          </cell>
          <cell r="S123">
            <v>392584.77</v>
          </cell>
        </row>
        <row r="124">
          <cell r="C124" t="str">
            <v>HOSPITAL ESCOLA ALVA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156100</v>
          </cell>
          <cell r="L124">
            <v>156100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156100</v>
          </cell>
        </row>
        <row r="125">
          <cell r="C125" t="str">
            <v>HOSPITAL ESPERANCA S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4600</v>
          </cell>
          <cell r="P125">
            <v>0</v>
          </cell>
          <cell r="Q125">
            <v>0</v>
          </cell>
          <cell r="R125">
            <v>4600</v>
          </cell>
          <cell r="S125">
            <v>4600</v>
          </cell>
        </row>
        <row r="126">
          <cell r="C126" t="str">
            <v>HOSPITAL ICARAI</v>
          </cell>
          <cell r="E126">
            <v>0</v>
          </cell>
          <cell r="F126">
            <v>3190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3190</v>
          </cell>
          <cell r="M126">
            <v>31968.400000000001</v>
          </cell>
          <cell r="N126">
            <v>0</v>
          </cell>
          <cell r="O126">
            <v>33433.019999999997</v>
          </cell>
          <cell r="P126">
            <v>0</v>
          </cell>
          <cell r="Q126">
            <v>1200</v>
          </cell>
          <cell r="R126">
            <v>66601.42</v>
          </cell>
          <cell r="S126">
            <v>69791.42</v>
          </cell>
        </row>
        <row r="127">
          <cell r="C127" t="str">
            <v>HOSPITAL ILHA DO GOV</v>
          </cell>
          <cell r="E127">
            <v>58660.55</v>
          </cell>
          <cell r="F127">
            <v>0</v>
          </cell>
          <cell r="G127">
            <v>0</v>
          </cell>
          <cell r="H127">
            <v>0</v>
          </cell>
          <cell r="I127">
            <v>65528.959999999999</v>
          </cell>
          <cell r="J127">
            <v>0</v>
          </cell>
          <cell r="K127">
            <v>0</v>
          </cell>
          <cell r="L127">
            <v>124189.51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  <cell r="S127">
            <v>124189.51</v>
          </cell>
        </row>
        <row r="128">
          <cell r="C128" t="str">
            <v>HOSPITAL INFANTE DOM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447016</v>
          </cell>
          <cell r="O128">
            <v>0</v>
          </cell>
          <cell r="P128">
            <v>0</v>
          </cell>
          <cell r="Q128">
            <v>0</v>
          </cell>
          <cell r="R128">
            <v>447016</v>
          </cell>
          <cell r="S128">
            <v>447016</v>
          </cell>
        </row>
        <row r="129">
          <cell r="C129" t="str">
            <v>HOSPITAL LUXEMBURGO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>
            <v>29290.1</v>
          </cell>
          <cell r="O129">
            <v>0</v>
          </cell>
          <cell r="P129">
            <v>0</v>
          </cell>
          <cell r="Q129">
            <v>0</v>
          </cell>
          <cell r="R129">
            <v>29290.1</v>
          </cell>
          <cell r="S129">
            <v>29290.1</v>
          </cell>
        </row>
        <row r="130">
          <cell r="C130" t="str">
            <v>HOSPITAL MATER DEI S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9929.2800000000007</v>
          </cell>
          <cell r="O130">
            <v>0</v>
          </cell>
          <cell r="P130">
            <v>41920.86</v>
          </cell>
          <cell r="Q130">
            <v>46218</v>
          </cell>
          <cell r="R130">
            <v>98068.14</v>
          </cell>
          <cell r="S130">
            <v>98068.14</v>
          </cell>
        </row>
        <row r="131">
          <cell r="C131" t="str">
            <v>HOSPITAL MATERNIDADE</v>
          </cell>
          <cell r="E131">
            <v>141643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141643</v>
          </cell>
          <cell r="M131">
            <v>158206</v>
          </cell>
          <cell r="N131">
            <v>188400</v>
          </cell>
          <cell r="O131">
            <v>0</v>
          </cell>
          <cell r="P131">
            <v>0</v>
          </cell>
          <cell r="Q131">
            <v>0</v>
          </cell>
          <cell r="R131">
            <v>346606</v>
          </cell>
          <cell r="S131">
            <v>488249</v>
          </cell>
        </row>
        <row r="132">
          <cell r="C132" t="str">
            <v>HOSPITAL PALMAS MEDI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181969</v>
          </cell>
          <cell r="R132">
            <v>181969</v>
          </cell>
          <cell r="S132">
            <v>181969</v>
          </cell>
        </row>
        <row r="133">
          <cell r="C133" t="str">
            <v>HOSPITAL PASTEUR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32376.78</v>
          </cell>
          <cell r="Q133">
            <v>0</v>
          </cell>
          <cell r="R133">
            <v>32376.78</v>
          </cell>
          <cell r="S133">
            <v>32376.78</v>
          </cell>
        </row>
        <row r="134">
          <cell r="C134" t="str">
            <v>HOSPITAL PEDIATRICO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198000</v>
          </cell>
          <cell r="P134">
            <v>0</v>
          </cell>
          <cell r="Q134">
            <v>0</v>
          </cell>
          <cell r="R134">
            <v>198000</v>
          </cell>
          <cell r="S134">
            <v>198000</v>
          </cell>
        </row>
        <row r="135">
          <cell r="C135" t="str">
            <v>HOSPITAL POLICLIN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108195.33</v>
          </cell>
          <cell r="O135">
            <v>248165.13999999998</v>
          </cell>
          <cell r="P135">
            <v>0</v>
          </cell>
          <cell r="Q135">
            <v>0</v>
          </cell>
          <cell r="R135">
            <v>356360.47</v>
          </cell>
          <cell r="S135">
            <v>356360.47</v>
          </cell>
        </row>
        <row r="136">
          <cell r="C136" t="str">
            <v>HOSPITAL POLICLINICA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57350</v>
          </cell>
          <cell r="R136">
            <v>57350</v>
          </cell>
          <cell r="S136">
            <v>57350</v>
          </cell>
        </row>
        <row r="137">
          <cell r="C137" t="str">
            <v>HOSPITAL PORTUGUES D</v>
          </cell>
          <cell r="E137">
            <v>0</v>
          </cell>
          <cell r="F137">
            <v>0</v>
          </cell>
          <cell r="G137">
            <v>7840</v>
          </cell>
          <cell r="H137">
            <v>0</v>
          </cell>
          <cell r="I137">
            <v>0</v>
          </cell>
          <cell r="J137">
            <v>0</v>
          </cell>
          <cell r="K137">
            <v>84670</v>
          </cell>
          <cell r="L137">
            <v>92510</v>
          </cell>
          <cell r="M137">
            <v>0</v>
          </cell>
          <cell r="N137">
            <v>7840</v>
          </cell>
          <cell r="O137">
            <v>0</v>
          </cell>
          <cell r="P137">
            <v>153474.22999999998</v>
          </cell>
          <cell r="Q137">
            <v>0</v>
          </cell>
          <cell r="R137">
            <v>161314.22999999998</v>
          </cell>
          <cell r="S137">
            <v>253824.22999999998</v>
          </cell>
        </row>
        <row r="138">
          <cell r="C138" t="str">
            <v>HOSPITAL PRO-CARDIAC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14504.28</v>
          </cell>
          <cell r="Q138">
            <v>0</v>
          </cell>
          <cell r="R138">
            <v>14504.28</v>
          </cell>
          <cell r="S138">
            <v>14504.28</v>
          </cell>
        </row>
        <row r="139">
          <cell r="C139" t="str">
            <v>HOSPITAL QUALI IPANE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263340</v>
          </cell>
          <cell r="Q139">
            <v>0</v>
          </cell>
          <cell r="R139">
            <v>263340</v>
          </cell>
          <cell r="S139">
            <v>263340</v>
          </cell>
        </row>
        <row r="140">
          <cell r="C140" t="str">
            <v>HOSPITAL REGIONAL DE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49605.950000000004</v>
          </cell>
          <cell r="O140">
            <v>225229.53</v>
          </cell>
          <cell r="P140">
            <v>49606</v>
          </cell>
          <cell r="Q140">
            <v>0</v>
          </cell>
          <cell r="R140">
            <v>324441.48000000004</v>
          </cell>
          <cell r="S140">
            <v>324441.48000000004</v>
          </cell>
        </row>
        <row r="141">
          <cell r="C141" t="str">
            <v>HOSPITAL REGIONAL DO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100716.56</v>
          </cell>
          <cell r="O141">
            <v>86806.42</v>
          </cell>
          <cell r="P141">
            <v>0</v>
          </cell>
          <cell r="Q141">
            <v>0</v>
          </cell>
          <cell r="R141">
            <v>187522.97999999998</v>
          </cell>
          <cell r="S141">
            <v>187522.97999999998</v>
          </cell>
        </row>
        <row r="142">
          <cell r="C142" t="str">
            <v>HOSPITAL REGIONAL DO Total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100716.56</v>
          </cell>
          <cell r="O142">
            <v>86806.42</v>
          </cell>
          <cell r="P142">
            <v>0</v>
          </cell>
          <cell r="Q142">
            <v>0</v>
          </cell>
          <cell r="R142">
            <v>187522.97999999998</v>
          </cell>
          <cell r="S142">
            <v>187522.97999999998</v>
          </cell>
        </row>
        <row r="143">
          <cell r="C143" t="str">
            <v>HOSPITAL RIOS DOR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101452.8</v>
          </cell>
          <cell r="Q143">
            <v>0</v>
          </cell>
          <cell r="R143">
            <v>101452.8</v>
          </cell>
          <cell r="S143">
            <v>101452.8</v>
          </cell>
        </row>
        <row r="144">
          <cell r="C144" t="str">
            <v>HOSPITAL SAMAR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18750</v>
          </cell>
          <cell r="O144">
            <v>18750</v>
          </cell>
          <cell r="P144">
            <v>18750</v>
          </cell>
          <cell r="Q144">
            <v>18750</v>
          </cell>
          <cell r="R144">
            <v>75000</v>
          </cell>
          <cell r="S144">
            <v>75000</v>
          </cell>
        </row>
        <row r="145">
          <cell r="C145" t="str">
            <v>HOSPITAL SAMARITANO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123329.11</v>
          </cell>
          <cell r="Q145">
            <v>68798.78</v>
          </cell>
          <cell r="R145">
            <v>192127.89</v>
          </cell>
          <cell r="S145">
            <v>192127.89</v>
          </cell>
        </row>
        <row r="146">
          <cell r="C146" t="str">
            <v>HOSPITAL SANCTA MAGG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78200</v>
          </cell>
          <cell r="P146">
            <v>0</v>
          </cell>
          <cell r="Q146">
            <v>0</v>
          </cell>
          <cell r="R146">
            <v>78200</v>
          </cell>
          <cell r="S146">
            <v>78200</v>
          </cell>
        </row>
        <row r="147">
          <cell r="C147" t="str">
            <v>HOSPITAL SANTA CATAR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230900</v>
          </cell>
          <cell r="P147">
            <v>0</v>
          </cell>
          <cell r="Q147">
            <v>0</v>
          </cell>
          <cell r="R147">
            <v>230900</v>
          </cell>
          <cell r="S147">
            <v>230900</v>
          </cell>
        </row>
        <row r="148">
          <cell r="C148" t="str">
            <v>HOSPITAL SANTA CECIL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2356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2356</v>
          </cell>
          <cell r="S148">
            <v>2356</v>
          </cell>
        </row>
        <row r="149">
          <cell r="C149" t="str">
            <v>HOSPITAL SANTA CRUZ</v>
          </cell>
          <cell r="E149">
            <v>21762.22</v>
          </cell>
          <cell r="F149">
            <v>10881.11</v>
          </cell>
          <cell r="G149">
            <v>10881.11</v>
          </cell>
          <cell r="H149">
            <v>10881.11</v>
          </cell>
          <cell r="I149">
            <v>10881.11</v>
          </cell>
          <cell r="J149">
            <v>10881.11</v>
          </cell>
          <cell r="K149">
            <v>10881.11</v>
          </cell>
          <cell r="L149">
            <v>87048.879999999976</v>
          </cell>
          <cell r="M149">
            <v>10881.11</v>
          </cell>
          <cell r="N149">
            <v>10881.11</v>
          </cell>
          <cell r="O149">
            <v>10881.11</v>
          </cell>
          <cell r="P149">
            <v>10881.11</v>
          </cell>
          <cell r="Q149">
            <v>152335.69999999998</v>
          </cell>
          <cell r="R149">
            <v>195860.13999999993</v>
          </cell>
          <cell r="S149">
            <v>282909.0199999999</v>
          </cell>
        </row>
        <row r="150">
          <cell r="C150" t="str">
            <v>HOSPITAL SANTA HELEN</v>
          </cell>
          <cell r="E150">
            <v>182750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182750</v>
          </cell>
          <cell r="M150">
            <v>0</v>
          </cell>
          <cell r="N150">
            <v>0</v>
          </cell>
          <cell r="O150">
            <v>0</v>
          </cell>
          <cell r="P150">
            <v>183600</v>
          </cell>
          <cell r="Q150">
            <v>0</v>
          </cell>
          <cell r="R150">
            <v>183600</v>
          </cell>
          <cell r="S150">
            <v>366350</v>
          </cell>
        </row>
        <row r="151">
          <cell r="C151" t="str">
            <v>HOSPITAL SANTA IZABE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239771.57</v>
          </cell>
          <cell r="Q151">
            <v>8672.57</v>
          </cell>
          <cell r="R151">
            <v>248444.14</v>
          </cell>
          <cell r="S151">
            <v>248444.14</v>
          </cell>
        </row>
        <row r="152">
          <cell r="C152" t="str">
            <v>HOSPITAL SANTA VIRGI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35085.33</v>
          </cell>
          <cell r="P152">
            <v>35085.33</v>
          </cell>
          <cell r="Q152">
            <v>35085.339999999997</v>
          </cell>
          <cell r="R152">
            <v>105256</v>
          </cell>
          <cell r="S152">
            <v>105256</v>
          </cell>
        </row>
        <row r="153">
          <cell r="C153" t="str">
            <v>HOSPITAL SANTOS DUMO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39266.660000000003</v>
          </cell>
          <cell r="O153">
            <v>39266.67</v>
          </cell>
          <cell r="P153">
            <v>39266.67</v>
          </cell>
          <cell r="Q153">
            <v>0</v>
          </cell>
          <cell r="R153">
            <v>117800</v>
          </cell>
          <cell r="S153">
            <v>117800</v>
          </cell>
        </row>
        <row r="154">
          <cell r="C154" t="str">
            <v>HOSPITAL SAO CAMILO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6948.7</v>
          </cell>
          <cell r="O154">
            <v>0</v>
          </cell>
          <cell r="P154">
            <v>503530.58999999997</v>
          </cell>
          <cell r="Q154">
            <v>0</v>
          </cell>
          <cell r="R154">
            <v>510479.29</v>
          </cell>
          <cell r="S154">
            <v>510479.29</v>
          </cell>
        </row>
        <row r="155">
          <cell r="C155" t="str">
            <v>HOSPITAL SAO JOAO DE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55930</v>
          </cell>
          <cell r="P155">
            <v>0</v>
          </cell>
          <cell r="Q155">
            <v>0</v>
          </cell>
          <cell r="R155">
            <v>55930</v>
          </cell>
          <cell r="S155">
            <v>55930</v>
          </cell>
        </row>
        <row r="156">
          <cell r="C156" t="str">
            <v>HOSPITAL SAO LUCAS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118100</v>
          </cell>
          <cell r="Q156">
            <v>0</v>
          </cell>
          <cell r="R156">
            <v>118100</v>
          </cell>
          <cell r="S156">
            <v>118100</v>
          </cell>
        </row>
        <row r="157">
          <cell r="C157" t="str">
            <v>HOSPITAL SAO LUCAS D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9166.67</v>
          </cell>
          <cell r="N157">
            <v>9166.67</v>
          </cell>
          <cell r="O157">
            <v>9166.67</v>
          </cell>
          <cell r="P157">
            <v>181666.67</v>
          </cell>
          <cell r="Q157">
            <v>9166.6299999999992</v>
          </cell>
          <cell r="R157">
            <v>218333.31</v>
          </cell>
          <cell r="S157">
            <v>218333.31</v>
          </cell>
        </row>
        <row r="158">
          <cell r="C158" t="str">
            <v>HOSPITAL SAO PAULO</v>
          </cell>
          <cell r="E158">
            <v>136470.29</v>
          </cell>
          <cell r="F158">
            <v>44799.47</v>
          </cell>
          <cell r="G158">
            <v>44319.31</v>
          </cell>
          <cell r="H158">
            <v>43598.66</v>
          </cell>
          <cell r="I158">
            <v>71981.45</v>
          </cell>
          <cell r="J158">
            <v>105133.91</v>
          </cell>
          <cell r="K158">
            <v>0</v>
          </cell>
          <cell r="L158">
            <v>446303.08999999997</v>
          </cell>
          <cell r="M158">
            <v>43598.66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43598.66</v>
          </cell>
          <cell r="S158">
            <v>489901.75</v>
          </cell>
        </row>
        <row r="159">
          <cell r="C159" t="str">
            <v>HOSPITAL SAO VICENTE</v>
          </cell>
          <cell r="E159">
            <v>0</v>
          </cell>
          <cell r="F159">
            <v>295318.56</v>
          </cell>
          <cell r="G159">
            <v>0</v>
          </cell>
          <cell r="H159">
            <v>0</v>
          </cell>
          <cell r="I159">
            <v>0</v>
          </cell>
          <cell r="J159">
            <v>85231.01</v>
          </cell>
          <cell r="K159">
            <v>186606</v>
          </cell>
          <cell r="L159">
            <v>567155.57000000007</v>
          </cell>
          <cell r="M159">
            <v>42922.45</v>
          </cell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42922.45</v>
          </cell>
          <cell r="S159">
            <v>610078.02</v>
          </cell>
        </row>
        <row r="160">
          <cell r="C160" t="str">
            <v>HOSPITAL SIRIO LIBAN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510170</v>
          </cell>
          <cell r="R160">
            <v>510170</v>
          </cell>
          <cell r="S160">
            <v>510170</v>
          </cell>
        </row>
        <row r="161">
          <cell r="C161" t="str">
            <v>HOSPITAL UNIMED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45250</v>
          </cell>
          <cell r="N161">
            <v>164300</v>
          </cell>
          <cell r="O161">
            <v>164300.01</v>
          </cell>
          <cell r="P161">
            <v>181766.66999999998</v>
          </cell>
          <cell r="Q161">
            <v>335783.32</v>
          </cell>
          <cell r="R161">
            <v>891400</v>
          </cell>
          <cell r="S161">
            <v>891400</v>
          </cell>
        </row>
        <row r="162">
          <cell r="C162" t="str">
            <v>HOSPITAL UNIMED BOTU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131500</v>
          </cell>
          <cell r="P162">
            <v>0</v>
          </cell>
          <cell r="Q162">
            <v>0</v>
          </cell>
          <cell r="R162">
            <v>131500</v>
          </cell>
          <cell r="S162">
            <v>131500</v>
          </cell>
        </row>
        <row r="163">
          <cell r="C163" t="str">
            <v>HOSPITAL UNIMED CAXI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152100</v>
          </cell>
          <cell r="O163">
            <v>0</v>
          </cell>
          <cell r="P163">
            <v>0</v>
          </cell>
          <cell r="Q163">
            <v>0</v>
          </cell>
          <cell r="R163">
            <v>152100</v>
          </cell>
          <cell r="S163">
            <v>152100</v>
          </cell>
        </row>
        <row r="164">
          <cell r="C164" t="str">
            <v>HOSPITAL UNIMED RECI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47499.99</v>
          </cell>
          <cell r="O164">
            <v>121643.72999999998</v>
          </cell>
          <cell r="P164">
            <v>121643.73999999999</v>
          </cell>
          <cell r="Q164">
            <v>195787.53999999998</v>
          </cell>
          <cell r="R164">
            <v>486575</v>
          </cell>
          <cell r="S164">
            <v>486575</v>
          </cell>
        </row>
        <row r="165">
          <cell r="C165" t="str">
            <v>HOSPITAL UNIMED REGI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34483.33</v>
          </cell>
          <cell r="O165">
            <v>151833.33000000002</v>
          </cell>
          <cell r="P165">
            <v>34483.339999999997</v>
          </cell>
          <cell r="Q165">
            <v>0</v>
          </cell>
          <cell r="R165">
            <v>220800</v>
          </cell>
          <cell r="S165">
            <v>220800</v>
          </cell>
        </row>
        <row r="166">
          <cell r="C166" t="str">
            <v>HOSPITAL UNIMED VOLT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35900</v>
          </cell>
          <cell r="O166">
            <v>83110</v>
          </cell>
          <cell r="P166">
            <v>35900</v>
          </cell>
          <cell r="Q166">
            <v>35900</v>
          </cell>
          <cell r="R166">
            <v>190810</v>
          </cell>
          <cell r="S166">
            <v>190810</v>
          </cell>
        </row>
        <row r="167">
          <cell r="C167" t="str">
            <v>HOSPITAL UNIVERSITAR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55467.43</v>
          </cell>
          <cell r="K167">
            <v>42922.54</v>
          </cell>
          <cell r="L167">
            <v>98389.97</v>
          </cell>
          <cell r="M167">
            <v>0</v>
          </cell>
          <cell r="N167">
            <v>140676.74</v>
          </cell>
          <cell r="O167">
            <v>179316.49</v>
          </cell>
          <cell r="P167">
            <v>43654.090000000004</v>
          </cell>
          <cell r="Q167">
            <v>0</v>
          </cell>
          <cell r="R167">
            <v>363647.32</v>
          </cell>
          <cell r="S167">
            <v>462037.29000000004</v>
          </cell>
        </row>
        <row r="168">
          <cell r="C168" t="str">
            <v>HOSPITAL VIDA</v>
          </cell>
          <cell r="E168">
            <v>21214.32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21214.32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21214.32</v>
          </cell>
        </row>
        <row r="169">
          <cell r="C169" t="str">
            <v>HOSPITAL VITA CURITI</v>
          </cell>
          <cell r="E169">
            <v>32455.13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32455.13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32455.13</v>
          </cell>
        </row>
        <row r="170">
          <cell r="C170" t="str">
            <v>HOSPITAL VITORIA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14405</v>
          </cell>
          <cell r="O170">
            <v>0</v>
          </cell>
          <cell r="P170">
            <v>31931.5</v>
          </cell>
          <cell r="Q170">
            <v>168877</v>
          </cell>
          <cell r="R170">
            <v>215213.5</v>
          </cell>
          <cell r="S170">
            <v>215213.5</v>
          </cell>
        </row>
        <row r="171">
          <cell r="C171" t="str">
            <v>HOSPITAL VIVALLE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35667.83</v>
          </cell>
          <cell r="N171">
            <v>0</v>
          </cell>
          <cell r="O171">
            <v>58245.5</v>
          </cell>
          <cell r="P171">
            <v>0</v>
          </cell>
          <cell r="Q171">
            <v>660661.13</v>
          </cell>
          <cell r="R171">
            <v>754574.46000000008</v>
          </cell>
          <cell r="S171">
            <v>754574.46000000008</v>
          </cell>
        </row>
        <row r="172">
          <cell r="C172" t="str">
            <v>HS COR SERVICOS DE H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5120</v>
          </cell>
          <cell r="J172">
            <v>0</v>
          </cell>
          <cell r="K172">
            <v>0</v>
          </cell>
          <cell r="L172">
            <v>5120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0</v>
          </cell>
          <cell r="S172">
            <v>5120</v>
          </cell>
        </row>
        <row r="173">
          <cell r="C173" t="str">
            <v>HUGOL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35000</v>
          </cell>
          <cell r="O173">
            <v>0</v>
          </cell>
          <cell r="P173">
            <v>0</v>
          </cell>
          <cell r="Q173">
            <v>0</v>
          </cell>
          <cell r="R173">
            <v>35000</v>
          </cell>
          <cell r="S173">
            <v>35000</v>
          </cell>
        </row>
        <row r="174">
          <cell r="C174" t="str">
            <v>HUMANA SAUDE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0</v>
          </cell>
          <cell r="P174">
            <v>60200</v>
          </cell>
          <cell r="Q174">
            <v>0</v>
          </cell>
          <cell r="R174">
            <v>60200</v>
          </cell>
          <cell r="S174">
            <v>60200</v>
          </cell>
        </row>
        <row r="175">
          <cell r="C175" t="str">
            <v>IBG SAUDE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39238.339999999997</v>
          </cell>
          <cell r="O175">
            <v>0</v>
          </cell>
          <cell r="P175">
            <v>39238.339999999997</v>
          </cell>
          <cell r="Q175">
            <v>0</v>
          </cell>
          <cell r="R175">
            <v>78476.679999999993</v>
          </cell>
          <cell r="S175">
            <v>78476.679999999993</v>
          </cell>
        </row>
        <row r="176">
          <cell r="C176" t="str">
            <v>INSTITUTO DE ANGIOLO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183600</v>
          </cell>
          <cell r="Q176">
            <v>0</v>
          </cell>
          <cell r="R176">
            <v>183600</v>
          </cell>
          <cell r="S176">
            <v>183600</v>
          </cell>
        </row>
        <row r="177">
          <cell r="C177" t="str">
            <v>INTRAMEDICAL COMERCI</v>
          </cell>
          <cell r="E177">
            <v>23400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23400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23400</v>
          </cell>
        </row>
        <row r="178">
          <cell r="C178" t="str">
            <v>IRMANDADE DA SANTA C</v>
          </cell>
          <cell r="E178">
            <v>104976.62999999999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27483</v>
          </cell>
          <cell r="K178">
            <v>0</v>
          </cell>
          <cell r="L178">
            <v>132459.63</v>
          </cell>
          <cell r="M178">
            <v>45333.75</v>
          </cell>
          <cell r="N178">
            <v>36299.58</v>
          </cell>
          <cell r="O178">
            <v>58690.75</v>
          </cell>
          <cell r="P178">
            <v>37868.770000000004</v>
          </cell>
          <cell r="Q178">
            <v>52464.07</v>
          </cell>
          <cell r="R178">
            <v>230656.92000000004</v>
          </cell>
          <cell r="S178">
            <v>363116.55000000005</v>
          </cell>
        </row>
        <row r="179">
          <cell r="C179" t="str">
            <v>KLINI PLANOS DE SAUD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40683.49</v>
          </cell>
          <cell r="O179">
            <v>40683.49</v>
          </cell>
          <cell r="P179">
            <v>40683.49</v>
          </cell>
          <cell r="Q179">
            <v>325467.87</v>
          </cell>
          <cell r="R179">
            <v>447518.33999999997</v>
          </cell>
          <cell r="S179">
            <v>447518.33999999997</v>
          </cell>
        </row>
        <row r="180">
          <cell r="C180" t="str">
            <v>LACIC - RONDONOPOLIS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161000</v>
          </cell>
          <cell r="O180">
            <v>0</v>
          </cell>
          <cell r="P180">
            <v>0</v>
          </cell>
          <cell r="Q180">
            <v>0</v>
          </cell>
          <cell r="R180">
            <v>161000</v>
          </cell>
          <cell r="S180">
            <v>161000</v>
          </cell>
        </row>
        <row r="181">
          <cell r="C181" t="str">
            <v>LEVE SAUDE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30796</v>
          </cell>
          <cell r="P181">
            <v>0</v>
          </cell>
          <cell r="Q181">
            <v>0</v>
          </cell>
          <cell r="R181">
            <v>30796</v>
          </cell>
          <cell r="S181">
            <v>30796</v>
          </cell>
        </row>
        <row r="182">
          <cell r="C182" t="str">
            <v>LIV SAUDE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5437.95</v>
          </cell>
          <cell r="N182">
            <v>124040.68</v>
          </cell>
          <cell r="O182">
            <v>124040.72</v>
          </cell>
          <cell r="P182">
            <v>0</v>
          </cell>
          <cell r="Q182">
            <v>0</v>
          </cell>
          <cell r="R182">
            <v>253519.35</v>
          </cell>
          <cell r="S182">
            <v>253519.35</v>
          </cell>
        </row>
        <row r="183">
          <cell r="C183" t="str">
            <v>MAIS SAUDE SANTA CAS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>
            <v>19363.330000000002</v>
          </cell>
          <cell r="O183">
            <v>19363.330000000002</v>
          </cell>
          <cell r="P183">
            <v>19363.34</v>
          </cell>
          <cell r="Q183">
            <v>0</v>
          </cell>
          <cell r="R183">
            <v>58090</v>
          </cell>
          <cell r="S183">
            <v>58090</v>
          </cell>
        </row>
        <row r="184">
          <cell r="C184" t="str">
            <v>MED INOVACAO</v>
          </cell>
          <cell r="E184">
            <v>0</v>
          </cell>
          <cell r="F184">
            <v>0</v>
          </cell>
          <cell r="G184">
            <v>0</v>
          </cell>
          <cell r="H184">
            <v>60090</v>
          </cell>
          <cell r="I184">
            <v>159570</v>
          </cell>
          <cell r="J184">
            <v>141220</v>
          </cell>
          <cell r="K184">
            <v>81310</v>
          </cell>
          <cell r="L184">
            <v>442190</v>
          </cell>
          <cell r="M184">
            <v>46520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46520</v>
          </cell>
          <cell r="S184">
            <v>488710</v>
          </cell>
        </row>
        <row r="185">
          <cell r="C185" t="str">
            <v>MEDSENIOR</v>
          </cell>
          <cell r="E185">
            <v>34444.6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34444.6</v>
          </cell>
          <cell r="M185">
            <v>0</v>
          </cell>
          <cell r="N185">
            <v>0</v>
          </cell>
          <cell r="O185">
            <v>552531.6</v>
          </cell>
          <cell r="P185">
            <v>0</v>
          </cell>
          <cell r="Q185">
            <v>0</v>
          </cell>
          <cell r="R185">
            <v>552531.6</v>
          </cell>
          <cell r="S185">
            <v>586976.19999999995</v>
          </cell>
        </row>
        <row r="186">
          <cell r="C186" t="str">
            <v>MED-WAY</v>
          </cell>
          <cell r="E186">
            <v>47097.5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47097.5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47097.5</v>
          </cell>
        </row>
        <row r="187">
          <cell r="C187" t="str">
            <v>NEUROCOR - MS DIAGNO</v>
          </cell>
          <cell r="E187">
            <v>88600</v>
          </cell>
          <cell r="F187">
            <v>0</v>
          </cell>
          <cell r="G187">
            <v>0</v>
          </cell>
          <cell r="H187">
            <v>58705.33</v>
          </cell>
          <cell r="I187">
            <v>0</v>
          </cell>
          <cell r="J187">
            <v>0</v>
          </cell>
          <cell r="K187">
            <v>0</v>
          </cell>
          <cell r="L187">
            <v>147305.33000000002</v>
          </cell>
          <cell r="M187">
            <v>70500</v>
          </cell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70500</v>
          </cell>
          <cell r="S187">
            <v>217805.33000000002</v>
          </cell>
        </row>
        <row r="188">
          <cell r="C188" t="str">
            <v>NITEROI D´OR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  <cell r="O188">
            <v>0</v>
          </cell>
          <cell r="P188">
            <v>0</v>
          </cell>
          <cell r="Q188">
            <v>158022</v>
          </cell>
          <cell r="R188">
            <v>158022</v>
          </cell>
          <cell r="S188">
            <v>158022</v>
          </cell>
        </row>
        <row r="189">
          <cell r="C189" t="str">
            <v>NOSSA SAUDE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27002.5</v>
          </cell>
          <cell r="N189">
            <v>14317.5</v>
          </cell>
          <cell r="O189">
            <v>14317.5</v>
          </cell>
          <cell r="P189">
            <v>14317.5</v>
          </cell>
          <cell r="Q189">
            <v>0</v>
          </cell>
          <cell r="R189">
            <v>69955</v>
          </cell>
          <cell r="S189">
            <v>69955</v>
          </cell>
        </row>
        <row r="190">
          <cell r="C190" t="str">
            <v>NOTRE DAME INTERMEDI</v>
          </cell>
          <cell r="E190">
            <v>125465.25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125465.25</v>
          </cell>
          <cell r="M190">
            <v>0</v>
          </cell>
          <cell r="N190">
            <v>101392.51999999999</v>
          </cell>
          <cell r="O190">
            <v>6587.9</v>
          </cell>
          <cell r="P190">
            <v>0</v>
          </cell>
          <cell r="Q190">
            <v>0</v>
          </cell>
          <cell r="R190">
            <v>107980.42</v>
          </cell>
          <cell r="S190">
            <v>233445.66999999998</v>
          </cell>
        </row>
        <row r="191">
          <cell r="C191" t="str">
            <v>NOVO HOSPITAL ROD -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93368.95</v>
          </cell>
          <cell r="P191">
            <v>0</v>
          </cell>
          <cell r="Q191">
            <v>0</v>
          </cell>
          <cell r="R191">
            <v>93368.95</v>
          </cell>
          <cell r="S191">
            <v>93368.95</v>
          </cell>
        </row>
        <row r="192">
          <cell r="C192" t="str">
            <v>OPLAN SAUDE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5244</v>
          </cell>
          <cell r="L192">
            <v>5244</v>
          </cell>
          <cell r="M192">
            <v>10967.55</v>
          </cell>
          <cell r="N192">
            <v>0</v>
          </cell>
          <cell r="O192">
            <v>0</v>
          </cell>
          <cell r="P192">
            <v>0</v>
          </cell>
          <cell r="Q192">
            <v>0</v>
          </cell>
          <cell r="R192">
            <v>10967.55</v>
          </cell>
          <cell r="S192">
            <v>16211.55</v>
          </cell>
        </row>
        <row r="193">
          <cell r="C193" t="str">
            <v>PLANO SANTA SAUDE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21600</v>
          </cell>
          <cell r="K193">
            <v>21600</v>
          </cell>
          <cell r="L193">
            <v>43200</v>
          </cell>
          <cell r="M193">
            <v>10800</v>
          </cell>
          <cell r="N193">
            <v>19483.330000000002</v>
          </cell>
          <cell r="O193">
            <v>116900</v>
          </cell>
          <cell r="P193">
            <v>57206.67</v>
          </cell>
          <cell r="Q193">
            <v>0</v>
          </cell>
          <cell r="R193">
            <v>204390</v>
          </cell>
          <cell r="S193">
            <v>247590</v>
          </cell>
        </row>
        <row r="194">
          <cell r="C194" t="str">
            <v>PLANSUL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96482.34</v>
          </cell>
          <cell r="O194">
            <v>0</v>
          </cell>
          <cell r="P194">
            <v>0</v>
          </cell>
          <cell r="Q194">
            <v>0</v>
          </cell>
          <cell r="R194">
            <v>96482.34</v>
          </cell>
          <cell r="S194">
            <v>96482.34</v>
          </cell>
        </row>
        <row r="195">
          <cell r="C195" t="str">
            <v>PLENA COMÉRCIO E REP</v>
          </cell>
          <cell r="E195">
            <v>9600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9600</v>
          </cell>
          <cell r="M195">
            <v>0</v>
          </cell>
          <cell r="N195">
            <v>0</v>
          </cell>
          <cell r="O195">
            <v>0</v>
          </cell>
          <cell r="P195">
            <v>0</v>
          </cell>
          <cell r="Q195">
            <v>0</v>
          </cell>
          <cell r="R195">
            <v>0</v>
          </cell>
          <cell r="S195">
            <v>9600</v>
          </cell>
        </row>
        <row r="196">
          <cell r="C196" t="str">
            <v>PLENA SAUDE S.A.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11467.97</v>
          </cell>
          <cell r="O196">
            <v>11467.97</v>
          </cell>
          <cell r="P196">
            <v>10156.969999999999</v>
          </cell>
          <cell r="Q196">
            <v>10156.950000000001</v>
          </cell>
          <cell r="R196">
            <v>43249.86</v>
          </cell>
          <cell r="S196">
            <v>43249.86</v>
          </cell>
        </row>
        <row r="197">
          <cell r="C197" t="str">
            <v>POLICLIN SAUDE S A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14159.8</v>
          </cell>
          <cell r="O197">
            <v>0</v>
          </cell>
          <cell r="P197">
            <v>0</v>
          </cell>
          <cell r="Q197">
            <v>0</v>
          </cell>
          <cell r="R197">
            <v>14159.8</v>
          </cell>
          <cell r="S197">
            <v>14159.8</v>
          </cell>
        </row>
        <row r="198">
          <cell r="C198" t="str">
            <v>PORTO SEGURO - SEGUR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196190.45</v>
          </cell>
          <cell r="O198">
            <v>0</v>
          </cell>
          <cell r="P198">
            <v>0</v>
          </cell>
          <cell r="Q198">
            <v>0</v>
          </cell>
          <cell r="R198">
            <v>196190.45</v>
          </cell>
          <cell r="S198">
            <v>196190.45</v>
          </cell>
        </row>
        <row r="199">
          <cell r="C199" t="str">
            <v>POSTAL SAUDE</v>
          </cell>
          <cell r="E199">
            <v>43159</v>
          </cell>
          <cell r="F199">
            <v>12000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55159</v>
          </cell>
          <cell r="M199">
            <v>0</v>
          </cell>
          <cell r="N199">
            <v>0</v>
          </cell>
          <cell r="O199">
            <v>0</v>
          </cell>
          <cell r="P199">
            <v>44582.380000000005</v>
          </cell>
          <cell r="Q199">
            <v>0</v>
          </cell>
          <cell r="R199">
            <v>44582.380000000005</v>
          </cell>
          <cell r="S199">
            <v>99741.38</v>
          </cell>
        </row>
        <row r="200">
          <cell r="C200" t="str">
            <v>PROCORDIS S/A</v>
          </cell>
          <cell r="E200">
            <v>39000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39000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39000</v>
          </cell>
        </row>
        <row r="201">
          <cell r="C201" t="str">
            <v>PROGRAMA DE ASSISTEN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41033.339999999997</v>
          </cell>
          <cell r="K201">
            <v>0</v>
          </cell>
          <cell r="L201">
            <v>41033.339999999997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Q201">
            <v>0</v>
          </cell>
          <cell r="R201">
            <v>0</v>
          </cell>
          <cell r="S201">
            <v>41033.339999999997</v>
          </cell>
        </row>
        <row r="202">
          <cell r="C202" t="str">
            <v>PROMEDICA PATRIMONIA</v>
          </cell>
          <cell r="E202">
            <v>10680</v>
          </cell>
          <cell r="F202">
            <v>5340</v>
          </cell>
          <cell r="G202">
            <v>0</v>
          </cell>
          <cell r="H202">
            <v>2866</v>
          </cell>
          <cell r="I202">
            <v>0</v>
          </cell>
          <cell r="J202">
            <v>0</v>
          </cell>
          <cell r="K202">
            <v>22900</v>
          </cell>
          <cell r="L202">
            <v>41786</v>
          </cell>
          <cell r="M202">
            <v>22900</v>
          </cell>
          <cell r="N202">
            <v>32944.240000000005</v>
          </cell>
          <cell r="O202">
            <v>42264.259999999995</v>
          </cell>
          <cell r="P202">
            <v>18640</v>
          </cell>
          <cell r="Q202">
            <v>0</v>
          </cell>
          <cell r="R202">
            <v>116748.5</v>
          </cell>
          <cell r="S202">
            <v>158534.5</v>
          </cell>
        </row>
        <row r="203">
          <cell r="C203" t="str">
            <v>PRONCOR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339856</v>
          </cell>
          <cell r="Q203">
            <v>0</v>
          </cell>
          <cell r="R203">
            <v>339856</v>
          </cell>
          <cell r="S203">
            <v>339856</v>
          </cell>
        </row>
        <row r="204">
          <cell r="C204" t="str">
            <v>PRONTO S.CARDIOLOGIC</v>
          </cell>
          <cell r="E204">
            <v>9565.99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9565.99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9565.99</v>
          </cell>
        </row>
        <row r="205">
          <cell r="C205" t="str">
            <v>PRONTOCARDIO PRONTO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1390.65</v>
          </cell>
          <cell r="O205">
            <v>1390.65</v>
          </cell>
          <cell r="P205">
            <v>1390.65</v>
          </cell>
          <cell r="Q205">
            <v>200253.59999999948</v>
          </cell>
          <cell r="R205">
            <v>204425.54999999946</v>
          </cell>
          <cell r="S205">
            <v>204425.54999999946</v>
          </cell>
        </row>
        <row r="206">
          <cell r="C206" t="str">
            <v>PRONTOCOR</v>
          </cell>
          <cell r="E206">
            <v>498737.03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498737.03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  <cell r="S206">
            <v>498737.03</v>
          </cell>
        </row>
        <row r="207">
          <cell r="C207" t="str">
            <v>PROTECARDIO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23550</v>
          </cell>
          <cell r="Q207">
            <v>23550</v>
          </cell>
          <cell r="R207">
            <v>47100</v>
          </cell>
          <cell r="S207">
            <v>47100</v>
          </cell>
        </row>
        <row r="208">
          <cell r="C208" t="str">
            <v>RADIOCLINIC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58295</v>
          </cell>
          <cell r="P208">
            <v>183275</v>
          </cell>
          <cell r="Q208">
            <v>0</v>
          </cell>
          <cell r="R208">
            <v>241570</v>
          </cell>
          <cell r="S208">
            <v>241570</v>
          </cell>
        </row>
        <row r="209">
          <cell r="C209" t="str">
            <v>REAL E BENEMERITA AS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119801.05</v>
          </cell>
          <cell r="L209">
            <v>119801.05</v>
          </cell>
          <cell r="M209">
            <v>489593.8</v>
          </cell>
          <cell r="N209">
            <v>119757.53</v>
          </cell>
          <cell r="O209">
            <v>41033</v>
          </cell>
          <cell r="P209">
            <v>0</v>
          </cell>
          <cell r="Q209">
            <v>0</v>
          </cell>
          <cell r="R209">
            <v>650384.33000000007</v>
          </cell>
          <cell r="S209">
            <v>770185.38000000012</v>
          </cell>
        </row>
        <row r="210">
          <cell r="C210" t="str">
            <v>REAL GRANDEZA FUNDAC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130926</v>
          </cell>
          <cell r="O210">
            <v>0</v>
          </cell>
          <cell r="P210">
            <v>0</v>
          </cell>
          <cell r="Q210">
            <v>0</v>
          </cell>
          <cell r="R210">
            <v>130926</v>
          </cell>
          <cell r="S210">
            <v>130926</v>
          </cell>
        </row>
        <row r="211">
          <cell r="C211" t="str">
            <v>REAL HOSPITAL PORTUG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43358.28</v>
          </cell>
          <cell r="O211">
            <v>99500</v>
          </cell>
          <cell r="P211">
            <v>0</v>
          </cell>
          <cell r="Q211">
            <v>0</v>
          </cell>
          <cell r="R211">
            <v>142858.28</v>
          </cell>
          <cell r="S211">
            <v>142858.28</v>
          </cell>
        </row>
        <row r="212">
          <cell r="C212" t="str">
            <v>REDE PRIMAVERA - HOS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22873.200000000001</v>
          </cell>
          <cell r="K212">
            <v>0</v>
          </cell>
          <cell r="L212">
            <v>22873.200000000001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0</v>
          </cell>
          <cell r="S212">
            <v>22873.200000000001</v>
          </cell>
        </row>
        <row r="213">
          <cell r="C213" t="str">
            <v>SAGRADA FAMILIA SAUD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35467.800000000003</v>
          </cell>
          <cell r="O213">
            <v>59480.649999999994</v>
          </cell>
          <cell r="P213">
            <v>0</v>
          </cell>
          <cell r="Q213">
            <v>0</v>
          </cell>
          <cell r="R213">
            <v>94948.45</v>
          </cell>
          <cell r="S213">
            <v>94948.45</v>
          </cell>
        </row>
        <row r="214">
          <cell r="C214" t="str">
            <v>SAMEL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68337.5</v>
          </cell>
          <cell r="O214">
            <v>68337.5</v>
          </cell>
          <cell r="P214">
            <v>68337.5</v>
          </cell>
          <cell r="Q214">
            <v>68337.5</v>
          </cell>
          <cell r="R214">
            <v>273350</v>
          </cell>
          <cell r="S214">
            <v>273350</v>
          </cell>
        </row>
        <row r="215">
          <cell r="C215" t="str">
            <v>SANTA CASA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88481.88</v>
          </cell>
          <cell r="J215">
            <v>0</v>
          </cell>
          <cell r="K215">
            <v>0</v>
          </cell>
          <cell r="L215">
            <v>88481.88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88481.88</v>
          </cell>
        </row>
        <row r="216">
          <cell r="C216" t="str">
            <v>SANTA CASA DE MARING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28650</v>
          </cell>
          <cell r="O216">
            <v>28650</v>
          </cell>
          <cell r="P216">
            <v>0</v>
          </cell>
          <cell r="Q216">
            <v>0</v>
          </cell>
          <cell r="R216">
            <v>57300</v>
          </cell>
          <cell r="S216">
            <v>57300</v>
          </cell>
        </row>
        <row r="217">
          <cell r="C217" t="str">
            <v>SANTA CASA DE MISERI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42925</v>
          </cell>
          <cell r="K217">
            <v>151523.66</v>
          </cell>
          <cell r="L217">
            <v>194448.66</v>
          </cell>
          <cell r="M217">
            <v>0</v>
          </cell>
          <cell r="N217">
            <v>236900</v>
          </cell>
          <cell r="O217">
            <v>0</v>
          </cell>
          <cell r="P217">
            <v>0</v>
          </cell>
          <cell r="Q217">
            <v>0</v>
          </cell>
          <cell r="R217">
            <v>236900</v>
          </cell>
          <cell r="S217">
            <v>431348.66000000003</v>
          </cell>
        </row>
        <row r="218">
          <cell r="C218" t="str">
            <v>SANTA CASA DE SANTOS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101922</v>
          </cell>
          <cell r="O218">
            <v>9497</v>
          </cell>
          <cell r="P218">
            <v>0</v>
          </cell>
          <cell r="Q218">
            <v>0</v>
          </cell>
          <cell r="R218">
            <v>111419</v>
          </cell>
          <cell r="S218">
            <v>111419</v>
          </cell>
        </row>
        <row r="219">
          <cell r="C219" t="str">
            <v>SANTA CASA DE SÃO PA</v>
          </cell>
          <cell r="E219">
            <v>186000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186000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0</v>
          </cell>
          <cell r="S219">
            <v>186000</v>
          </cell>
        </row>
        <row r="220">
          <cell r="C220" t="str">
            <v>SANTA HELENA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200757.32</v>
          </cell>
          <cell r="Q220">
            <v>0</v>
          </cell>
          <cell r="R220">
            <v>200757.32</v>
          </cell>
          <cell r="S220">
            <v>200757.32</v>
          </cell>
        </row>
        <row r="221">
          <cell r="C221" t="str">
            <v>SÃO FRANCISCO VIDA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16041.01</v>
          </cell>
          <cell r="O221">
            <v>11661.67</v>
          </cell>
          <cell r="P221">
            <v>11661.66</v>
          </cell>
          <cell r="Q221">
            <v>0</v>
          </cell>
          <cell r="R221">
            <v>39364.339999999997</v>
          </cell>
          <cell r="S221">
            <v>39364.339999999997</v>
          </cell>
        </row>
        <row r="222">
          <cell r="C222" t="str">
            <v>SAO JOSE DE PIRANHAS</v>
          </cell>
          <cell r="E222">
            <v>41990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41990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41990</v>
          </cell>
        </row>
        <row r="223">
          <cell r="C223" t="str">
            <v>SAO LUIZ - UNIDADE A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105649.33</v>
          </cell>
          <cell r="R223">
            <v>105649.33</v>
          </cell>
          <cell r="S223">
            <v>105649.33</v>
          </cell>
        </row>
        <row r="224">
          <cell r="C224" t="str">
            <v>SAO LUIZ - UNIDADE M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>
            <v>1500</v>
          </cell>
          <cell r="R224">
            <v>1500</v>
          </cell>
          <cell r="S224">
            <v>1500</v>
          </cell>
        </row>
        <row r="225">
          <cell r="C225" t="str">
            <v>SAO LUIZ OSASCO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0</v>
          </cell>
          <cell r="P225">
            <v>0</v>
          </cell>
          <cell r="Q225">
            <v>78283.289999999994</v>
          </cell>
          <cell r="R225">
            <v>78283.289999999994</v>
          </cell>
          <cell r="S225">
            <v>78283.289999999994</v>
          </cell>
        </row>
        <row r="226">
          <cell r="C226" t="str">
            <v>SEGUROS UNIMED</v>
          </cell>
          <cell r="E226">
            <v>70000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70000</v>
          </cell>
          <cell r="M226">
            <v>0</v>
          </cell>
          <cell r="N226">
            <v>221724</v>
          </cell>
          <cell r="O226">
            <v>0</v>
          </cell>
          <cell r="P226">
            <v>0</v>
          </cell>
          <cell r="Q226">
            <v>0</v>
          </cell>
          <cell r="R226">
            <v>221724</v>
          </cell>
          <cell r="S226">
            <v>291724</v>
          </cell>
        </row>
        <row r="227">
          <cell r="C227" t="str">
            <v>SELECT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>
            <v>97943.01</v>
          </cell>
          <cell r="O227">
            <v>97943.01</v>
          </cell>
          <cell r="P227">
            <v>88750</v>
          </cell>
          <cell r="Q227">
            <v>88750</v>
          </cell>
          <cell r="R227">
            <v>373386.02</v>
          </cell>
          <cell r="S227">
            <v>373386.02</v>
          </cell>
        </row>
        <row r="228">
          <cell r="C228" t="str">
            <v>SERMED SERVIÇO MEDIC</v>
          </cell>
          <cell r="E228">
            <v>6600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6600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0</v>
          </cell>
          <cell r="S228">
            <v>6600</v>
          </cell>
        </row>
        <row r="229">
          <cell r="C229" t="str">
            <v>SERVIMED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62310</v>
          </cell>
          <cell r="O229">
            <v>89100</v>
          </cell>
          <cell r="P229">
            <v>0</v>
          </cell>
          <cell r="Q229">
            <v>0</v>
          </cell>
          <cell r="R229">
            <v>151410</v>
          </cell>
          <cell r="S229">
            <v>151410</v>
          </cell>
        </row>
        <row r="230">
          <cell r="C230" t="str">
            <v>SES MT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  <cell r="O230">
            <v>0</v>
          </cell>
          <cell r="P230">
            <v>273326.67</v>
          </cell>
          <cell r="Q230">
            <v>0</v>
          </cell>
          <cell r="R230">
            <v>273326.67</v>
          </cell>
          <cell r="S230">
            <v>273326.67</v>
          </cell>
        </row>
        <row r="231">
          <cell r="C231" t="str">
            <v>SILVESTRE SAUDE</v>
          </cell>
          <cell r="E231">
            <v>0</v>
          </cell>
          <cell r="F231">
            <v>0</v>
          </cell>
          <cell r="G231">
            <v>0</v>
          </cell>
          <cell r="H231">
            <v>3186.92</v>
          </cell>
          <cell r="I231">
            <v>1593.46</v>
          </cell>
          <cell r="J231">
            <v>0</v>
          </cell>
          <cell r="K231">
            <v>0</v>
          </cell>
          <cell r="L231">
            <v>4780.38</v>
          </cell>
          <cell r="M231">
            <v>0</v>
          </cell>
          <cell r="N231">
            <v>4640.8999999999996</v>
          </cell>
          <cell r="O231">
            <v>9281.7999999999993</v>
          </cell>
          <cell r="P231">
            <v>9281.7999999999993</v>
          </cell>
          <cell r="Q231">
            <v>0</v>
          </cell>
          <cell r="R231">
            <v>23204.5</v>
          </cell>
          <cell r="S231">
            <v>27984.880000000001</v>
          </cell>
        </row>
        <row r="232">
          <cell r="C232" t="str">
            <v>SMH SOCIEDADE MEDICO</v>
          </cell>
          <cell r="E232">
            <v>14788.12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14788.12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14788.12</v>
          </cell>
        </row>
        <row r="233">
          <cell r="C233" t="str">
            <v>SOCIEDADE B H SANTA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53269.73</v>
          </cell>
          <cell r="O233">
            <v>53269.73</v>
          </cell>
          <cell r="P233">
            <v>53269.74</v>
          </cell>
          <cell r="Q233">
            <v>0</v>
          </cell>
          <cell r="R233">
            <v>159809.20000000001</v>
          </cell>
          <cell r="S233">
            <v>159809.20000000001</v>
          </cell>
        </row>
        <row r="234">
          <cell r="C234" t="str">
            <v>SONICARDIO</v>
          </cell>
          <cell r="E234">
            <v>0</v>
          </cell>
          <cell r="F234">
            <v>0</v>
          </cell>
          <cell r="G234">
            <v>0</v>
          </cell>
          <cell r="H234">
            <v>48750</v>
          </cell>
          <cell r="I234">
            <v>48750</v>
          </cell>
          <cell r="J234">
            <v>48750</v>
          </cell>
          <cell r="K234">
            <v>48750</v>
          </cell>
          <cell r="L234">
            <v>195000</v>
          </cell>
          <cell r="M234">
            <v>0</v>
          </cell>
          <cell r="N234">
            <v>27775</v>
          </cell>
          <cell r="O234">
            <v>27775</v>
          </cell>
          <cell r="P234">
            <v>27775</v>
          </cell>
          <cell r="Q234">
            <v>27775</v>
          </cell>
          <cell r="R234">
            <v>111100</v>
          </cell>
          <cell r="S234">
            <v>306100</v>
          </cell>
        </row>
        <row r="235">
          <cell r="C235" t="str">
            <v>SUL AMERICA COMPANHI</v>
          </cell>
          <cell r="E235">
            <v>0</v>
          </cell>
          <cell r="F235">
            <v>0</v>
          </cell>
          <cell r="G235">
            <v>0</v>
          </cell>
          <cell r="H235">
            <v>195840</v>
          </cell>
          <cell r="I235">
            <v>0</v>
          </cell>
          <cell r="J235">
            <v>0</v>
          </cell>
          <cell r="K235">
            <v>0</v>
          </cell>
          <cell r="L235">
            <v>195840</v>
          </cell>
          <cell r="M235">
            <v>0</v>
          </cell>
          <cell r="N235">
            <v>775499.63</v>
          </cell>
          <cell r="O235">
            <v>910327.87</v>
          </cell>
          <cell r="P235">
            <v>0</v>
          </cell>
          <cell r="Q235">
            <v>0</v>
          </cell>
          <cell r="R235">
            <v>1685827.5</v>
          </cell>
          <cell r="S235">
            <v>1881667.5</v>
          </cell>
        </row>
        <row r="236">
          <cell r="C236" t="str">
            <v>SUL AMERICA SERVICOS</v>
          </cell>
          <cell r="E236">
            <v>24140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24140</v>
          </cell>
          <cell r="M236">
            <v>0</v>
          </cell>
          <cell r="N236">
            <v>51767</v>
          </cell>
          <cell r="O236">
            <v>251382</v>
          </cell>
          <cell r="P236">
            <v>0</v>
          </cell>
          <cell r="Q236">
            <v>0</v>
          </cell>
          <cell r="R236">
            <v>303149</v>
          </cell>
          <cell r="S236">
            <v>327289</v>
          </cell>
        </row>
        <row r="237">
          <cell r="C237" t="str">
            <v>SURGMED COMERCIO IMP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67310</v>
          </cell>
          <cell r="O237">
            <v>61560</v>
          </cell>
          <cell r="P237">
            <v>54000</v>
          </cell>
          <cell r="Q237">
            <v>36000</v>
          </cell>
          <cell r="R237">
            <v>218870</v>
          </cell>
          <cell r="S237">
            <v>218870</v>
          </cell>
        </row>
        <row r="238">
          <cell r="C238" t="str">
            <v>SURGMED COMERCIO IMP Total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67310</v>
          </cell>
          <cell r="O238">
            <v>61560</v>
          </cell>
          <cell r="P238">
            <v>54000</v>
          </cell>
          <cell r="Q238">
            <v>36000</v>
          </cell>
          <cell r="R238">
            <v>218870</v>
          </cell>
          <cell r="S238">
            <v>218870</v>
          </cell>
        </row>
        <row r="239">
          <cell r="C239" t="str">
            <v>TOTAL MEDCARE</v>
          </cell>
          <cell r="E239">
            <v>49370.06</v>
          </cell>
          <cell r="F239">
            <v>24685.030000000002</v>
          </cell>
          <cell r="G239">
            <v>24685.010000000002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98740.1</v>
          </cell>
          <cell r="M239">
            <v>0</v>
          </cell>
          <cell r="N239">
            <v>0</v>
          </cell>
          <cell r="O239">
            <v>0</v>
          </cell>
          <cell r="P239">
            <v>0</v>
          </cell>
          <cell r="Q239">
            <v>0</v>
          </cell>
          <cell r="R239">
            <v>0</v>
          </cell>
          <cell r="S239">
            <v>98740.1</v>
          </cell>
        </row>
        <row r="240">
          <cell r="C240" t="str">
            <v>UNICA ASSISTENCIA ME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8827.35</v>
          </cell>
          <cell r="P240">
            <v>0</v>
          </cell>
          <cell r="Q240">
            <v>0</v>
          </cell>
          <cell r="R240">
            <v>8827.35</v>
          </cell>
          <cell r="S240">
            <v>8827.35</v>
          </cell>
        </row>
        <row r="241">
          <cell r="C241" t="str">
            <v>UNIDADE DE DOENÇAS C</v>
          </cell>
          <cell r="E241">
            <v>195507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195507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Q241">
            <v>0</v>
          </cell>
          <cell r="R241">
            <v>0</v>
          </cell>
          <cell r="S241">
            <v>195507</v>
          </cell>
        </row>
        <row r="242">
          <cell r="C242" t="str">
            <v>UNIMAGEM UNIDADE DE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41345</v>
          </cell>
          <cell r="P242">
            <v>0</v>
          </cell>
          <cell r="Q242">
            <v>0</v>
          </cell>
          <cell r="R242">
            <v>41345</v>
          </cell>
          <cell r="S242">
            <v>41345</v>
          </cell>
        </row>
        <row r="243">
          <cell r="C243" t="str">
            <v>UNIMED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518000</v>
          </cell>
          <cell r="N243">
            <v>0</v>
          </cell>
          <cell r="O243">
            <v>617546.42999999993</v>
          </cell>
          <cell r="P243">
            <v>0</v>
          </cell>
          <cell r="Q243">
            <v>0</v>
          </cell>
          <cell r="R243">
            <v>1135546.43</v>
          </cell>
          <cell r="S243">
            <v>1135546.43</v>
          </cell>
        </row>
        <row r="244">
          <cell r="C244" t="str">
            <v>UNIMED CAMPO GRANDE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  <cell r="M244">
            <v>64940</v>
          </cell>
          <cell r="N244">
            <v>105070</v>
          </cell>
          <cell r="O244">
            <v>0</v>
          </cell>
          <cell r="P244">
            <v>0</v>
          </cell>
          <cell r="Q244">
            <v>0</v>
          </cell>
          <cell r="R244">
            <v>170010</v>
          </cell>
          <cell r="S244">
            <v>170010</v>
          </cell>
        </row>
        <row r="245">
          <cell r="C245" t="str">
            <v>UNIMED CENTRO SUL FL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  <cell r="N245">
            <v>20594</v>
          </cell>
          <cell r="O245">
            <v>0</v>
          </cell>
          <cell r="P245">
            <v>0</v>
          </cell>
          <cell r="Q245">
            <v>0</v>
          </cell>
          <cell r="R245">
            <v>20594</v>
          </cell>
          <cell r="S245">
            <v>20594</v>
          </cell>
        </row>
        <row r="246">
          <cell r="C246" t="str">
            <v>UNIMED COSTA DO DESC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  <cell r="N246">
            <v>0</v>
          </cell>
          <cell r="O246">
            <v>66446.89</v>
          </cell>
          <cell r="P246">
            <v>0</v>
          </cell>
          <cell r="Q246">
            <v>0</v>
          </cell>
          <cell r="R246">
            <v>66446.89</v>
          </cell>
          <cell r="S246">
            <v>66446.89</v>
          </cell>
        </row>
        <row r="247">
          <cell r="C247" t="str">
            <v>UNIMED CURITIBA</v>
          </cell>
          <cell r="E247">
            <v>24000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24000</v>
          </cell>
          <cell r="M247">
            <v>0</v>
          </cell>
          <cell r="N247">
            <v>0</v>
          </cell>
          <cell r="O247">
            <v>529763</v>
          </cell>
          <cell r="P247">
            <v>0</v>
          </cell>
          <cell r="Q247">
            <v>0</v>
          </cell>
          <cell r="R247">
            <v>529763</v>
          </cell>
          <cell r="S247">
            <v>553763</v>
          </cell>
        </row>
        <row r="248">
          <cell r="C248" t="str">
            <v>UNIMED DE GUARATINGU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45990.47</v>
          </cell>
          <cell r="O248">
            <v>27233.34</v>
          </cell>
          <cell r="P248">
            <v>0</v>
          </cell>
          <cell r="Q248">
            <v>0</v>
          </cell>
          <cell r="R248">
            <v>73223.81</v>
          </cell>
          <cell r="S248">
            <v>73223.81</v>
          </cell>
        </row>
        <row r="249">
          <cell r="C249" t="str">
            <v>UNIMED DE JUNDIAI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25560</v>
          </cell>
          <cell r="O249">
            <v>0</v>
          </cell>
          <cell r="P249">
            <v>0</v>
          </cell>
          <cell r="Q249">
            <v>0</v>
          </cell>
          <cell r="R249">
            <v>25560</v>
          </cell>
          <cell r="S249">
            <v>25560</v>
          </cell>
        </row>
        <row r="250">
          <cell r="C250" t="str">
            <v>UNIMED DE LONDRINA C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52650</v>
          </cell>
          <cell r="O250">
            <v>0</v>
          </cell>
          <cell r="P250">
            <v>0</v>
          </cell>
          <cell r="Q250">
            <v>0</v>
          </cell>
          <cell r="R250">
            <v>52650</v>
          </cell>
          <cell r="S250">
            <v>52650</v>
          </cell>
        </row>
        <row r="251">
          <cell r="C251" t="str">
            <v>UNIMED DE MARILIA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  <cell r="N251">
            <v>33810</v>
          </cell>
          <cell r="O251">
            <v>33810</v>
          </cell>
          <cell r="P251">
            <v>0</v>
          </cell>
          <cell r="Q251">
            <v>0</v>
          </cell>
          <cell r="R251">
            <v>67620</v>
          </cell>
          <cell r="S251">
            <v>67620</v>
          </cell>
        </row>
        <row r="252">
          <cell r="C252" t="str">
            <v>UNIMED DE PINDAMONHA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  <cell r="N252">
            <v>75714.33</v>
          </cell>
          <cell r="O252">
            <v>75714.33</v>
          </cell>
          <cell r="P252">
            <v>47933.35</v>
          </cell>
          <cell r="Q252">
            <v>27300</v>
          </cell>
          <cell r="R252">
            <v>226662.00999999998</v>
          </cell>
          <cell r="S252">
            <v>226662.00999999998</v>
          </cell>
        </row>
        <row r="253">
          <cell r="C253" t="str">
            <v>UNIMED DE PIRACICABA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  <cell r="N253">
            <v>70000</v>
          </cell>
          <cell r="O253">
            <v>0</v>
          </cell>
          <cell r="P253">
            <v>0</v>
          </cell>
          <cell r="Q253">
            <v>0</v>
          </cell>
          <cell r="R253">
            <v>70000</v>
          </cell>
          <cell r="S253">
            <v>70000</v>
          </cell>
        </row>
        <row r="254">
          <cell r="C254" t="str">
            <v>UNIMED DE PRES PRUDE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  <cell r="N254">
            <v>17500</v>
          </cell>
          <cell r="O254">
            <v>17500</v>
          </cell>
          <cell r="P254">
            <v>0</v>
          </cell>
          <cell r="Q254">
            <v>0</v>
          </cell>
          <cell r="R254">
            <v>35000</v>
          </cell>
          <cell r="S254">
            <v>35000</v>
          </cell>
        </row>
        <row r="255">
          <cell r="C255" t="str">
            <v>UNIMED DE RIO CLARO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85300</v>
          </cell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85300</v>
          </cell>
          <cell r="S255">
            <v>85300</v>
          </cell>
        </row>
        <row r="256">
          <cell r="C256" t="str">
            <v>UNIMED DE SANTOS COO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91238</v>
          </cell>
          <cell r="O256">
            <v>166405</v>
          </cell>
          <cell r="P256">
            <v>0</v>
          </cell>
          <cell r="Q256">
            <v>0</v>
          </cell>
          <cell r="R256">
            <v>257643</v>
          </cell>
          <cell r="S256">
            <v>257643</v>
          </cell>
        </row>
        <row r="257">
          <cell r="C257" t="str">
            <v>UNIMED DE TAUBATE CO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4600</v>
          </cell>
          <cell r="J257">
            <v>4600</v>
          </cell>
          <cell r="K257">
            <v>4600</v>
          </cell>
          <cell r="L257">
            <v>13800</v>
          </cell>
          <cell r="M257">
            <v>4600</v>
          </cell>
          <cell r="N257">
            <v>4600</v>
          </cell>
          <cell r="O257">
            <v>0</v>
          </cell>
          <cell r="P257">
            <v>0</v>
          </cell>
          <cell r="Q257">
            <v>0</v>
          </cell>
          <cell r="R257">
            <v>9200</v>
          </cell>
          <cell r="S257">
            <v>23000</v>
          </cell>
        </row>
        <row r="258">
          <cell r="C258" t="str">
            <v>UNIMED DO SUDOESTE C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127831.87</v>
          </cell>
          <cell r="O258">
            <v>148022.93</v>
          </cell>
          <cell r="P258">
            <v>148022.94</v>
          </cell>
          <cell r="Q258">
            <v>167343.72</v>
          </cell>
          <cell r="R258">
            <v>591221.46</v>
          </cell>
          <cell r="S258">
            <v>591221.46</v>
          </cell>
        </row>
        <row r="259">
          <cell r="C259" t="str">
            <v>UNIMED FEDERACAO</v>
          </cell>
          <cell r="E259">
            <v>1148864.9999999998</v>
          </cell>
          <cell r="F259">
            <v>28167.43</v>
          </cell>
          <cell r="G259">
            <v>96170</v>
          </cell>
          <cell r="H259">
            <v>228753.34999999998</v>
          </cell>
          <cell r="I259">
            <v>587204.16</v>
          </cell>
          <cell r="J259">
            <v>575502.16000000015</v>
          </cell>
          <cell r="K259">
            <v>581656.85</v>
          </cell>
          <cell r="L259">
            <v>3246318.95</v>
          </cell>
          <cell r="M259">
            <v>354663.78</v>
          </cell>
          <cell r="N259">
            <v>295280.96000000002</v>
          </cell>
          <cell r="O259">
            <v>1041904.89</v>
          </cell>
          <cell r="P259">
            <v>0</v>
          </cell>
          <cell r="Q259">
            <v>0</v>
          </cell>
          <cell r="R259">
            <v>1691849.6300000001</v>
          </cell>
          <cell r="S259">
            <v>4938168.58</v>
          </cell>
        </row>
        <row r="260">
          <cell r="C260" t="str">
            <v>UNIMED GOIÂNIA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542300</v>
          </cell>
          <cell r="O260">
            <v>0</v>
          </cell>
          <cell r="P260">
            <v>0</v>
          </cell>
          <cell r="Q260">
            <v>0</v>
          </cell>
          <cell r="R260">
            <v>542300</v>
          </cell>
          <cell r="S260">
            <v>542300</v>
          </cell>
        </row>
        <row r="261">
          <cell r="C261" t="str">
            <v>UNIMED GRANDE FLORIA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153000</v>
          </cell>
          <cell r="P261">
            <v>0</v>
          </cell>
          <cell r="Q261">
            <v>0</v>
          </cell>
          <cell r="R261">
            <v>153000</v>
          </cell>
          <cell r="S261">
            <v>153000</v>
          </cell>
        </row>
        <row r="262">
          <cell r="C262" t="str">
            <v>UNIMED LESTE FLUMINE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26282</v>
          </cell>
          <cell r="O262">
            <v>36730</v>
          </cell>
          <cell r="P262">
            <v>31430</v>
          </cell>
          <cell r="Q262">
            <v>94290</v>
          </cell>
          <cell r="R262">
            <v>188732</v>
          </cell>
          <cell r="S262">
            <v>188732</v>
          </cell>
        </row>
        <row r="263">
          <cell r="C263" t="str">
            <v>UNIMED LESTE PAULIST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  <cell r="N263">
            <v>33075</v>
          </cell>
          <cell r="O263">
            <v>0</v>
          </cell>
          <cell r="P263">
            <v>0</v>
          </cell>
          <cell r="Q263">
            <v>0</v>
          </cell>
          <cell r="R263">
            <v>33075</v>
          </cell>
          <cell r="S263">
            <v>33075</v>
          </cell>
        </row>
        <row r="264">
          <cell r="C264" t="str">
            <v>UNIMED MACEIO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  <cell r="N264">
            <v>192000</v>
          </cell>
          <cell r="O264">
            <v>0</v>
          </cell>
          <cell r="P264">
            <v>0</v>
          </cell>
          <cell r="Q264">
            <v>0</v>
          </cell>
          <cell r="R264">
            <v>192000</v>
          </cell>
          <cell r="S264">
            <v>192000</v>
          </cell>
        </row>
        <row r="265">
          <cell r="C265" t="str">
            <v>UNIMED NACIONAL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108843</v>
          </cell>
          <cell r="N265">
            <v>42372.61</v>
          </cell>
          <cell r="O265">
            <v>46000</v>
          </cell>
          <cell r="P265">
            <v>0</v>
          </cell>
          <cell r="Q265">
            <v>1198007.23</v>
          </cell>
          <cell r="R265">
            <v>1395222.84</v>
          </cell>
          <cell r="S265">
            <v>1395222.84</v>
          </cell>
        </row>
        <row r="266">
          <cell r="C266" t="str">
            <v>UNIMED OESTE DO PARA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36174.17</v>
          </cell>
          <cell r="N266">
            <v>36174.17</v>
          </cell>
          <cell r="O266">
            <v>36174.17</v>
          </cell>
          <cell r="P266">
            <v>36174.17</v>
          </cell>
          <cell r="Q266">
            <v>325567.47999999992</v>
          </cell>
          <cell r="R266">
            <v>470264.15999999986</v>
          </cell>
          <cell r="S266">
            <v>470264.15999999986</v>
          </cell>
        </row>
        <row r="267">
          <cell r="C267" t="str">
            <v>UNIMED PETROPOLIS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30387.5</v>
          </cell>
          <cell r="N267">
            <v>30387.5</v>
          </cell>
          <cell r="O267">
            <v>30387.5</v>
          </cell>
          <cell r="P267">
            <v>30387.5</v>
          </cell>
          <cell r="Q267">
            <v>121550</v>
          </cell>
          <cell r="R267">
            <v>243100</v>
          </cell>
          <cell r="S267">
            <v>243100</v>
          </cell>
        </row>
        <row r="268">
          <cell r="C268" t="str">
            <v>UNIMED RECIFE COOPER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  <cell r="N268">
            <v>0</v>
          </cell>
          <cell r="O268">
            <v>25593.75</v>
          </cell>
          <cell r="P268">
            <v>25593.75</v>
          </cell>
          <cell r="Q268">
            <v>51187.5</v>
          </cell>
          <cell r="R268">
            <v>102375</v>
          </cell>
          <cell r="S268">
            <v>102375</v>
          </cell>
        </row>
        <row r="269">
          <cell r="C269" t="str">
            <v>UNIMED REGIONAL MARI</v>
          </cell>
          <cell r="E269">
            <v>62100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62100</v>
          </cell>
          <cell r="M269">
            <v>55750</v>
          </cell>
          <cell r="N269">
            <v>124150</v>
          </cell>
          <cell r="O269">
            <v>0</v>
          </cell>
          <cell r="P269">
            <v>53150</v>
          </cell>
          <cell r="Q269">
            <v>0</v>
          </cell>
          <cell r="R269">
            <v>233050</v>
          </cell>
          <cell r="S269">
            <v>295150</v>
          </cell>
        </row>
        <row r="270">
          <cell r="C270" t="str">
            <v>UNIMED SAO CARLOS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10763.18</v>
          </cell>
          <cell r="N270">
            <v>182318.78</v>
          </cell>
          <cell r="O270">
            <v>148228.97</v>
          </cell>
          <cell r="P270">
            <v>96316.070000000022</v>
          </cell>
          <cell r="Q270">
            <v>0</v>
          </cell>
          <cell r="R270">
            <v>437626.99999999988</v>
          </cell>
          <cell r="S270">
            <v>437626.99999999988</v>
          </cell>
        </row>
        <row r="271">
          <cell r="C271" t="str">
            <v>UNIMED SAO JOSE DOS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16000</v>
          </cell>
          <cell r="Q271">
            <v>0</v>
          </cell>
          <cell r="R271">
            <v>16000</v>
          </cell>
          <cell r="S271">
            <v>16000</v>
          </cell>
        </row>
        <row r="272">
          <cell r="C272" t="str">
            <v>UNIMED SERGIPE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45626.7</v>
          </cell>
          <cell r="O272">
            <v>45626.7</v>
          </cell>
          <cell r="P272">
            <v>0</v>
          </cell>
          <cell r="Q272">
            <v>0</v>
          </cell>
          <cell r="R272">
            <v>91253.4</v>
          </cell>
          <cell r="S272">
            <v>91253.4</v>
          </cell>
        </row>
        <row r="273">
          <cell r="C273" t="str">
            <v>UNIMED SERRANA RJ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  <cell r="N273">
            <v>38125</v>
          </cell>
          <cell r="O273">
            <v>38125</v>
          </cell>
          <cell r="P273">
            <v>38125</v>
          </cell>
          <cell r="Q273">
            <v>190625</v>
          </cell>
          <cell r="R273">
            <v>305000</v>
          </cell>
          <cell r="S273">
            <v>305000</v>
          </cell>
        </row>
        <row r="274">
          <cell r="C274" t="str">
            <v>UNIMED-RIO</v>
          </cell>
          <cell r="E274">
            <v>0</v>
          </cell>
          <cell r="F274">
            <v>0</v>
          </cell>
          <cell r="G274">
            <v>21923.5</v>
          </cell>
          <cell r="H274">
            <v>21923.5</v>
          </cell>
          <cell r="I274">
            <v>21923.5</v>
          </cell>
          <cell r="J274">
            <v>21923.5</v>
          </cell>
          <cell r="K274">
            <v>21923.5</v>
          </cell>
          <cell r="L274">
            <v>109617.5</v>
          </cell>
          <cell r="M274">
            <v>21923.5</v>
          </cell>
          <cell r="N274">
            <v>21923.5</v>
          </cell>
          <cell r="O274">
            <v>21923.5</v>
          </cell>
          <cell r="P274">
            <v>21923.5</v>
          </cell>
          <cell r="Q274">
            <v>153464.5</v>
          </cell>
          <cell r="R274">
            <v>241158.5</v>
          </cell>
          <cell r="S274">
            <v>350776</v>
          </cell>
        </row>
        <row r="275">
          <cell r="C275" t="str">
            <v>UNIVERSIDADE FEDERAL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  <cell r="N275">
            <v>13900</v>
          </cell>
          <cell r="O275">
            <v>28000</v>
          </cell>
          <cell r="P275">
            <v>0</v>
          </cell>
          <cell r="Q275">
            <v>0</v>
          </cell>
          <cell r="R275">
            <v>41900</v>
          </cell>
          <cell r="S275">
            <v>41900</v>
          </cell>
        </row>
        <row r="276">
          <cell r="C276" t="str">
            <v>VISION MED ASSISTENC</v>
          </cell>
          <cell r="E276">
            <v>145560</v>
          </cell>
          <cell r="F276">
            <v>24260</v>
          </cell>
          <cell r="G276">
            <v>24260</v>
          </cell>
          <cell r="H276">
            <v>24260</v>
          </cell>
          <cell r="I276">
            <v>24260</v>
          </cell>
          <cell r="J276">
            <v>24260</v>
          </cell>
          <cell r="K276">
            <v>0</v>
          </cell>
          <cell r="L276">
            <v>266860</v>
          </cell>
          <cell r="M276">
            <v>0</v>
          </cell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0</v>
          </cell>
          <cell r="S276">
            <v>266860</v>
          </cell>
        </row>
        <row r="277">
          <cell r="C277" t="str">
            <v>VS MEDICINA ESPECIAL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6105</v>
          </cell>
          <cell r="J277">
            <v>0</v>
          </cell>
          <cell r="K277">
            <v>0</v>
          </cell>
          <cell r="L277">
            <v>6105</v>
          </cell>
          <cell r="M277">
            <v>0</v>
          </cell>
          <cell r="N277">
            <v>0</v>
          </cell>
          <cell r="O277">
            <v>0</v>
          </cell>
          <cell r="P277">
            <v>0</v>
          </cell>
          <cell r="Q277">
            <v>0</v>
          </cell>
          <cell r="R277">
            <v>0</v>
          </cell>
          <cell r="S277">
            <v>6105</v>
          </cell>
        </row>
        <row r="278">
          <cell r="C278" t="str">
            <v>Total Geral</v>
          </cell>
          <cell r="E278">
            <v>6632046.29</v>
          </cell>
          <cell r="F278">
            <v>448641.60000000003</v>
          </cell>
          <cell r="G278">
            <v>230078.93</v>
          </cell>
          <cell r="H278">
            <v>735797.25</v>
          </cell>
          <cell r="I278">
            <v>1353701.52</v>
          </cell>
          <cell r="J278">
            <v>1261598.6600000001</v>
          </cell>
          <cell r="K278">
            <v>1977488.5500000003</v>
          </cell>
          <cell r="L278">
            <v>12639352.800000001</v>
          </cell>
          <cell r="M278">
            <v>2834686.0700000008</v>
          </cell>
          <cell r="N278">
            <v>9735468.1199999992</v>
          </cell>
          <cell r="O278">
            <v>12968802.439999998</v>
          </cell>
          <cell r="P278">
            <v>10647602.940000003</v>
          </cell>
          <cell r="Q278">
            <v>9646684.6600000001</v>
          </cell>
          <cell r="R278">
            <v>45833244.230000019</v>
          </cell>
        </row>
      </sheetData>
      <sheetData sheetId="11" refreshError="1"/>
      <sheetData sheetId="12">
        <row r="1">
          <cell r="C1" t="str">
            <v>Cliente</v>
          </cell>
        </row>
      </sheetData>
      <sheetData sheetId="1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Detalhes1"/>
      <sheetName val="Resumo do Aging List - Contabil"/>
      <sheetName val="Aging analítico - Contabil"/>
    </sheetNames>
    <sheetDataSet>
      <sheetData sheetId="0"/>
      <sheetData sheetId="1">
        <row r="2">
          <cell r="B2" t="str">
            <v>Aging list Clientes</v>
          </cell>
        </row>
        <row r="4">
          <cell r="B4" t="str">
            <v>Descrição</v>
          </cell>
          <cell r="C4" t="str">
            <v>Saldo em:</v>
          </cell>
          <cell r="D4">
            <v>46053</v>
          </cell>
          <cell r="E4" t="str">
            <v>% repres.</v>
          </cell>
        </row>
        <row r="6">
          <cell r="B6" t="str">
            <v>A vencer</v>
          </cell>
          <cell r="D6">
            <v>49774806.409999989</v>
          </cell>
          <cell r="E6">
            <v>0.79662908756401873</v>
          </cell>
        </row>
        <row r="8">
          <cell r="B8" t="str">
            <v>de 0 a 30 dias</v>
          </cell>
          <cell r="D8">
            <v>4926985.9400000023</v>
          </cell>
          <cell r="E8">
            <v>7.8854757997298894E-2</v>
          </cell>
        </row>
        <row r="9">
          <cell r="B9" t="str">
            <v>de 31 a 60 dias</v>
          </cell>
          <cell r="D9">
            <v>13498605.700000003</v>
          </cell>
          <cell r="E9">
            <v>0.21604065827199401</v>
          </cell>
        </row>
        <row r="10">
          <cell r="B10" t="str">
            <v>de 61 a 90 dias</v>
          </cell>
          <cell r="D10">
            <v>16722531.289999999</v>
          </cell>
          <cell r="E10">
            <v>0.26763850638778314</v>
          </cell>
        </row>
        <row r="11">
          <cell r="B11" t="str">
            <v>de 91 a 120 dias</v>
          </cell>
          <cell r="D11">
            <v>10943484.919999996</v>
          </cell>
          <cell r="E11">
            <v>0.17514680689624398</v>
          </cell>
        </row>
        <row r="12">
          <cell r="B12" t="str">
            <v>acima de 120 dias</v>
          </cell>
          <cell r="D12">
            <v>3683198.5599999861</v>
          </cell>
          <cell r="E12">
            <v>5.8948358010698636E-2</v>
          </cell>
        </row>
        <row r="14">
          <cell r="B14" t="str">
            <v>Vencidos</v>
          </cell>
          <cell r="D14">
            <v>12706977.379999999</v>
          </cell>
          <cell r="E14">
            <v>0.20337091243598121</v>
          </cell>
        </row>
        <row r="16">
          <cell r="B16" t="str">
            <v>de 0 a 30 dias</v>
          </cell>
          <cell r="D16">
            <v>1366142.84</v>
          </cell>
          <cell r="E16">
            <v>2.1864658099256234E-2</v>
          </cell>
        </row>
        <row r="17">
          <cell r="B17" t="str">
            <v>de 31 a 60 dias</v>
          </cell>
          <cell r="D17">
            <v>1411425.6899999997</v>
          </cell>
          <cell r="E17">
            <v>2.2589394930589254E-2</v>
          </cell>
        </row>
        <row r="18">
          <cell r="B18" t="str">
            <v>de 61 a 90 dias</v>
          </cell>
          <cell r="D18">
            <v>1305293.8199999996</v>
          </cell>
          <cell r="E18">
            <v>2.0890789936264715E-2</v>
          </cell>
        </row>
        <row r="19">
          <cell r="B19" t="str">
            <v>de 91 a 120 dias</v>
          </cell>
          <cell r="D19">
            <v>1252583.02</v>
          </cell>
          <cell r="E19">
            <v>2.0047171255704002E-2</v>
          </cell>
        </row>
        <row r="20">
          <cell r="B20" t="str">
            <v>de 121 a 150 dias</v>
          </cell>
          <cell r="D20">
            <v>557480.68999999994</v>
          </cell>
          <cell r="E20">
            <v>8.9222915253777211E-3</v>
          </cell>
        </row>
        <row r="21">
          <cell r="B21" t="str">
            <v>de 151 a 180 dias</v>
          </cell>
          <cell r="D21">
            <v>176055.43</v>
          </cell>
          <cell r="E21">
            <v>2.8177081274074812E-3</v>
          </cell>
        </row>
        <row r="22">
          <cell r="B22" t="str">
            <v>acima de 181 dias</v>
          </cell>
          <cell r="D22">
            <v>6637995.8899999997</v>
          </cell>
          <cell r="E22">
            <v>0.10623889856138181</v>
          </cell>
        </row>
        <row r="24">
          <cell r="B24" t="str">
            <v>Total clientes</v>
          </cell>
          <cell r="D24">
            <v>62481783.789999992</v>
          </cell>
          <cell r="E24">
            <v>1</v>
          </cell>
        </row>
        <row r="26">
          <cell r="B26" t="str">
            <v>( = ) Variação</v>
          </cell>
        </row>
        <row r="31">
          <cell r="C31" t="str">
            <v>VENCIDOS</v>
          </cell>
          <cell r="K31" t="str">
            <v>VINCENDOS</v>
          </cell>
        </row>
        <row r="32">
          <cell r="D32" t="str">
            <v>Dados</v>
          </cell>
        </row>
        <row r="33">
          <cell r="B33" t="str">
            <v>Cliente</v>
          </cell>
          <cell r="C33" t="str">
            <v>TOTAL</v>
          </cell>
          <cell r="D33" t="str">
            <v xml:space="preserve">acima de 181 dias </v>
          </cell>
          <cell r="E33" t="str">
            <v xml:space="preserve">151 a 180 dias </v>
          </cell>
          <cell r="F33" t="str">
            <v xml:space="preserve">  121 a 150 dias </v>
          </cell>
          <cell r="G33" t="str">
            <v xml:space="preserve">91 a 120 dias </v>
          </cell>
          <cell r="H33" t="str">
            <v xml:space="preserve">61 a 90 dias </v>
          </cell>
          <cell r="I33" t="str">
            <v xml:space="preserve">31 a 60 dias </v>
          </cell>
          <cell r="J33" t="str">
            <v xml:space="preserve">30 dias </v>
          </cell>
          <cell r="K33" t="str">
            <v xml:space="preserve">TOTAL </v>
          </cell>
          <cell r="L33" t="str">
            <v xml:space="preserve">30 dias  </v>
          </cell>
          <cell r="M33" t="str">
            <v xml:space="preserve">31 a 60 dias  </v>
          </cell>
          <cell r="N33" t="str">
            <v xml:space="preserve">61 a 90 dias  </v>
          </cell>
          <cell r="O33" t="str">
            <v xml:space="preserve">91 a 120 dias  </v>
          </cell>
          <cell r="P33" t="str">
            <v xml:space="preserve">acima de 120 dias  </v>
          </cell>
          <cell r="Q33" t="str">
            <v xml:space="preserve">TOTAL  </v>
          </cell>
        </row>
        <row r="34">
          <cell r="B34" t="str">
            <v>AMEPLAN ASSISTENCIA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11642.05</v>
          </cell>
          <cell r="K34">
            <v>11642.05</v>
          </cell>
          <cell r="L34">
            <v>11642.05</v>
          </cell>
          <cell r="M34">
            <v>11642.05</v>
          </cell>
          <cell r="N34">
            <v>0</v>
          </cell>
          <cell r="O34">
            <v>0</v>
          </cell>
          <cell r="P34">
            <v>0</v>
          </cell>
          <cell r="Q34">
            <v>23284.1</v>
          </cell>
          <cell r="R34">
            <v>34926.149999999994</v>
          </cell>
        </row>
        <row r="35">
          <cell r="B35" t="str">
            <v>AMESC - ASSOCIACAO M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50152.350000000006</v>
          </cell>
          <cell r="O35">
            <v>0</v>
          </cell>
          <cell r="P35">
            <v>0</v>
          </cell>
          <cell r="Q35">
            <v>50152.350000000006</v>
          </cell>
          <cell r="R35">
            <v>50152.350000000006</v>
          </cell>
        </row>
        <row r="36">
          <cell r="B36" t="str">
            <v>AMIL ASSISTENCIA MED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8109.28</v>
          </cell>
          <cell r="O36">
            <v>1850733.6099999996</v>
          </cell>
          <cell r="P36">
            <v>434105.09</v>
          </cell>
          <cell r="Q36">
            <v>2292947.9799999995</v>
          </cell>
          <cell r="R36">
            <v>2292947.9799999995</v>
          </cell>
        </row>
        <row r="37">
          <cell r="B37" t="str">
            <v>ANGIOCOR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29581.5</v>
          </cell>
          <cell r="N37">
            <v>29581.5</v>
          </cell>
          <cell r="O37">
            <v>29581.5</v>
          </cell>
          <cell r="P37">
            <v>207070.5</v>
          </cell>
          <cell r="Q37">
            <v>295815</v>
          </cell>
          <cell r="R37">
            <v>295815</v>
          </cell>
        </row>
        <row r="38">
          <cell r="B38" t="str">
            <v>APAS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2473.5</v>
          </cell>
          <cell r="P38">
            <v>12367.5</v>
          </cell>
          <cell r="Q38">
            <v>14841</v>
          </cell>
          <cell r="R38">
            <v>14841</v>
          </cell>
        </row>
        <row r="39">
          <cell r="B39" t="str">
            <v>APAS SAUDE SOROCABA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11000</v>
          </cell>
          <cell r="N39">
            <v>11000</v>
          </cell>
          <cell r="O39">
            <v>0</v>
          </cell>
          <cell r="P39">
            <v>0</v>
          </cell>
          <cell r="Q39">
            <v>22000</v>
          </cell>
          <cell r="R39">
            <v>22000</v>
          </cell>
        </row>
        <row r="40">
          <cell r="B40" t="str">
            <v>APAS-BAURU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44425.75</v>
          </cell>
          <cell r="N40">
            <v>44425.75</v>
          </cell>
          <cell r="O40">
            <v>0</v>
          </cell>
          <cell r="P40">
            <v>0</v>
          </cell>
          <cell r="Q40">
            <v>88851.5</v>
          </cell>
          <cell r="R40">
            <v>88851.5</v>
          </cell>
        </row>
        <row r="41">
          <cell r="B41" t="str">
            <v>ASHOPE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114350</v>
          </cell>
          <cell r="O41">
            <v>114350</v>
          </cell>
          <cell r="P41">
            <v>0</v>
          </cell>
          <cell r="Q41">
            <v>228700</v>
          </cell>
          <cell r="R41">
            <v>228700</v>
          </cell>
        </row>
        <row r="42">
          <cell r="B42" t="str">
            <v>ASSEM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45681.91</v>
          </cell>
          <cell r="P42">
            <v>0</v>
          </cell>
          <cell r="Q42">
            <v>45681.91</v>
          </cell>
          <cell r="R42">
            <v>45681.91</v>
          </cell>
        </row>
        <row r="43">
          <cell r="B43" t="str">
            <v>ASSIM SAUDE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249940</v>
          </cell>
          <cell r="N43">
            <v>0</v>
          </cell>
          <cell r="O43">
            <v>0</v>
          </cell>
          <cell r="P43">
            <v>0</v>
          </cell>
          <cell r="Q43">
            <v>249940</v>
          </cell>
          <cell r="R43">
            <v>249940</v>
          </cell>
        </row>
        <row r="44">
          <cell r="B44" t="str">
            <v>ASSISTENCIA MEDICA E</v>
          </cell>
          <cell r="D44">
            <v>31500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31500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31500</v>
          </cell>
        </row>
        <row r="45">
          <cell r="B45" t="str">
            <v>ASSOCIACAO AUXILIADO</v>
          </cell>
          <cell r="D45">
            <v>51255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51255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51255</v>
          </cell>
        </row>
        <row r="46">
          <cell r="B46" t="str">
            <v>ASSOCIACAO BENEFICEN</v>
          </cell>
          <cell r="D46">
            <v>311320.85000000003</v>
          </cell>
          <cell r="E46">
            <v>0</v>
          </cell>
          <cell r="F46">
            <v>0</v>
          </cell>
          <cell r="G46">
            <v>0</v>
          </cell>
          <cell r="H46">
            <v>11200</v>
          </cell>
          <cell r="I46">
            <v>0</v>
          </cell>
          <cell r="J46">
            <v>0</v>
          </cell>
          <cell r="K46">
            <v>322520.85000000003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  <cell r="R46">
            <v>322520.85000000003</v>
          </cell>
        </row>
        <row r="47">
          <cell r="B47" t="str">
            <v>ASSOCIACAO DOS AGENT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106582.5</v>
          </cell>
          <cell r="N47">
            <v>106582.5</v>
          </cell>
          <cell r="O47">
            <v>106582.5</v>
          </cell>
          <cell r="P47">
            <v>106582.5</v>
          </cell>
          <cell r="Q47">
            <v>426330</v>
          </cell>
          <cell r="R47">
            <v>426330</v>
          </cell>
        </row>
        <row r="48">
          <cell r="B48" t="str">
            <v>ASSOCIACAO EVANGELIC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57100</v>
          </cell>
          <cell r="N48">
            <v>0</v>
          </cell>
          <cell r="O48">
            <v>0</v>
          </cell>
          <cell r="P48">
            <v>0</v>
          </cell>
          <cell r="Q48">
            <v>57100</v>
          </cell>
          <cell r="R48">
            <v>57100</v>
          </cell>
        </row>
        <row r="49">
          <cell r="B49" t="str">
            <v>ASSOCIACAO HOSPITALA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18415</v>
          </cell>
          <cell r="J49">
            <v>18415</v>
          </cell>
          <cell r="K49">
            <v>36830</v>
          </cell>
          <cell r="L49">
            <v>18415</v>
          </cell>
          <cell r="M49">
            <v>18415</v>
          </cell>
          <cell r="N49">
            <v>0</v>
          </cell>
          <cell r="O49">
            <v>0</v>
          </cell>
          <cell r="P49">
            <v>0</v>
          </cell>
          <cell r="Q49">
            <v>36830</v>
          </cell>
          <cell r="R49">
            <v>73660</v>
          </cell>
        </row>
        <row r="50">
          <cell r="B50" t="str">
            <v>ASSOCIACAO PETROBRAS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982440.1</v>
          </cell>
          <cell r="O50">
            <v>0</v>
          </cell>
          <cell r="P50">
            <v>0</v>
          </cell>
          <cell r="Q50">
            <v>982440.1</v>
          </cell>
          <cell r="R50">
            <v>982440.1</v>
          </cell>
        </row>
        <row r="51">
          <cell r="B51" t="str">
            <v>ATIVA MEDICAL COMERC</v>
          </cell>
          <cell r="D51">
            <v>78000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78000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78000</v>
          </cell>
        </row>
        <row r="52">
          <cell r="B52" t="str">
            <v>ATIVIA SERVICOS DE S</v>
          </cell>
          <cell r="D52">
            <v>234840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234840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R52">
            <v>234840</v>
          </cell>
        </row>
        <row r="53">
          <cell r="B53" t="str">
            <v>AUSTACLINICAS ASSIST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138330</v>
          </cell>
          <cell r="N53">
            <v>294600</v>
          </cell>
          <cell r="O53">
            <v>0</v>
          </cell>
          <cell r="P53">
            <v>0</v>
          </cell>
          <cell r="Q53">
            <v>432930</v>
          </cell>
          <cell r="R53">
            <v>432930</v>
          </cell>
        </row>
        <row r="54">
          <cell r="B54" t="str">
            <v>AUSTACOR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38060</v>
          </cell>
          <cell r="O54">
            <v>0</v>
          </cell>
          <cell r="P54">
            <v>0</v>
          </cell>
          <cell r="Q54">
            <v>38060</v>
          </cell>
          <cell r="R54">
            <v>38060</v>
          </cell>
        </row>
        <row r="55">
          <cell r="B55" t="str">
            <v>BANCO BRADESCO S.A.</v>
          </cell>
          <cell r="D55">
            <v>408920.63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408920.63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408920.63</v>
          </cell>
        </row>
        <row r="56">
          <cell r="B56" t="str">
            <v>BANCO BRADESCO SAÚDE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871861.9</v>
          </cell>
          <cell r="O56">
            <v>292634.66000000003</v>
          </cell>
          <cell r="P56">
            <v>0</v>
          </cell>
          <cell r="Q56">
            <v>1164496.56</v>
          </cell>
          <cell r="R56">
            <v>1164496.56</v>
          </cell>
        </row>
        <row r="57">
          <cell r="B57" t="str">
            <v>BANCO DO BRASIL S.A.</v>
          </cell>
          <cell r="D57">
            <v>71100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71100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71100</v>
          </cell>
        </row>
        <row r="58">
          <cell r="B58" t="str">
            <v>BENEFICENCIA NIPO BR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4050</v>
          </cell>
          <cell r="P58">
            <v>0</v>
          </cell>
          <cell r="Q58">
            <v>4050</v>
          </cell>
          <cell r="R58">
            <v>4050</v>
          </cell>
        </row>
        <row r="59">
          <cell r="B59" t="str">
            <v>BIOMEDICAL - BAHIA</v>
          </cell>
          <cell r="D59">
            <v>141609.26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141609.26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141609.26</v>
          </cell>
        </row>
        <row r="60">
          <cell r="B60" t="str">
            <v>BOM SAMARITANO</v>
          </cell>
          <cell r="D60">
            <v>153000</v>
          </cell>
          <cell r="E60">
            <v>0</v>
          </cell>
          <cell r="F60">
            <v>0</v>
          </cell>
          <cell r="G60">
            <v>240.38</v>
          </cell>
          <cell r="H60">
            <v>0</v>
          </cell>
          <cell r="I60">
            <v>0</v>
          </cell>
          <cell r="J60">
            <v>0</v>
          </cell>
          <cell r="K60">
            <v>153240.38</v>
          </cell>
          <cell r="L60">
            <v>0</v>
          </cell>
          <cell r="M60">
            <v>0</v>
          </cell>
          <cell r="N60">
            <v>174080.13</v>
          </cell>
          <cell r="O60">
            <v>14240.38</v>
          </cell>
          <cell r="P60">
            <v>0</v>
          </cell>
          <cell r="Q60">
            <v>188320.51</v>
          </cell>
          <cell r="R60">
            <v>341560.89</v>
          </cell>
        </row>
        <row r="61">
          <cell r="B61" t="str">
            <v>BRADESCO SAUDE OPERA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89980</v>
          </cell>
          <cell r="P61">
            <v>0</v>
          </cell>
          <cell r="Q61">
            <v>89980</v>
          </cell>
          <cell r="R61">
            <v>89980</v>
          </cell>
        </row>
        <row r="62">
          <cell r="B62" t="str">
            <v>C A MEDICAL REPRESEN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1700</v>
          </cell>
          <cell r="N62">
            <v>0</v>
          </cell>
          <cell r="O62">
            <v>0</v>
          </cell>
          <cell r="P62">
            <v>0</v>
          </cell>
          <cell r="Q62">
            <v>1700</v>
          </cell>
          <cell r="R62">
            <v>1700</v>
          </cell>
        </row>
        <row r="63">
          <cell r="B63" t="str">
            <v>CABERJ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121355</v>
          </cell>
          <cell r="O63">
            <v>121355</v>
          </cell>
          <cell r="P63">
            <v>121355</v>
          </cell>
          <cell r="Q63">
            <v>364065</v>
          </cell>
          <cell r="R63">
            <v>364065</v>
          </cell>
        </row>
        <row r="64">
          <cell r="B64" t="str">
            <v>CAIXA BENEF. DOS FUN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513930.36000000004</v>
          </cell>
          <cell r="N64">
            <v>0</v>
          </cell>
          <cell r="O64">
            <v>0</v>
          </cell>
          <cell r="P64">
            <v>0</v>
          </cell>
          <cell r="Q64">
            <v>513930.36000000004</v>
          </cell>
          <cell r="R64">
            <v>513930.36000000004</v>
          </cell>
        </row>
        <row r="65">
          <cell r="B65" t="str">
            <v>CAPESESP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166543</v>
          </cell>
          <cell r="Q65">
            <v>166543</v>
          </cell>
          <cell r="R65">
            <v>166543</v>
          </cell>
        </row>
        <row r="66">
          <cell r="B66" t="str">
            <v>CARE PLUS MEDICINA A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26380</v>
          </cell>
          <cell r="N66">
            <v>0</v>
          </cell>
          <cell r="O66">
            <v>0</v>
          </cell>
          <cell r="P66">
            <v>0</v>
          </cell>
          <cell r="Q66">
            <v>26380</v>
          </cell>
          <cell r="R66">
            <v>26380</v>
          </cell>
        </row>
        <row r="67">
          <cell r="B67" t="str">
            <v>CASA DE SAUDE NOSSA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117795.8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117795.8</v>
          </cell>
          <cell r="R67">
            <v>117795.8</v>
          </cell>
        </row>
        <row r="68">
          <cell r="B68" t="str">
            <v>CASA DE SAUDE SANTA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29793.58</v>
          </cell>
          <cell r="O68">
            <v>20614.97</v>
          </cell>
          <cell r="P68">
            <v>0</v>
          </cell>
          <cell r="Q68">
            <v>50408.55</v>
          </cell>
          <cell r="R68">
            <v>50408.55</v>
          </cell>
        </row>
        <row r="69">
          <cell r="B69" t="str">
            <v>CASSEMS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572560</v>
          </cell>
          <cell r="N69">
            <v>48050</v>
          </cell>
          <cell r="O69">
            <v>48050</v>
          </cell>
          <cell r="P69">
            <v>0</v>
          </cell>
          <cell r="Q69">
            <v>668660</v>
          </cell>
          <cell r="R69">
            <v>668660</v>
          </cell>
        </row>
        <row r="70">
          <cell r="B70" t="str">
            <v>CASSI SAO PAULO - SP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31180.29</v>
          </cell>
          <cell r="N70">
            <v>269736</v>
          </cell>
          <cell r="O70">
            <v>0</v>
          </cell>
          <cell r="P70">
            <v>0</v>
          </cell>
          <cell r="Q70">
            <v>300916.29000000004</v>
          </cell>
          <cell r="R70">
            <v>300916.29000000004</v>
          </cell>
        </row>
        <row r="71">
          <cell r="B71" t="str">
            <v>CENTRO MEDICO SANTA</v>
          </cell>
          <cell r="D71">
            <v>0</v>
          </cell>
          <cell r="E71">
            <v>0</v>
          </cell>
          <cell r="F71">
            <v>0</v>
          </cell>
          <cell r="G71">
            <v>28600</v>
          </cell>
          <cell r="H71">
            <v>28600</v>
          </cell>
          <cell r="I71">
            <v>14300</v>
          </cell>
          <cell r="J71">
            <v>0</v>
          </cell>
          <cell r="K71">
            <v>71500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71500</v>
          </cell>
        </row>
        <row r="72">
          <cell r="B72" t="str">
            <v>CENTRO TRASMONTANO D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32500</v>
          </cell>
          <cell r="N72">
            <v>0</v>
          </cell>
          <cell r="O72">
            <v>0</v>
          </cell>
          <cell r="P72">
            <v>0</v>
          </cell>
          <cell r="Q72">
            <v>32500</v>
          </cell>
          <cell r="R72">
            <v>32500</v>
          </cell>
        </row>
        <row r="73">
          <cell r="B73" t="str">
            <v>CLINICA MÉDICA NOSSA</v>
          </cell>
          <cell r="D73">
            <v>2034.5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2034.5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2034.5</v>
          </cell>
        </row>
        <row r="74">
          <cell r="B74" t="str">
            <v>COMPLEXO HOSPITALAR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4690</v>
          </cell>
          <cell r="O74">
            <v>0</v>
          </cell>
          <cell r="P74">
            <v>0</v>
          </cell>
          <cell r="Q74">
            <v>4690</v>
          </cell>
          <cell r="R74">
            <v>4690</v>
          </cell>
        </row>
        <row r="75">
          <cell r="B75" t="str">
            <v>CORIS MEDICINA VASCU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42480</v>
          </cell>
          <cell r="P75">
            <v>0</v>
          </cell>
          <cell r="Q75">
            <v>42480</v>
          </cell>
          <cell r="R75">
            <v>42480</v>
          </cell>
        </row>
        <row r="76">
          <cell r="B76" t="str">
            <v>CRUZ VERMELHA BRASIL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132300</v>
          </cell>
          <cell r="I76">
            <v>0</v>
          </cell>
          <cell r="J76">
            <v>0</v>
          </cell>
          <cell r="K76">
            <v>132300</v>
          </cell>
          <cell r="L76">
            <v>44034</v>
          </cell>
          <cell r="M76">
            <v>0</v>
          </cell>
          <cell r="N76">
            <v>0</v>
          </cell>
          <cell r="O76">
            <v>56249.23</v>
          </cell>
          <cell r="P76">
            <v>0</v>
          </cell>
          <cell r="Q76">
            <v>100283.23000000001</v>
          </cell>
          <cell r="R76">
            <v>232583.23</v>
          </cell>
        </row>
        <row r="77">
          <cell r="B77" t="str">
            <v>EDSON DOS SANTOS MAR</v>
          </cell>
          <cell r="D77">
            <v>0</v>
          </cell>
          <cell r="E77">
            <v>0</v>
          </cell>
          <cell r="F77">
            <v>0</v>
          </cell>
          <cell r="G77">
            <v>8102</v>
          </cell>
          <cell r="H77">
            <v>8102</v>
          </cell>
          <cell r="I77">
            <v>0</v>
          </cell>
          <cell r="J77">
            <v>8102</v>
          </cell>
          <cell r="K77">
            <v>24306</v>
          </cell>
          <cell r="L77">
            <v>8102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8102</v>
          </cell>
          <cell r="R77">
            <v>32408</v>
          </cell>
        </row>
        <row r="78">
          <cell r="B78" t="str">
            <v>ENDOCATH DIAGNOSTICO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70000</v>
          </cell>
          <cell r="P78">
            <v>0</v>
          </cell>
          <cell r="Q78">
            <v>70000</v>
          </cell>
          <cell r="R78">
            <v>70000</v>
          </cell>
        </row>
        <row r="79">
          <cell r="B79" t="str">
            <v>FAEPA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42308.56</v>
          </cell>
          <cell r="N79">
            <v>0</v>
          </cell>
          <cell r="O79">
            <v>0</v>
          </cell>
          <cell r="P79">
            <v>0</v>
          </cell>
          <cell r="Q79">
            <v>42308.56</v>
          </cell>
          <cell r="R79">
            <v>42308.56</v>
          </cell>
        </row>
        <row r="80">
          <cell r="B80" t="str">
            <v>FAJ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14000</v>
          </cell>
          <cell r="O80">
            <v>89904.63</v>
          </cell>
          <cell r="P80">
            <v>0</v>
          </cell>
          <cell r="Q80">
            <v>103904.63</v>
          </cell>
          <cell r="R80">
            <v>103904.63</v>
          </cell>
        </row>
        <row r="81">
          <cell r="B81" t="str">
            <v>FENIX MEDICAL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19243.25</v>
          </cell>
          <cell r="N81">
            <v>19243.25</v>
          </cell>
          <cell r="O81">
            <v>19243.25</v>
          </cell>
          <cell r="P81">
            <v>9421</v>
          </cell>
          <cell r="Q81">
            <v>67150.75</v>
          </cell>
          <cell r="R81">
            <v>67150.75</v>
          </cell>
        </row>
        <row r="82">
          <cell r="B82" t="str">
            <v>FOR LIFE MATERIAIS H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97675</v>
          </cell>
          <cell r="K82">
            <v>97675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97675</v>
          </cell>
        </row>
        <row r="83">
          <cell r="B83" t="str">
            <v>FUNDACAO BAHIANA DE</v>
          </cell>
          <cell r="D83">
            <v>59944.800000000003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69200</v>
          </cell>
          <cell r="K83">
            <v>129144.8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129144.8</v>
          </cell>
        </row>
        <row r="84">
          <cell r="B84" t="str">
            <v>FUNDACAO FELÍCIO ROC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22800</v>
          </cell>
          <cell r="N84">
            <v>0</v>
          </cell>
          <cell r="O84">
            <v>606989</v>
          </cell>
          <cell r="P84">
            <v>0</v>
          </cell>
          <cell r="Q84">
            <v>629789</v>
          </cell>
          <cell r="R84">
            <v>629789</v>
          </cell>
        </row>
        <row r="85">
          <cell r="B85" t="str">
            <v>FUNDACAO SANEPAR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74800</v>
          </cell>
          <cell r="P85">
            <v>0</v>
          </cell>
          <cell r="Q85">
            <v>74800</v>
          </cell>
          <cell r="R85">
            <v>74800</v>
          </cell>
        </row>
        <row r="86">
          <cell r="B86" t="str">
            <v>FUNDO MUNICIPAL DE S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31673.34</v>
          </cell>
          <cell r="N86">
            <v>0</v>
          </cell>
          <cell r="O86">
            <v>0</v>
          </cell>
          <cell r="P86">
            <v>0</v>
          </cell>
          <cell r="Q86">
            <v>31673.34</v>
          </cell>
          <cell r="R86">
            <v>31673.34</v>
          </cell>
        </row>
        <row r="87">
          <cell r="B87" t="str">
            <v>FUSVE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77500</v>
          </cell>
          <cell r="I87">
            <v>0</v>
          </cell>
          <cell r="J87">
            <v>86630</v>
          </cell>
          <cell r="K87">
            <v>164130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164130</v>
          </cell>
        </row>
        <row r="88">
          <cell r="B88" t="str">
            <v>G E R</v>
          </cell>
          <cell r="D88">
            <v>5920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5920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5920</v>
          </cell>
        </row>
        <row r="89">
          <cell r="B89" t="str">
            <v>GEAP SAUDE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60000</v>
          </cell>
          <cell r="N89">
            <v>0</v>
          </cell>
          <cell r="O89">
            <v>0</v>
          </cell>
          <cell r="P89">
            <v>0</v>
          </cell>
          <cell r="Q89">
            <v>60000</v>
          </cell>
          <cell r="R89">
            <v>60000</v>
          </cell>
        </row>
        <row r="90">
          <cell r="B90" t="str">
            <v>GERENCIA REGIONAL DO</v>
          </cell>
          <cell r="D90">
            <v>1071489.56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113722.45000000001</v>
          </cell>
          <cell r="K90">
            <v>1185212.01</v>
          </cell>
          <cell r="L90">
            <v>0</v>
          </cell>
          <cell r="M90">
            <v>26187.42</v>
          </cell>
          <cell r="N90">
            <v>0</v>
          </cell>
          <cell r="O90">
            <v>0</v>
          </cell>
          <cell r="P90">
            <v>0</v>
          </cell>
          <cell r="Q90">
            <v>26187.42</v>
          </cell>
          <cell r="R90">
            <v>1211399.43</v>
          </cell>
        </row>
        <row r="91">
          <cell r="B91" t="str">
            <v>GERSHOP SERVICOS HOS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14150.83</v>
          </cell>
          <cell r="N91">
            <v>14150.82</v>
          </cell>
          <cell r="O91">
            <v>0</v>
          </cell>
          <cell r="P91">
            <v>0</v>
          </cell>
          <cell r="Q91">
            <v>28301.65</v>
          </cell>
          <cell r="R91">
            <v>28301.65</v>
          </cell>
        </row>
        <row r="92">
          <cell r="B92" t="str">
            <v>GOCARE PLANOS DE SAU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29538.629999999997</v>
          </cell>
          <cell r="N92">
            <v>29538.629999999997</v>
          </cell>
          <cell r="O92">
            <v>29538.629999999997</v>
          </cell>
          <cell r="P92">
            <v>29538.61</v>
          </cell>
          <cell r="Q92">
            <v>118154.5</v>
          </cell>
          <cell r="R92">
            <v>118154.5</v>
          </cell>
        </row>
        <row r="93">
          <cell r="B93" t="str">
            <v>GRUPO CEMERU SAUDE</v>
          </cell>
          <cell r="D93">
            <v>9430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9430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9430</v>
          </cell>
        </row>
        <row r="94">
          <cell r="B94" t="str">
            <v>GS - PLANO GLOBAL DE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10107.24</v>
          </cell>
          <cell r="N94">
            <v>0</v>
          </cell>
          <cell r="O94">
            <v>0</v>
          </cell>
          <cell r="P94">
            <v>0</v>
          </cell>
          <cell r="Q94">
            <v>10107.24</v>
          </cell>
          <cell r="R94">
            <v>10107.24</v>
          </cell>
        </row>
        <row r="95">
          <cell r="B95" t="str">
            <v>H. MEDICOS ASSOCIADO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133200</v>
          </cell>
          <cell r="P95">
            <v>0</v>
          </cell>
          <cell r="Q95">
            <v>133200</v>
          </cell>
          <cell r="R95">
            <v>133200</v>
          </cell>
        </row>
        <row r="96">
          <cell r="B96" t="str">
            <v>HCOR - HOSPITAL DO C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941708.48</v>
          </cell>
          <cell r="P96">
            <v>0</v>
          </cell>
          <cell r="Q96">
            <v>941708.48</v>
          </cell>
          <cell r="R96">
            <v>941708.48</v>
          </cell>
        </row>
        <row r="97">
          <cell r="B97" t="str">
            <v>HEMOBAHIA</v>
          </cell>
          <cell r="D97">
            <v>24975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24975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0</v>
          </cell>
          <cell r="R97">
            <v>24975</v>
          </cell>
        </row>
        <row r="98">
          <cell r="B98" t="str">
            <v>HEMOCOR</v>
          </cell>
          <cell r="D98">
            <v>110892.5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110892.5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110892.5</v>
          </cell>
        </row>
        <row r="99">
          <cell r="B99" t="str">
            <v>HOSP CASA SAO BERNAR</v>
          </cell>
          <cell r="D99">
            <v>15531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15531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15531</v>
          </cell>
        </row>
        <row r="100">
          <cell r="B100" t="str">
            <v>HOSP REGIONAL DE SOR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74234</v>
          </cell>
          <cell r="O100">
            <v>0</v>
          </cell>
          <cell r="P100">
            <v>0</v>
          </cell>
          <cell r="Q100">
            <v>74234</v>
          </cell>
          <cell r="R100">
            <v>74234</v>
          </cell>
        </row>
        <row r="101">
          <cell r="B101" t="str">
            <v>HOSP. CASA EVANGELIC</v>
          </cell>
          <cell r="D101">
            <v>105756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105756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0</v>
          </cell>
          <cell r="R101">
            <v>105756</v>
          </cell>
        </row>
        <row r="102">
          <cell r="B102" t="str">
            <v>HOSPITAL 9 DE JULHO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4406.6499999999996</v>
          </cell>
          <cell r="O102">
            <v>104424.27</v>
          </cell>
          <cell r="P102">
            <v>0</v>
          </cell>
          <cell r="Q102">
            <v>108830.92</v>
          </cell>
          <cell r="R102">
            <v>108830.92</v>
          </cell>
        </row>
        <row r="103">
          <cell r="B103" t="str">
            <v>HOSPITAL ALVORADA MO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52493.2</v>
          </cell>
          <cell r="P103">
            <v>0</v>
          </cell>
          <cell r="Q103">
            <v>52493.2</v>
          </cell>
          <cell r="R103">
            <v>52493.2</v>
          </cell>
        </row>
        <row r="104">
          <cell r="B104" t="str">
            <v>HOSPITAL ANGELINA CA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149427.86000000002</v>
          </cell>
          <cell r="N104">
            <v>24206.799999999999</v>
          </cell>
          <cell r="O104">
            <v>148898.66999999998</v>
          </cell>
          <cell r="P104">
            <v>0</v>
          </cell>
          <cell r="Q104">
            <v>322533.33</v>
          </cell>
          <cell r="R104">
            <v>322533.33</v>
          </cell>
        </row>
        <row r="105">
          <cell r="B105" t="str">
            <v>HOSPITAL ANTONIO AFO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50846.83</v>
          </cell>
          <cell r="Q105">
            <v>50846.83</v>
          </cell>
          <cell r="R105">
            <v>50846.83</v>
          </cell>
        </row>
        <row r="106">
          <cell r="B106" t="str">
            <v>HOSPITAL ASSUNCAO</v>
          </cell>
          <cell r="D106">
            <v>85930.5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85930.5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85930.5</v>
          </cell>
        </row>
        <row r="107">
          <cell r="B107" t="str">
            <v>HOSPITAL BALBINO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8206.4</v>
          </cell>
          <cell r="P107">
            <v>0</v>
          </cell>
          <cell r="Q107">
            <v>8206.4</v>
          </cell>
          <cell r="R107">
            <v>8206.4</v>
          </cell>
        </row>
        <row r="108">
          <cell r="B108" t="str">
            <v>HOSPITAL BENEFICENCI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13410.6</v>
          </cell>
          <cell r="N108">
            <v>0</v>
          </cell>
          <cell r="O108">
            <v>0</v>
          </cell>
          <cell r="P108">
            <v>0</v>
          </cell>
          <cell r="Q108">
            <v>13410.6</v>
          </cell>
          <cell r="R108">
            <v>13410.6</v>
          </cell>
        </row>
        <row r="109">
          <cell r="B109" t="str">
            <v>HOSPITAL BENEFICENTE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31382.5</v>
          </cell>
          <cell r="N109">
            <v>0</v>
          </cell>
          <cell r="O109">
            <v>0</v>
          </cell>
          <cell r="P109">
            <v>0</v>
          </cell>
          <cell r="Q109">
            <v>31382.5</v>
          </cell>
          <cell r="R109">
            <v>31382.5</v>
          </cell>
        </row>
        <row r="110">
          <cell r="B110" t="str">
            <v>HOSPITAL BENEFICIENC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320000</v>
          </cell>
          <cell r="O110">
            <v>228877.26</v>
          </cell>
          <cell r="P110">
            <v>1891941.2400000002</v>
          </cell>
          <cell r="Q110">
            <v>2440818.5000000005</v>
          </cell>
          <cell r="R110">
            <v>2440818.5000000005</v>
          </cell>
        </row>
        <row r="111">
          <cell r="B111" t="str">
            <v>HOSPITAL CARLOS CHAG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40020.980000000003</v>
          </cell>
          <cell r="P111">
            <v>0</v>
          </cell>
          <cell r="Q111">
            <v>40020.980000000003</v>
          </cell>
          <cell r="R111">
            <v>40020.980000000003</v>
          </cell>
        </row>
        <row r="112">
          <cell r="B112" t="str">
            <v>HOSPITAL CARLOS FERN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6842.85</v>
          </cell>
          <cell r="O112">
            <v>0</v>
          </cell>
          <cell r="P112">
            <v>0</v>
          </cell>
          <cell r="Q112">
            <v>6842.85</v>
          </cell>
          <cell r="R112">
            <v>6842.85</v>
          </cell>
        </row>
        <row r="113">
          <cell r="B113" t="str">
            <v>HOSPITAL CEPOG LTDA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6133.33</v>
          </cell>
          <cell r="N113">
            <v>6133.33</v>
          </cell>
          <cell r="O113">
            <v>6133.34</v>
          </cell>
          <cell r="P113">
            <v>0</v>
          </cell>
          <cell r="Q113">
            <v>18400</v>
          </cell>
          <cell r="R113">
            <v>18400</v>
          </cell>
        </row>
        <row r="114">
          <cell r="B114" t="str">
            <v>HOSPITAL COPA DOR ST</v>
          </cell>
          <cell r="D114">
            <v>7371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7371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0</v>
          </cell>
          <cell r="R114">
            <v>7371</v>
          </cell>
        </row>
        <row r="115">
          <cell r="B115" t="str">
            <v>HOSPITAL DA FUNDACAO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50270.06</v>
          </cell>
          <cell r="N115">
            <v>108607.67</v>
          </cell>
          <cell r="O115">
            <v>0</v>
          </cell>
          <cell r="P115">
            <v>0</v>
          </cell>
          <cell r="Q115">
            <v>158877.72999999998</v>
          </cell>
          <cell r="R115">
            <v>158877.72999999998</v>
          </cell>
        </row>
        <row r="116">
          <cell r="B116" t="str">
            <v>HOSPITAL DE BASE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34200</v>
          </cell>
          <cell r="M116">
            <v>97782.92</v>
          </cell>
          <cell r="N116">
            <v>176210.4</v>
          </cell>
          <cell r="O116">
            <v>0</v>
          </cell>
          <cell r="P116">
            <v>602023.34000000008</v>
          </cell>
          <cell r="Q116">
            <v>910216.65999999992</v>
          </cell>
          <cell r="R116">
            <v>910216.65999999992</v>
          </cell>
        </row>
        <row r="117">
          <cell r="B117" t="str">
            <v>HOSPITAL DE CLINICAS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86033.66</v>
          </cell>
          <cell r="N117">
            <v>155039.57</v>
          </cell>
          <cell r="O117">
            <v>81467.34</v>
          </cell>
          <cell r="P117">
            <v>13000</v>
          </cell>
          <cell r="Q117">
            <v>335540.57</v>
          </cell>
          <cell r="R117">
            <v>335540.57</v>
          </cell>
        </row>
        <row r="118">
          <cell r="B118" t="str">
            <v>HOSPITAL DI CAMP LTD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6600</v>
          </cell>
          <cell r="N118">
            <v>6600</v>
          </cell>
          <cell r="O118">
            <v>6600</v>
          </cell>
          <cell r="P118">
            <v>0</v>
          </cell>
          <cell r="Q118">
            <v>19800</v>
          </cell>
          <cell r="R118">
            <v>19800</v>
          </cell>
        </row>
        <row r="119">
          <cell r="B119" t="str">
            <v>HOSPITAL DO SERVIDOR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31613.34</v>
          </cell>
          <cell r="K119">
            <v>31613.34</v>
          </cell>
          <cell r="L119">
            <v>0</v>
          </cell>
          <cell r="M119">
            <v>43390.82</v>
          </cell>
          <cell r="N119">
            <v>0</v>
          </cell>
          <cell r="O119">
            <v>0</v>
          </cell>
          <cell r="P119">
            <v>0</v>
          </cell>
          <cell r="Q119">
            <v>43390.82</v>
          </cell>
          <cell r="R119">
            <v>75004.160000000003</v>
          </cell>
        </row>
        <row r="120">
          <cell r="B120" t="str">
            <v>HOSPITAL DOM JOAQUIM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72079.42</v>
          </cell>
          <cell r="M120">
            <v>130526.40000000001</v>
          </cell>
          <cell r="N120">
            <v>0</v>
          </cell>
          <cell r="O120">
            <v>0</v>
          </cell>
          <cell r="P120">
            <v>0</v>
          </cell>
          <cell r="Q120">
            <v>202605.82</v>
          </cell>
          <cell r="R120">
            <v>202605.82</v>
          </cell>
        </row>
        <row r="121">
          <cell r="B121" t="str">
            <v>HOSPITAL DOM ORIONE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22333.33</v>
          </cell>
          <cell r="N121">
            <v>22333.33</v>
          </cell>
          <cell r="O121">
            <v>22333.34</v>
          </cell>
          <cell r="P121">
            <v>0</v>
          </cell>
          <cell r="Q121">
            <v>67000</v>
          </cell>
          <cell r="R121">
            <v>67000</v>
          </cell>
        </row>
        <row r="122">
          <cell r="B122" t="str">
            <v>HOSPITAL E CLINICA S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128000</v>
          </cell>
          <cell r="M122">
            <v>0</v>
          </cell>
          <cell r="N122">
            <v>0</v>
          </cell>
          <cell r="O122">
            <v>97403.7</v>
          </cell>
          <cell r="P122">
            <v>0</v>
          </cell>
          <cell r="Q122">
            <v>225403.7</v>
          </cell>
          <cell r="R122">
            <v>225403.7</v>
          </cell>
        </row>
        <row r="123">
          <cell r="B123" t="str">
            <v>HOSPITAL E MATERNIDA</v>
          </cell>
          <cell r="D123">
            <v>52624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52624</v>
          </cell>
          <cell r="L123">
            <v>0</v>
          </cell>
          <cell r="M123">
            <v>0</v>
          </cell>
          <cell r="N123">
            <v>250218</v>
          </cell>
          <cell r="O123">
            <v>80122.76999999999</v>
          </cell>
          <cell r="P123">
            <v>9620</v>
          </cell>
          <cell r="Q123">
            <v>339960.77</v>
          </cell>
          <cell r="R123">
            <v>392584.77</v>
          </cell>
        </row>
        <row r="124">
          <cell r="B124" t="str">
            <v>HOSPITAL ESCOLA ALVA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156100</v>
          </cell>
          <cell r="K124">
            <v>156100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0</v>
          </cell>
          <cell r="R124">
            <v>156100</v>
          </cell>
        </row>
        <row r="125">
          <cell r="B125" t="str">
            <v>HOSPITAL ESPERANCA S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4600</v>
          </cell>
          <cell r="O125">
            <v>0</v>
          </cell>
          <cell r="P125">
            <v>0</v>
          </cell>
          <cell r="Q125">
            <v>4600</v>
          </cell>
          <cell r="R125">
            <v>4600</v>
          </cell>
        </row>
        <row r="126">
          <cell r="B126" t="str">
            <v>HOSPITAL ICARAI</v>
          </cell>
          <cell r="D126">
            <v>0</v>
          </cell>
          <cell r="E126">
            <v>3190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3190</v>
          </cell>
          <cell r="L126">
            <v>31968.400000000001</v>
          </cell>
          <cell r="M126">
            <v>0</v>
          </cell>
          <cell r="N126">
            <v>33433.019999999997</v>
          </cell>
          <cell r="O126">
            <v>0</v>
          </cell>
          <cell r="P126">
            <v>1200</v>
          </cell>
          <cell r="Q126">
            <v>66601.42</v>
          </cell>
          <cell r="R126">
            <v>69791.42</v>
          </cell>
        </row>
        <row r="127">
          <cell r="B127" t="str">
            <v>HOSPITAL ILHA DO GOV</v>
          </cell>
          <cell r="D127">
            <v>58660.55</v>
          </cell>
          <cell r="E127">
            <v>0</v>
          </cell>
          <cell r="F127">
            <v>0</v>
          </cell>
          <cell r="G127">
            <v>0</v>
          </cell>
          <cell r="H127">
            <v>65528.959999999999</v>
          </cell>
          <cell r="I127">
            <v>0</v>
          </cell>
          <cell r="J127">
            <v>0</v>
          </cell>
          <cell r="K127">
            <v>124189.51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0</v>
          </cell>
          <cell r="R127">
            <v>124189.51</v>
          </cell>
        </row>
        <row r="128">
          <cell r="B128" t="str">
            <v>HOSPITAL INFANTE DOM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447016</v>
          </cell>
          <cell r="N128">
            <v>0</v>
          </cell>
          <cell r="O128">
            <v>0</v>
          </cell>
          <cell r="P128">
            <v>0</v>
          </cell>
          <cell r="Q128">
            <v>447016</v>
          </cell>
          <cell r="R128">
            <v>447016</v>
          </cell>
        </row>
        <row r="129">
          <cell r="B129" t="str">
            <v>HOSPITAL LUXEMBURGO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29290.1</v>
          </cell>
          <cell r="N129">
            <v>0</v>
          </cell>
          <cell r="O129">
            <v>0</v>
          </cell>
          <cell r="P129">
            <v>0</v>
          </cell>
          <cell r="Q129">
            <v>29290.1</v>
          </cell>
          <cell r="R129">
            <v>29290.1</v>
          </cell>
        </row>
        <row r="130">
          <cell r="B130" t="str">
            <v>HOSPITAL MATER DEI S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9929.2800000000007</v>
          </cell>
          <cell r="N130">
            <v>0</v>
          </cell>
          <cell r="O130">
            <v>41920.86</v>
          </cell>
          <cell r="P130">
            <v>46218</v>
          </cell>
          <cell r="Q130">
            <v>98068.14</v>
          </cell>
          <cell r="R130">
            <v>98068.14</v>
          </cell>
        </row>
        <row r="131">
          <cell r="B131" t="str">
            <v>HOSPITAL MATERNIDADE</v>
          </cell>
          <cell r="D131">
            <v>141643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141643</v>
          </cell>
          <cell r="L131">
            <v>158206</v>
          </cell>
          <cell r="M131">
            <v>188400</v>
          </cell>
          <cell r="N131">
            <v>0</v>
          </cell>
          <cell r="O131">
            <v>0</v>
          </cell>
          <cell r="P131">
            <v>0</v>
          </cell>
          <cell r="Q131">
            <v>346606</v>
          </cell>
          <cell r="R131">
            <v>488249</v>
          </cell>
        </row>
        <row r="132">
          <cell r="B132" t="str">
            <v>HOSPITAL PALMAS MEDI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181969</v>
          </cell>
          <cell r="Q132">
            <v>181969</v>
          </cell>
          <cell r="R132">
            <v>181969</v>
          </cell>
        </row>
        <row r="133">
          <cell r="B133" t="str">
            <v>HOSPITAL PASTEUR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32376.78</v>
          </cell>
          <cell r="P133">
            <v>0</v>
          </cell>
          <cell r="Q133">
            <v>32376.78</v>
          </cell>
          <cell r="R133">
            <v>32376.78</v>
          </cell>
        </row>
        <row r="134">
          <cell r="B134" t="str">
            <v>HOSPITAL PEDIATRICO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198000</v>
          </cell>
          <cell r="O134">
            <v>0</v>
          </cell>
          <cell r="P134">
            <v>0</v>
          </cell>
          <cell r="Q134">
            <v>198000</v>
          </cell>
          <cell r="R134">
            <v>198000</v>
          </cell>
        </row>
        <row r="135">
          <cell r="B135" t="str">
            <v>HOSPITAL POLICLIN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108195.33</v>
          </cell>
          <cell r="N135">
            <v>248165.13999999998</v>
          </cell>
          <cell r="O135">
            <v>0</v>
          </cell>
          <cell r="P135">
            <v>0</v>
          </cell>
          <cell r="Q135">
            <v>356360.47</v>
          </cell>
          <cell r="R135">
            <v>356360.47</v>
          </cell>
        </row>
        <row r="136">
          <cell r="B136" t="str">
            <v>HOSPITAL POLICLINICA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57350</v>
          </cell>
          <cell r="Q136">
            <v>57350</v>
          </cell>
          <cell r="R136">
            <v>57350</v>
          </cell>
        </row>
        <row r="137">
          <cell r="B137" t="str">
            <v>HOSPITAL PORTUGUES D</v>
          </cell>
          <cell r="D137">
            <v>0</v>
          </cell>
          <cell r="E137">
            <v>0</v>
          </cell>
          <cell r="F137">
            <v>7840</v>
          </cell>
          <cell r="G137">
            <v>0</v>
          </cell>
          <cell r="H137">
            <v>0</v>
          </cell>
          <cell r="I137">
            <v>0</v>
          </cell>
          <cell r="J137">
            <v>84670</v>
          </cell>
          <cell r="K137">
            <v>92510</v>
          </cell>
          <cell r="L137">
            <v>0</v>
          </cell>
          <cell r="M137">
            <v>7840</v>
          </cell>
          <cell r="N137">
            <v>0</v>
          </cell>
          <cell r="O137">
            <v>153474.22999999998</v>
          </cell>
          <cell r="P137">
            <v>0</v>
          </cell>
          <cell r="Q137">
            <v>161314.22999999998</v>
          </cell>
          <cell r="R137">
            <v>253824.22999999998</v>
          </cell>
        </row>
        <row r="138">
          <cell r="B138" t="str">
            <v>HOSPITAL PRO-CARDIAC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14504.28</v>
          </cell>
          <cell r="P138">
            <v>0</v>
          </cell>
          <cell r="Q138">
            <v>14504.28</v>
          </cell>
          <cell r="R138">
            <v>14504.28</v>
          </cell>
        </row>
        <row r="139">
          <cell r="B139" t="str">
            <v>HOSPITAL PRO-CARDIAC Total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14504.28</v>
          </cell>
          <cell r="P139">
            <v>0</v>
          </cell>
          <cell r="Q139">
            <v>14504.28</v>
          </cell>
          <cell r="R139">
            <v>14504.28</v>
          </cell>
        </row>
        <row r="140">
          <cell r="B140" t="str">
            <v>HOSPITAL QUALI IPANE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263340</v>
          </cell>
          <cell r="P140">
            <v>0</v>
          </cell>
          <cell r="Q140">
            <v>263340</v>
          </cell>
          <cell r="R140">
            <v>263340</v>
          </cell>
        </row>
        <row r="141">
          <cell r="B141" t="str">
            <v>HOSPITAL REGIONAL DE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49605.950000000004</v>
          </cell>
          <cell r="N141">
            <v>225229.53</v>
          </cell>
          <cell r="O141">
            <v>49606</v>
          </cell>
          <cell r="P141">
            <v>0</v>
          </cell>
          <cell r="Q141">
            <v>324441.48000000004</v>
          </cell>
          <cell r="R141">
            <v>324441.48000000004</v>
          </cell>
        </row>
        <row r="142">
          <cell r="B142" t="str">
            <v>HOSPITAL REGIONAL DO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100716.56</v>
          </cell>
          <cell r="N142">
            <v>86806.42</v>
          </cell>
          <cell r="O142">
            <v>0</v>
          </cell>
          <cell r="P142">
            <v>0</v>
          </cell>
          <cell r="Q142">
            <v>187522.97999999998</v>
          </cell>
          <cell r="R142">
            <v>187522.97999999998</v>
          </cell>
        </row>
        <row r="143">
          <cell r="B143" t="str">
            <v>HOSPITAL RIOS DOR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101452.8</v>
          </cell>
          <cell r="P143">
            <v>0</v>
          </cell>
          <cell r="Q143">
            <v>101452.8</v>
          </cell>
          <cell r="R143">
            <v>101452.8</v>
          </cell>
        </row>
        <row r="144">
          <cell r="B144" t="str">
            <v>HOSPITAL SAMAR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18750</v>
          </cell>
          <cell r="N144">
            <v>18750</v>
          </cell>
          <cell r="O144">
            <v>18750</v>
          </cell>
          <cell r="P144">
            <v>18750</v>
          </cell>
          <cell r="Q144">
            <v>75000</v>
          </cell>
          <cell r="R144">
            <v>75000</v>
          </cell>
        </row>
        <row r="145">
          <cell r="B145" t="str">
            <v>HOSPITAL SAMARITANO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123329.11</v>
          </cell>
          <cell r="P145">
            <v>68798.78</v>
          </cell>
          <cell r="Q145">
            <v>192127.89</v>
          </cell>
          <cell r="R145">
            <v>192127.89</v>
          </cell>
        </row>
        <row r="146">
          <cell r="B146" t="str">
            <v>HOSPITAL SANCTA MAGG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78200</v>
          </cell>
          <cell r="O146">
            <v>0</v>
          </cell>
          <cell r="P146">
            <v>0</v>
          </cell>
          <cell r="Q146">
            <v>78200</v>
          </cell>
          <cell r="R146">
            <v>78200</v>
          </cell>
        </row>
        <row r="147">
          <cell r="B147" t="str">
            <v>HOSPITAL SANTA CATAR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230900</v>
          </cell>
          <cell r="O147">
            <v>0</v>
          </cell>
          <cell r="P147">
            <v>0</v>
          </cell>
          <cell r="Q147">
            <v>230900</v>
          </cell>
          <cell r="R147">
            <v>230900</v>
          </cell>
        </row>
        <row r="148">
          <cell r="B148" t="str">
            <v>HOSPITAL SANTA CECIL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2356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2356</v>
          </cell>
          <cell r="R148">
            <v>2356</v>
          </cell>
        </row>
        <row r="149">
          <cell r="B149" t="str">
            <v>HOSPITAL SANTA CRUZ</v>
          </cell>
          <cell r="D149">
            <v>21762.22</v>
          </cell>
          <cell r="E149">
            <v>10881.11</v>
          </cell>
          <cell r="F149">
            <v>10881.11</v>
          </cell>
          <cell r="G149">
            <v>10881.11</v>
          </cell>
          <cell r="H149">
            <v>10881.11</v>
          </cell>
          <cell r="I149">
            <v>10881.11</v>
          </cell>
          <cell r="J149">
            <v>10881.11</v>
          </cell>
          <cell r="K149">
            <v>87048.879999999976</v>
          </cell>
          <cell r="L149">
            <v>10881.11</v>
          </cell>
          <cell r="M149">
            <v>10881.11</v>
          </cell>
          <cell r="N149">
            <v>10881.11</v>
          </cell>
          <cell r="O149">
            <v>10881.11</v>
          </cell>
          <cell r="P149">
            <v>152335.69999999998</v>
          </cell>
          <cell r="Q149">
            <v>195860.13999999993</v>
          </cell>
          <cell r="R149">
            <v>282909.0199999999</v>
          </cell>
        </row>
        <row r="150">
          <cell r="B150" t="str">
            <v>HOSPITAL SANTA HELEN</v>
          </cell>
          <cell r="D150">
            <v>182750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182750</v>
          </cell>
          <cell r="L150">
            <v>0</v>
          </cell>
          <cell r="M150">
            <v>0</v>
          </cell>
          <cell r="N150">
            <v>0</v>
          </cell>
          <cell r="O150">
            <v>183600</v>
          </cell>
          <cell r="P150">
            <v>0</v>
          </cell>
          <cell r="Q150">
            <v>183600</v>
          </cell>
          <cell r="R150">
            <v>366350</v>
          </cell>
        </row>
        <row r="151">
          <cell r="B151" t="str">
            <v>HOSPITAL SANTA IZABE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239771.57</v>
          </cell>
          <cell r="P151">
            <v>8672.57</v>
          </cell>
          <cell r="Q151">
            <v>248444.14</v>
          </cell>
          <cell r="R151">
            <v>248444.14</v>
          </cell>
        </row>
        <row r="152">
          <cell r="B152" t="str">
            <v>HOSPITAL SANTA VIRGI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35085.33</v>
          </cell>
          <cell r="O152">
            <v>35085.33</v>
          </cell>
          <cell r="P152">
            <v>35085.339999999997</v>
          </cell>
          <cell r="Q152">
            <v>105256</v>
          </cell>
          <cell r="R152">
            <v>105256</v>
          </cell>
        </row>
        <row r="153">
          <cell r="B153" t="str">
            <v>HOSPITAL SANTOS DUMO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39266.660000000003</v>
          </cell>
          <cell r="N153">
            <v>39266.67</v>
          </cell>
          <cell r="O153">
            <v>39266.67</v>
          </cell>
          <cell r="P153">
            <v>0</v>
          </cell>
          <cell r="Q153">
            <v>117800</v>
          </cell>
          <cell r="R153">
            <v>117800</v>
          </cell>
        </row>
        <row r="154">
          <cell r="B154" t="str">
            <v>HOSPITAL SAO CAMILO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6948.7</v>
          </cell>
          <cell r="N154">
            <v>0</v>
          </cell>
          <cell r="O154">
            <v>503530.58999999997</v>
          </cell>
          <cell r="P154">
            <v>0</v>
          </cell>
          <cell r="Q154">
            <v>510479.29</v>
          </cell>
          <cell r="R154">
            <v>510479.29</v>
          </cell>
        </row>
        <row r="155">
          <cell r="B155" t="str">
            <v>HOSPITAL SAO JOAO DE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55930</v>
          </cell>
          <cell r="O155">
            <v>0</v>
          </cell>
          <cell r="P155">
            <v>0</v>
          </cell>
          <cell r="Q155">
            <v>55930</v>
          </cell>
          <cell r="R155">
            <v>55930</v>
          </cell>
        </row>
        <row r="156">
          <cell r="B156" t="str">
            <v>HOSPITAL SAO LUCAS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118100</v>
          </cell>
          <cell r="P156">
            <v>0</v>
          </cell>
          <cell r="Q156">
            <v>118100</v>
          </cell>
          <cell r="R156">
            <v>118100</v>
          </cell>
        </row>
        <row r="157">
          <cell r="B157" t="str">
            <v>HOSPITAL SAO LUCAS D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9166.67</v>
          </cell>
          <cell r="M157">
            <v>9166.67</v>
          </cell>
          <cell r="N157">
            <v>9166.67</v>
          </cell>
          <cell r="O157">
            <v>181666.67</v>
          </cell>
          <cell r="P157">
            <v>9166.6299999999992</v>
          </cell>
          <cell r="Q157">
            <v>218333.31</v>
          </cell>
          <cell r="R157">
            <v>218333.31</v>
          </cell>
        </row>
        <row r="158">
          <cell r="B158" t="str">
            <v>HOSPITAL SAO PAULO</v>
          </cell>
          <cell r="D158">
            <v>136470.29</v>
          </cell>
          <cell r="E158">
            <v>44799.47</v>
          </cell>
          <cell r="F158">
            <v>44319.31</v>
          </cell>
          <cell r="G158">
            <v>43598.66</v>
          </cell>
          <cell r="H158">
            <v>71981.45</v>
          </cell>
          <cell r="I158">
            <v>105133.91</v>
          </cell>
          <cell r="J158">
            <v>0</v>
          </cell>
          <cell r="K158">
            <v>446303.08999999997</v>
          </cell>
          <cell r="L158">
            <v>43598.66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43598.66</v>
          </cell>
          <cell r="R158">
            <v>489901.75</v>
          </cell>
        </row>
        <row r="159">
          <cell r="B159" t="str">
            <v>HOSPITAL SAO VICENTE</v>
          </cell>
          <cell r="D159">
            <v>0</v>
          </cell>
          <cell r="E159">
            <v>295318.56</v>
          </cell>
          <cell r="F159">
            <v>0</v>
          </cell>
          <cell r="G159">
            <v>0</v>
          </cell>
          <cell r="H159">
            <v>0</v>
          </cell>
          <cell r="I159">
            <v>85231.01</v>
          </cell>
          <cell r="J159">
            <v>186606</v>
          </cell>
          <cell r="K159">
            <v>567155.57000000007</v>
          </cell>
          <cell r="L159">
            <v>42922.45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42922.45</v>
          </cell>
          <cell r="R159">
            <v>610078.02</v>
          </cell>
        </row>
        <row r="160">
          <cell r="B160" t="str">
            <v>HOSPITAL SIRIO LIBAN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510170</v>
          </cell>
          <cell r="Q160">
            <v>510170</v>
          </cell>
          <cell r="R160">
            <v>510170</v>
          </cell>
        </row>
        <row r="161">
          <cell r="B161" t="str">
            <v>HOSPITAL UNIMED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45250</v>
          </cell>
          <cell r="M161">
            <v>164300</v>
          </cell>
          <cell r="N161">
            <v>164300.01</v>
          </cell>
          <cell r="O161">
            <v>181766.66999999998</v>
          </cell>
          <cell r="P161">
            <v>335783.32</v>
          </cell>
          <cell r="Q161">
            <v>891400</v>
          </cell>
          <cell r="R161">
            <v>891400</v>
          </cell>
        </row>
        <row r="162">
          <cell r="B162" t="str">
            <v>HOSPITAL UNIMED BOTU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131500</v>
          </cell>
          <cell r="O162">
            <v>0</v>
          </cell>
          <cell r="P162">
            <v>0</v>
          </cell>
          <cell r="Q162">
            <v>131500</v>
          </cell>
          <cell r="R162">
            <v>131500</v>
          </cell>
        </row>
        <row r="163">
          <cell r="B163" t="str">
            <v>HOSPITAL UNIMED CAXI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152100</v>
          </cell>
          <cell r="N163">
            <v>0</v>
          </cell>
          <cell r="O163">
            <v>0</v>
          </cell>
          <cell r="P163">
            <v>0</v>
          </cell>
          <cell r="Q163">
            <v>152100</v>
          </cell>
          <cell r="R163">
            <v>152100</v>
          </cell>
        </row>
        <row r="164">
          <cell r="B164" t="str">
            <v>HOSPITAL UNIMED RECI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47499.99</v>
          </cell>
          <cell r="N164">
            <v>121643.72999999998</v>
          </cell>
          <cell r="O164">
            <v>121643.73999999999</v>
          </cell>
          <cell r="P164">
            <v>195787.53999999998</v>
          </cell>
          <cell r="Q164">
            <v>486575</v>
          </cell>
          <cell r="R164">
            <v>486575</v>
          </cell>
        </row>
        <row r="165">
          <cell r="B165" t="str">
            <v>HOSPITAL UNIMED REGI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34483.33</v>
          </cell>
          <cell r="N165">
            <v>151833.33000000002</v>
          </cell>
          <cell r="O165">
            <v>34483.339999999997</v>
          </cell>
          <cell r="P165">
            <v>0</v>
          </cell>
          <cell r="Q165">
            <v>220800</v>
          </cell>
          <cell r="R165">
            <v>220800</v>
          </cell>
        </row>
        <row r="166">
          <cell r="B166" t="str">
            <v>HOSPITAL UNIMED VOLT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35900</v>
          </cell>
          <cell r="N166">
            <v>83110</v>
          </cell>
          <cell r="O166">
            <v>35900</v>
          </cell>
          <cell r="P166">
            <v>35900</v>
          </cell>
          <cell r="Q166">
            <v>190810</v>
          </cell>
          <cell r="R166">
            <v>190810</v>
          </cell>
        </row>
        <row r="167">
          <cell r="B167" t="str">
            <v>HOSPITAL UNIVERSITAR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55467.43</v>
          </cell>
          <cell r="J167">
            <v>42922.54</v>
          </cell>
          <cell r="K167">
            <v>98389.97</v>
          </cell>
          <cell r="L167">
            <v>0</v>
          </cell>
          <cell r="M167">
            <v>140676.74</v>
          </cell>
          <cell r="N167">
            <v>179316.49</v>
          </cell>
          <cell r="O167">
            <v>43654.090000000004</v>
          </cell>
          <cell r="P167">
            <v>0</v>
          </cell>
          <cell r="Q167">
            <v>363647.32</v>
          </cell>
          <cell r="R167">
            <v>462037.29000000004</v>
          </cell>
        </row>
        <row r="168">
          <cell r="B168" t="str">
            <v>HOSPITAL VIDA</v>
          </cell>
          <cell r="D168">
            <v>21214.32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21214.32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  <cell r="R168">
            <v>21214.32</v>
          </cell>
        </row>
        <row r="169">
          <cell r="B169" t="str">
            <v>HOSPITAL VITA CURITI</v>
          </cell>
          <cell r="D169">
            <v>32455.13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32455.13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32455.13</v>
          </cell>
        </row>
        <row r="170">
          <cell r="B170" t="str">
            <v>HOSPITAL VITORIA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14405</v>
          </cell>
          <cell r="N170">
            <v>0</v>
          </cell>
          <cell r="O170">
            <v>31931.5</v>
          </cell>
          <cell r="P170">
            <v>168877</v>
          </cell>
          <cell r="Q170">
            <v>215213.5</v>
          </cell>
          <cell r="R170">
            <v>215213.5</v>
          </cell>
        </row>
        <row r="171">
          <cell r="B171" t="str">
            <v>HOSPITAL VIVALLE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35667.83</v>
          </cell>
          <cell r="M171">
            <v>0</v>
          </cell>
          <cell r="N171">
            <v>58245.5</v>
          </cell>
          <cell r="O171">
            <v>0</v>
          </cell>
          <cell r="P171">
            <v>660661.13</v>
          </cell>
          <cell r="Q171">
            <v>754574.46000000008</v>
          </cell>
          <cell r="R171">
            <v>754574.46000000008</v>
          </cell>
        </row>
        <row r="172">
          <cell r="B172" t="str">
            <v>HS COR SERVICOS DE H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5120</v>
          </cell>
          <cell r="I172">
            <v>0</v>
          </cell>
          <cell r="J172">
            <v>0</v>
          </cell>
          <cell r="K172">
            <v>5120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5120</v>
          </cell>
        </row>
        <row r="173">
          <cell r="B173" t="str">
            <v>HUGOL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35000</v>
          </cell>
          <cell r="N173">
            <v>0</v>
          </cell>
          <cell r="O173">
            <v>0</v>
          </cell>
          <cell r="P173">
            <v>0</v>
          </cell>
          <cell r="Q173">
            <v>35000</v>
          </cell>
          <cell r="R173">
            <v>35000</v>
          </cell>
        </row>
        <row r="174">
          <cell r="B174" t="str">
            <v>HUMANA SAUDE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60200</v>
          </cell>
          <cell r="P174">
            <v>0</v>
          </cell>
          <cell r="Q174">
            <v>60200</v>
          </cell>
          <cell r="R174">
            <v>60200</v>
          </cell>
        </row>
        <row r="175">
          <cell r="B175" t="str">
            <v>IBG SAUDE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39238.339999999997</v>
          </cell>
          <cell r="N175">
            <v>0</v>
          </cell>
          <cell r="O175">
            <v>39238.339999999997</v>
          </cell>
          <cell r="P175">
            <v>0</v>
          </cell>
          <cell r="Q175">
            <v>78476.679999999993</v>
          </cell>
          <cell r="R175">
            <v>78476.679999999993</v>
          </cell>
        </row>
        <row r="176">
          <cell r="B176" t="str">
            <v>INSTITUTO DE ANGIOLO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183600</v>
          </cell>
          <cell r="P176">
            <v>0</v>
          </cell>
          <cell r="Q176">
            <v>183600</v>
          </cell>
          <cell r="R176">
            <v>183600</v>
          </cell>
        </row>
        <row r="177">
          <cell r="B177" t="str">
            <v>INTRAMEDICAL COMERCI</v>
          </cell>
          <cell r="D177">
            <v>23400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23400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23400</v>
          </cell>
        </row>
        <row r="178">
          <cell r="B178" t="str">
            <v>IRMANDADE DA SANTA C</v>
          </cell>
          <cell r="D178">
            <v>104976.62999999999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27483</v>
          </cell>
          <cell r="J178">
            <v>0</v>
          </cell>
          <cell r="K178">
            <v>132459.63</v>
          </cell>
          <cell r="L178">
            <v>45333.75</v>
          </cell>
          <cell r="M178">
            <v>36299.58</v>
          </cell>
          <cell r="N178">
            <v>58690.75</v>
          </cell>
          <cell r="O178">
            <v>37868.770000000004</v>
          </cell>
          <cell r="P178">
            <v>52464.07</v>
          </cell>
          <cell r="Q178">
            <v>230656.92000000004</v>
          </cell>
          <cell r="R178">
            <v>363116.55000000005</v>
          </cell>
        </row>
        <row r="179">
          <cell r="B179" t="str">
            <v>KLINI PLANOS DE SAUD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40683.49</v>
          </cell>
          <cell r="N179">
            <v>40683.49</v>
          </cell>
          <cell r="O179">
            <v>40683.49</v>
          </cell>
          <cell r="P179">
            <v>325467.87</v>
          </cell>
          <cell r="Q179">
            <v>447518.33999999997</v>
          </cell>
          <cell r="R179">
            <v>447518.33999999997</v>
          </cell>
        </row>
        <row r="180">
          <cell r="B180" t="str">
            <v>LACIC - RONDONOPOLIS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161000</v>
          </cell>
          <cell r="N180">
            <v>0</v>
          </cell>
          <cell r="O180">
            <v>0</v>
          </cell>
          <cell r="P180">
            <v>0</v>
          </cell>
          <cell r="Q180">
            <v>161000</v>
          </cell>
          <cell r="R180">
            <v>161000</v>
          </cell>
        </row>
        <row r="181">
          <cell r="B181" t="str">
            <v>LEVE SAUDE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30796</v>
          </cell>
          <cell r="O181">
            <v>0</v>
          </cell>
          <cell r="P181">
            <v>0</v>
          </cell>
          <cell r="Q181">
            <v>30796</v>
          </cell>
          <cell r="R181">
            <v>30796</v>
          </cell>
        </row>
        <row r="182">
          <cell r="B182" t="str">
            <v>LIV SAUDE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5437.95</v>
          </cell>
          <cell r="M182">
            <v>124040.68</v>
          </cell>
          <cell r="N182">
            <v>124040.72</v>
          </cell>
          <cell r="O182">
            <v>0</v>
          </cell>
          <cell r="P182">
            <v>0</v>
          </cell>
          <cell r="Q182">
            <v>253519.35</v>
          </cell>
          <cell r="R182">
            <v>253519.35</v>
          </cell>
        </row>
        <row r="183">
          <cell r="B183" t="str">
            <v>MAIS SAUDE SANTA CAS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19363.330000000002</v>
          </cell>
          <cell r="N183">
            <v>19363.330000000002</v>
          </cell>
          <cell r="O183">
            <v>19363.34</v>
          </cell>
          <cell r="P183">
            <v>0</v>
          </cell>
          <cell r="Q183">
            <v>58090</v>
          </cell>
          <cell r="R183">
            <v>58090</v>
          </cell>
        </row>
        <row r="184">
          <cell r="B184" t="str">
            <v>MED INOVACAO</v>
          </cell>
          <cell r="D184">
            <v>0</v>
          </cell>
          <cell r="E184">
            <v>0</v>
          </cell>
          <cell r="F184">
            <v>0</v>
          </cell>
          <cell r="G184">
            <v>60090</v>
          </cell>
          <cell r="H184">
            <v>159570</v>
          </cell>
          <cell r="I184">
            <v>141220</v>
          </cell>
          <cell r="J184">
            <v>81310</v>
          </cell>
          <cell r="K184">
            <v>442190</v>
          </cell>
          <cell r="L184">
            <v>46520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46520</v>
          </cell>
          <cell r="R184">
            <v>488710</v>
          </cell>
        </row>
        <row r="185">
          <cell r="B185" t="str">
            <v>MEDSENIOR</v>
          </cell>
          <cell r="D185">
            <v>34444.6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34444.6</v>
          </cell>
          <cell r="L185">
            <v>0</v>
          </cell>
          <cell r="M185">
            <v>0</v>
          </cell>
          <cell r="N185">
            <v>552531.6</v>
          </cell>
          <cell r="O185">
            <v>0</v>
          </cell>
          <cell r="P185">
            <v>0</v>
          </cell>
          <cell r="Q185">
            <v>552531.6</v>
          </cell>
          <cell r="R185">
            <v>586976.19999999995</v>
          </cell>
        </row>
        <row r="186">
          <cell r="B186" t="str">
            <v>MED-WAY</v>
          </cell>
          <cell r="D186">
            <v>47097.5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47097.5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47097.5</v>
          </cell>
        </row>
        <row r="187">
          <cell r="B187" t="str">
            <v>NEUROCOR - MS DIAGNO</v>
          </cell>
          <cell r="D187">
            <v>88600</v>
          </cell>
          <cell r="E187">
            <v>0</v>
          </cell>
          <cell r="F187">
            <v>0</v>
          </cell>
          <cell r="G187">
            <v>58705.33</v>
          </cell>
          <cell r="H187">
            <v>0</v>
          </cell>
          <cell r="I187">
            <v>0</v>
          </cell>
          <cell r="J187">
            <v>0</v>
          </cell>
          <cell r="K187">
            <v>147305.33000000002</v>
          </cell>
          <cell r="L187">
            <v>70500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Q187">
            <v>70500</v>
          </cell>
          <cell r="R187">
            <v>217805.33000000002</v>
          </cell>
        </row>
        <row r="188">
          <cell r="B188" t="str">
            <v>NITEROI D´OR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  <cell r="O188">
            <v>0</v>
          </cell>
          <cell r="P188">
            <v>158022</v>
          </cell>
          <cell r="Q188">
            <v>158022</v>
          </cell>
          <cell r="R188">
            <v>158022</v>
          </cell>
        </row>
        <row r="189">
          <cell r="B189" t="str">
            <v>NOSSA SAUDE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27002.5</v>
          </cell>
          <cell r="M189">
            <v>14317.5</v>
          </cell>
          <cell r="N189">
            <v>14317.5</v>
          </cell>
          <cell r="O189">
            <v>14317.5</v>
          </cell>
          <cell r="P189">
            <v>0</v>
          </cell>
          <cell r="Q189">
            <v>69955</v>
          </cell>
          <cell r="R189">
            <v>69955</v>
          </cell>
        </row>
        <row r="190">
          <cell r="B190" t="str">
            <v>NOTRE DAME INTERMEDI</v>
          </cell>
          <cell r="D190">
            <v>125465.25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125465.25</v>
          </cell>
          <cell r="L190">
            <v>0</v>
          </cell>
          <cell r="M190">
            <v>101392.51999999999</v>
          </cell>
          <cell r="N190">
            <v>6587.9</v>
          </cell>
          <cell r="O190">
            <v>0</v>
          </cell>
          <cell r="P190">
            <v>0</v>
          </cell>
          <cell r="Q190">
            <v>107980.42</v>
          </cell>
          <cell r="R190">
            <v>233445.66999999998</v>
          </cell>
        </row>
        <row r="191">
          <cell r="B191" t="str">
            <v>NOVO HOSPITAL ROD -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93368.95</v>
          </cell>
          <cell r="O191">
            <v>0</v>
          </cell>
          <cell r="P191">
            <v>0</v>
          </cell>
          <cell r="Q191">
            <v>93368.95</v>
          </cell>
          <cell r="R191">
            <v>93368.95</v>
          </cell>
        </row>
        <row r="192">
          <cell r="B192" t="str">
            <v>OPLAN SAUDE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5244</v>
          </cell>
          <cell r="K192">
            <v>5244</v>
          </cell>
          <cell r="L192">
            <v>10967.55</v>
          </cell>
          <cell r="M192">
            <v>0</v>
          </cell>
          <cell r="N192">
            <v>0</v>
          </cell>
          <cell r="O192">
            <v>0</v>
          </cell>
          <cell r="P192">
            <v>0</v>
          </cell>
          <cell r="Q192">
            <v>10967.55</v>
          </cell>
          <cell r="R192">
            <v>16211.55</v>
          </cell>
        </row>
        <row r="193">
          <cell r="B193" t="str">
            <v>PLANO SANTA SAUDE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21600</v>
          </cell>
          <cell r="J193">
            <v>21600</v>
          </cell>
          <cell r="K193">
            <v>43200</v>
          </cell>
          <cell r="L193">
            <v>10800</v>
          </cell>
          <cell r="M193">
            <v>19483.330000000002</v>
          </cell>
          <cell r="N193">
            <v>116900</v>
          </cell>
          <cell r="O193">
            <v>57206.67</v>
          </cell>
          <cell r="P193">
            <v>0</v>
          </cell>
          <cell r="Q193">
            <v>204390</v>
          </cell>
          <cell r="R193">
            <v>247590</v>
          </cell>
        </row>
        <row r="194">
          <cell r="B194" t="str">
            <v>PLANSUL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96482.34</v>
          </cell>
          <cell r="N194">
            <v>0</v>
          </cell>
          <cell r="O194">
            <v>0</v>
          </cell>
          <cell r="P194">
            <v>0</v>
          </cell>
          <cell r="Q194">
            <v>96482.34</v>
          </cell>
          <cell r="R194">
            <v>96482.34</v>
          </cell>
        </row>
        <row r="195">
          <cell r="B195" t="str">
            <v>PLENA COMÉRCIO E REP</v>
          </cell>
          <cell r="D195">
            <v>9600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9600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0</v>
          </cell>
          <cell r="Q195">
            <v>0</v>
          </cell>
          <cell r="R195">
            <v>9600</v>
          </cell>
        </row>
        <row r="196">
          <cell r="B196" t="str">
            <v>PLENA SAUDE S.A.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11467.97</v>
          </cell>
          <cell r="N196">
            <v>11467.97</v>
          </cell>
          <cell r="O196">
            <v>10156.969999999999</v>
          </cell>
          <cell r="P196">
            <v>10156.950000000001</v>
          </cell>
          <cell r="Q196">
            <v>43249.86</v>
          </cell>
          <cell r="R196">
            <v>43249.86</v>
          </cell>
        </row>
        <row r="197">
          <cell r="B197" t="str">
            <v>POLICLIN SAUDE S A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14159.8</v>
          </cell>
          <cell r="N197">
            <v>0</v>
          </cell>
          <cell r="O197">
            <v>0</v>
          </cell>
          <cell r="P197">
            <v>0</v>
          </cell>
          <cell r="Q197">
            <v>14159.8</v>
          </cell>
          <cell r="R197">
            <v>14159.8</v>
          </cell>
        </row>
        <row r="198">
          <cell r="B198" t="str">
            <v>PORTO SEGURO - SEGUR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196190.45</v>
          </cell>
          <cell r="N198">
            <v>0</v>
          </cell>
          <cell r="O198">
            <v>0</v>
          </cell>
          <cell r="P198">
            <v>0</v>
          </cell>
          <cell r="Q198">
            <v>196190.45</v>
          </cell>
          <cell r="R198">
            <v>196190.45</v>
          </cell>
        </row>
        <row r="199">
          <cell r="B199" t="str">
            <v>POSTAL SAUDE</v>
          </cell>
          <cell r="D199">
            <v>43159</v>
          </cell>
          <cell r="E199">
            <v>12000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55159</v>
          </cell>
          <cell r="L199">
            <v>0</v>
          </cell>
          <cell r="M199">
            <v>0</v>
          </cell>
          <cell r="N199">
            <v>0</v>
          </cell>
          <cell r="O199">
            <v>44582.380000000005</v>
          </cell>
          <cell r="P199">
            <v>0</v>
          </cell>
          <cell r="Q199">
            <v>44582.380000000005</v>
          </cell>
          <cell r="R199">
            <v>99741.38</v>
          </cell>
        </row>
        <row r="200">
          <cell r="B200" t="str">
            <v>PROCORDIS S/A</v>
          </cell>
          <cell r="D200">
            <v>39000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39000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  <cell r="R200">
            <v>39000</v>
          </cell>
        </row>
        <row r="201">
          <cell r="B201" t="str">
            <v>PROGRAMA DE ASSISTEN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41033.339999999997</v>
          </cell>
          <cell r="J201">
            <v>0</v>
          </cell>
          <cell r="K201">
            <v>41033.339999999997</v>
          </cell>
          <cell r="L201">
            <v>0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Q201">
            <v>0</v>
          </cell>
          <cell r="R201">
            <v>41033.339999999997</v>
          </cell>
        </row>
        <row r="202">
          <cell r="B202" t="str">
            <v>PROMEDICA PATRIMONIA</v>
          </cell>
          <cell r="D202">
            <v>10680</v>
          </cell>
          <cell r="E202">
            <v>5340</v>
          </cell>
          <cell r="F202">
            <v>0</v>
          </cell>
          <cell r="G202">
            <v>2866</v>
          </cell>
          <cell r="H202">
            <v>0</v>
          </cell>
          <cell r="I202">
            <v>0</v>
          </cell>
          <cell r="J202">
            <v>22900</v>
          </cell>
          <cell r="K202">
            <v>41786</v>
          </cell>
          <cell r="L202">
            <v>22900</v>
          </cell>
          <cell r="M202">
            <v>32944.240000000005</v>
          </cell>
          <cell r="N202">
            <v>42264.259999999995</v>
          </cell>
          <cell r="O202">
            <v>18640</v>
          </cell>
          <cell r="P202">
            <v>0</v>
          </cell>
          <cell r="Q202">
            <v>116748.5</v>
          </cell>
          <cell r="R202">
            <v>158534.5</v>
          </cell>
        </row>
        <row r="203">
          <cell r="B203" t="str">
            <v>PRONCOR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339856</v>
          </cell>
          <cell r="P203">
            <v>0</v>
          </cell>
          <cell r="Q203">
            <v>339856</v>
          </cell>
          <cell r="R203">
            <v>339856</v>
          </cell>
        </row>
        <row r="204">
          <cell r="B204" t="str">
            <v>PRONTO S.CARDIOLOGIC</v>
          </cell>
          <cell r="D204">
            <v>9565.99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9565.99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9565.99</v>
          </cell>
        </row>
        <row r="205">
          <cell r="B205" t="str">
            <v>PRONTOCARDIO PRONTO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1390.65</v>
          </cell>
          <cell r="N205">
            <v>1390.65</v>
          </cell>
          <cell r="O205">
            <v>1390.65</v>
          </cell>
          <cell r="P205">
            <v>200253.59999999948</v>
          </cell>
          <cell r="Q205">
            <v>204425.54999999946</v>
          </cell>
          <cell r="R205">
            <v>204425.54999999946</v>
          </cell>
        </row>
        <row r="206">
          <cell r="B206" t="str">
            <v>PRONTOCOR</v>
          </cell>
          <cell r="D206">
            <v>498737.03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498737.03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  <cell r="R206">
            <v>498737.03</v>
          </cell>
        </row>
        <row r="207">
          <cell r="B207" t="str">
            <v>PROTECARDIO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23550</v>
          </cell>
          <cell r="P207">
            <v>23550</v>
          </cell>
          <cell r="Q207">
            <v>47100</v>
          </cell>
          <cell r="R207">
            <v>47100</v>
          </cell>
        </row>
        <row r="208">
          <cell r="B208" t="str">
            <v>RADIOCLINIC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58295</v>
          </cell>
          <cell r="O208">
            <v>183275</v>
          </cell>
          <cell r="P208">
            <v>0</v>
          </cell>
          <cell r="Q208">
            <v>241570</v>
          </cell>
          <cell r="R208">
            <v>241570</v>
          </cell>
        </row>
        <row r="209">
          <cell r="B209" t="str">
            <v>REAL E BENEMERITA AS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119801.05</v>
          </cell>
          <cell r="K209">
            <v>119801.05</v>
          </cell>
          <cell r="L209">
            <v>489593.8</v>
          </cell>
          <cell r="M209">
            <v>119757.53</v>
          </cell>
          <cell r="N209">
            <v>41033</v>
          </cell>
          <cell r="O209">
            <v>0</v>
          </cell>
          <cell r="P209">
            <v>0</v>
          </cell>
          <cell r="Q209">
            <v>650384.33000000007</v>
          </cell>
          <cell r="R209">
            <v>770185.38000000012</v>
          </cell>
        </row>
        <row r="210">
          <cell r="B210" t="str">
            <v>REAL GRANDEZA FUNDAC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130926</v>
          </cell>
          <cell r="N210">
            <v>0</v>
          </cell>
          <cell r="O210">
            <v>0</v>
          </cell>
          <cell r="P210">
            <v>0</v>
          </cell>
          <cell r="Q210">
            <v>130926</v>
          </cell>
          <cell r="R210">
            <v>130926</v>
          </cell>
        </row>
        <row r="211">
          <cell r="B211" t="str">
            <v>REAL HOSPITAL PORTUG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43358.28</v>
          </cell>
          <cell r="N211">
            <v>99500</v>
          </cell>
          <cell r="O211">
            <v>0</v>
          </cell>
          <cell r="P211">
            <v>0</v>
          </cell>
          <cell r="Q211">
            <v>142858.28</v>
          </cell>
          <cell r="R211">
            <v>142858.28</v>
          </cell>
        </row>
        <row r="212">
          <cell r="B212" t="str">
            <v>REDE PRIMAVERA - HOS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22873.200000000001</v>
          </cell>
          <cell r="J212">
            <v>0</v>
          </cell>
          <cell r="K212">
            <v>22873.200000000001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22873.200000000001</v>
          </cell>
        </row>
        <row r="213">
          <cell r="B213" t="str">
            <v>SAGRADA FAMILIA SAUD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35467.800000000003</v>
          </cell>
          <cell r="N213">
            <v>59480.649999999994</v>
          </cell>
          <cell r="O213">
            <v>0</v>
          </cell>
          <cell r="P213">
            <v>0</v>
          </cell>
          <cell r="Q213">
            <v>94948.45</v>
          </cell>
          <cell r="R213">
            <v>94948.45</v>
          </cell>
        </row>
        <row r="214">
          <cell r="B214" t="str">
            <v>SAMEL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68337.5</v>
          </cell>
          <cell r="N214">
            <v>68337.5</v>
          </cell>
          <cell r="O214">
            <v>68337.5</v>
          </cell>
          <cell r="P214">
            <v>68337.5</v>
          </cell>
          <cell r="Q214">
            <v>273350</v>
          </cell>
          <cell r="R214">
            <v>273350</v>
          </cell>
        </row>
        <row r="215">
          <cell r="B215" t="str">
            <v>SANTA CASA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88481.88</v>
          </cell>
          <cell r="I215">
            <v>0</v>
          </cell>
          <cell r="J215">
            <v>0</v>
          </cell>
          <cell r="K215">
            <v>88481.88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88481.88</v>
          </cell>
        </row>
        <row r="216">
          <cell r="B216" t="str">
            <v>SANTA CASA DE MARING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28650</v>
          </cell>
          <cell r="N216">
            <v>28650</v>
          </cell>
          <cell r="O216">
            <v>0</v>
          </cell>
          <cell r="P216">
            <v>0</v>
          </cell>
          <cell r="Q216">
            <v>57300</v>
          </cell>
          <cell r="R216">
            <v>57300</v>
          </cell>
        </row>
        <row r="217">
          <cell r="B217" t="str">
            <v>SANTA CASA DE MISERI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42925</v>
          </cell>
          <cell r="J217">
            <v>151523.66</v>
          </cell>
          <cell r="K217">
            <v>194448.66</v>
          </cell>
          <cell r="L217">
            <v>0</v>
          </cell>
          <cell r="M217">
            <v>236900</v>
          </cell>
          <cell r="N217">
            <v>0</v>
          </cell>
          <cell r="O217">
            <v>0</v>
          </cell>
          <cell r="P217">
            <v>0</v>
          </cell>
          <cell r="Q217">
            <v>236900</v>
          </cell>
          <cell r="R217">
            <v>431348.66000000003</v>
          </cell>
        </row>
        <row r="218">
          <cell r="B218" t="str">
            <v>SANTA CASA DE SANTOS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101922</v>
          </cell>
          <cell r="N218">
            <v>9497</v>
          </cell>
          <cell r="O218">
            <v>0</v>
          </cell>
          <cell r="P218">
            <v>0</v>
          </cell>
          <cell r="Q218">
            <v>111419</v>
          </cell>
          <cell r="R218">
            <v>111419</v>
          </cell>
        </row>
        <row r="219">
          <cell r="B219" t="str">
            <v>SANTA CASA DE SÃO PA</v>
          </cell>
          <cell r="D219">
            <v>186000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186000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186000</v>
          </cell>
        </row>
        <row r="220">
          <cell r="B220" t="str">
            <v>SANTA HELENA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200757.32</v>
          </cell>
          <cell r="P220">
            <v>0</v>
          </cell>
          <cell r="Q220">
            <v>200757.32</v>
          </cell>
          <cell r="R220">
            <v>200757.32</v>
          </cell>
        </row>
        <row r="221">
          <cell r="B221" t="str">
            <v>SÃO FRANCISCO VIDA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16041.01</v>
          </cell>
          <cell r="N221">
            <v>11661.67</v>
          </cell>
          <cell r="O221">
            <v>11661.66</v>
          </cell>
          <cell r="P221">
            <v>0</v>
          </cell>
          <cell r="Q221">
            <v>39364.339999999997</v>
          </cell>
          <cell r="R221">
            <v>39364.339999999997</v>
          </cell>
        </row>
        <row r="222">
          <cell r="B222" t="str">
            <v>SAO JOSE DE PIRANHAS</v>
          </cell>
          <cell r="D222">
            <v>41990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41990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41990</v>
          </cell>
        </row>
        <row r="223">
          <cell r="B223" t="str">
            <v>SAO LUIZ - UNIDADE A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105649.33</v>
          </cell>
          <cell r="Q223">
            <v>105649.33</v>
          </cell>
          <cell r="R223">
            <v>105649.33</v>
          </cell>
        </row>
        <row r="224">
          <cell r="B224" t="str">
            <v>SAO LUIZ - UNIDADE M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1500</v>
          </cell>
          <cell r="Q224">
            <v>1500</v>
          </cell>
          <cell r="R224">
            <v>1500</v>
          </cell>
        </row>
        <row r="225">
          <cell r="B225" t="str">
            <v>SAO LUIZ OSASCO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0</v>
          </cell>
          <cell r="P225">
            <v>78283.289999999994</v>
          </cell>
          <cell r="Q225">
            <v>78283.289999999994</v>
          </cell>
          <cell r="R225">
            <v>78283.289999999994</v>
          </cell>
        </row>
        <row r="226">
          <cell r="B226" t="str">
            <v>SEGUROS UNIMED</v>
          </cell>
          <cell r="D226">
            <v>70000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70000</v>
          </cell>
          <cell r="L226">
            <v>0</v>
          </cell>
          <cell r="M226">
            <v>221724</v>
          </cell>
          <cell r="N226">
            <v>0</v>
          </cell>
          <cell r="O226">
            <v>0</v>
          </cell>
          <cell r="P226">
            <v>0</v>
          </cell>
          <cell r="Q226">
            <v>221724</v>
          </cell>
          <cell r="R226">
            <v>291724</v>
          </cell>
        </row>
        <row r="227">
          <cell r="B227" t="str">
            <v>SELECT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97943.01</v>
          </cell>
          <cell r="N227">
            <v>97943.01</v>
          </cell>
          <cell r="O227">
            <v>88750</v>
          </cell>
          <cell r="P227">
            <v>88750</v>
          </cell>
          <cell r="Q227">
            <v>373386.02</v>
          </cell>
          <cell r="R227">
            <v>373386.02</v>
          </cell>
        </row>
        <row r="228">
          <cell r="B228" t="str">
            <v>SERMED SERVIÇO MEDIC</v>
          </cell>
          <cell r="D228">
            <v>6600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6600</v>
          </cell>
          <cell r="L228">
            <v>0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6600</v>
          </cell>
        </row>
        <row r="229">
          <cell r="B229" t="str">
            <v>SERVIMED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62310</v>
          </cell>
          <cell r="N229">
            <v>89100</v>
          </cell>
          <cell r="O229">
            <v>0</v>
          </cell>
          <cell r="P229">
            <v>0</v>
          </cell>
          <cell r="Q229">
            <v>151410</v>
          </cell>
          <cell r="R229">
            <v>151410</v>
          </cell>
        </row>
        <row r="230">
          <cell r="B230" t="str">
            <v>SES MT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  <cell r="O230">
            <v>273326.67</v>
          </cell>
          <cell r="P230">
            <v>0</v>
          </cell>
          <cell r="Q230">
            <v>273326.67</v>
          </cell>
          <cell r="R230">
            <v>273326.67</v>
          </cell>
        </row>
        <row r="231">
          <cell r="B231" t="str">
            <v>SILVESTRE SAUDE</v>
          </cell>
          <cell r="D231">
            <v>0</v>
          </cell>
          <cell r="E231">
            <v>0</v>
          </cell>
          <cell r="F231">
            <v>0</v>
          </cell>
          <cell r="G231">
            <v>3186.92</v>
          </cell>
          <cell r="H231">
            <v>1593.46</v>
          </cell>
          <cell r="I231">
            <v>0</v>
          </cell>
          <cell r="J231">
            <v>0</v>
          </cell>
          <cell r="K231">
            <v>4780.38</v>
          </cell>
          <cell r="L231">
            <v>0</v>
          </cell>
          <cell r="M231">
            <v>4640.8999999999996</v>
          </cell>
          <cell r="N231">
            <v>9281.7999999999993</v>
          </cell>
          <cell r="O231">
            <v>9281.7999999999993</v>
          </cell>
          <cell r="P231">
            <v>0</v>
          </cell>
          <cell r="Q231">
            <v>23204.5</v>
          </cell>
          <cell r="R231">
            <v>27984.880000000001</v>
          </cell>
        </row>
        <row r="232">
          <cell r="B232" t="str">
            <v>SMH SOCIEDADE MEDICO</v>
          </cell>
          <cell r="D232">
            <v>14788.12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14788.12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14788.12</v>
          </cell>
        </row>
        <row r="233">
          <cell r="B233" t="str">
            <v>SOCIEDADE B H SANTA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53269.73</v>
          </cell>
          <cell r="N233">
            <v>53269.73</v>
          </cell>
          <cell r="O233">
            <v>53269.74</v>
          </cell>
          <cell r="P233">
            <v>0</v>
          </cell>
          <cell r="Q233">
            <v>159809.20000000001</v>
          </cell>
          <cell r="R233">
            <v>159809.20000000001</v>
          </cell>
        </row>
        <row r="234">
          <cell r="B234" t="str">
            <v>SONICARDIO</v>
          </cell>
          <cell r="D234">
            <v>0</v>
          </cell>
          <cell r="E234">
            <v>0</v>
          </cell>
          <cell r="F234">
            <v>0</v>
          </cell>
          <cell r="G234">
            <v>48750</v>
          </cell>
          <cell r="H234">
            <v>48750</v>
          </cell>
          <cell r="I234">
            <v>48750</v>
          </cell>
          <cell r="J234">
            <v>48750</v>
          </cell>
          <cell r="K234">
            <v>195000</v>
          </cell>
          <cell r="L234">
            <v>0</v>
          </cell>
          <cell r="M234">
            <v>27775</v>
          </cell>
          <cell r="N234">
            <v>27775</v>
          </cell>
          <cell r="O234">
            <v>27775</v>
          </cell>
          <cell r="P234">
            <v>27775</v>
          </cell>
          <cell r="Q234">
            <v>111100</v>
          </cell>
          <cell r="R234">
            <v>306100</v>
          </cell>
        </row>
        <row r="235">
          <cell r="B235" t="str">
            <v>SUL AMERICA COMPANHI</v>
          </cell>
          <cell r="D235">
            <v>0</v>
          </cell>
          <cell r="E235">
            <v>0</v>
          </cell>
          <cell r="F235">
            <v>0</v>
          </cell>
          <cell r="G235">
            <v>195840</v>
          </cell>
          <cell r="H235">
            <v>0</v>
          </cell>
          <cell r="I235">
            <v>0</v>
          </cell>
          <cell r="J235">
            <v>0</v>
          </cell>
          <cell r="K235">
            <v>195840</v>
          </cell>
          <cell r="L235">
            <v>0</v>
          </cell>
          <cell r="M235">
            <v>775499.63</v>
          </cell>
          <cell r="N235">
            <v>910327.87</v>
          </cell>
          <cell r="O235">
            <v>0</v>
          </cell>
          <cell r="P235">
            <v>0</v>
          </cell>
          <cell r="Q235">
            <v>1685827.5</v>
          </cell>
          <cell r="R235">
            <v>1881667.5</v>
          </cell>
        </row>
        <row r="236">
          <cell r="B236" t="str">
            <v>SUL AMERICA SERVICOS</v>
          </cell>
          <cell r="D236">
            <v>24140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24140</v>
          </cell>
          <cell r="L236">
            <v>0</v>
          </cell>
          <cell r="M236">
            <v>51767</v>
          </cell>
          <cell r="N236">
            <v>251382</v>
          </cell>
          <cell r="O236">
            <v>0</v>
          </cell>
          <cell r="P236">
            <v>0</v>
          </cell>
          <cell r="Q236">
            <v>303149</v>
          </cell>
          <cell r="R236">
            <v>327289</v>
          </cell>
        </row>
        <row r="237">
          <cell r="B237" t="str">
            <v>SURGMED COMERCIO IMP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67310</v>
          </cell>
          <cell r="N237">
            <v>61560</v>
          </cell>
          <cell r="O237">
            <v>54000</v>
          </cell>
          <cell r="P237">
            <v>36000</v>
          </cell>
          <cell r="Q237">
            <v>218870</v>
          </cell>
          <cell r="R237">
            <v>218870</v>
          </cell>
        </row>
        <row r="238">
          <cell r="B238" t="str">
            <v>TOTAL MEDCARE</v>
          </cell>
          <cell r="D238">
            <v>49370.06</v>
          </cell>
          <cell r="E238">
            <v>24685.030000000002</v>
          </cell>
          <cell r="F238">
            <v>24685.010000000002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98740.1</v>
          </cell>
          <cell r="L238">
            <v>0</v>
          </cell>
          <cell r="M238">
            <v>0</v>
          </cell>
          <cell r="N238">
            <v>0</v>
          </cell>
          <cell r="O238">
            <v>0</v>
          </cell>
          <cell r="P238">
            <v>0</v>
          </cell>
          <cell r="Q238">
            <v>0</v>
          </cell>
          <cell r="R238">
            <v>98740.1</v>
          </cell>
        </row>
        <row r="239">
          <cell r="B239" t="str">
            <v>UNICA ASSISTENCIA ME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8827.35</v>
          </cell>
          <cell r="O239">
            <v>0</v>
          </cell>
          <cell r="P239">
            <v>0</v>
          </cell>
          <cell r="Q239">
            <v>8827.35</v>
          </cell>
          <cell r="R239">
            <v>8827.35</v>
          </cell>
        </row>
        <row r="240">
          <cell r="B240" t="str">
            <v>UNIDADE DE DOENÇAS C</v>
          </cell>
          <cell r="D240">
            <v>195507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195507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Q240">
            <v>0</v>
          </cell>
          <cell r="R240">
            <v>195507</v>
          </cell>
        </row>
        <row r="241">
          <cell r="B241" t="str">
            <v>UNIMAGEM UNIDADE DE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41345</v>
          </cell>
          <cell r="O241">
            <v>0</v>
          </cell>
          <cell r="P241">
            <v>0</v>
          </cell>
          <cell r="Q241">
            <v>41345</v>
          </cell>
          <cell r="R241">
            <v>41345</v>
          </cell>
        </row>
        <row r="242">
          <cell r="B242" t="str">
            <v>UNIMED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518000</v>
          </cell>
          <cell r="M242">
            <v>0</v>
          </cell>
          <cell r="N242">
            <v>617546.42999999993</v>
          </cell>
          <cell r="O242">
            <v>0</v>
          </cell>
          <cell r="P242">
            <v>0</v>
          </cell>
          <cell r="Q242">
            <v>1135546.43</v>
          </cell>
          <cell r="R242">
            <v>1135546.43</v>
          </cell>
        </row>
        <row r="243">
          <cell r="B243" t="str">
            <v>UNIMED CAMPO GRANDE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64940</v>
          </cell>
          <cell r="M243">
            <v>105070</v>
          </cell>
          <cell r="N243">
            <v>0</v>
          </cell>
          <cell r="O243">
            <v>0</v>
          </cell>
          <cell r="P243">
            <v>0</v>
          </cell>
          <cell r="Q243">
            <v>170010</v>
          </cell>
          <cell r="R243">
            <v>170010</v>
          </cell>
        </row>
        <row r="244">
          <cell r="B244" t="str">
            <v>UNIMED CENTRO SUL FL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  <cell r="M244">
            <v>20594</v>
          </cell>
          <cell r="N244">
            <v>0</v>
          </cell>
          <cell r="O244">
            <v>0</v>
          </cell>
          <cell r="P244">
            <v>0</v>
          </cell>
          <cell r="Q244">
            <v>20594</v>
          </cell>
          <cell r="R244">
            <v>20594</v>
          </cell>
        </row>
        <row r="245">
          <cell r="B245" t="str">
            <v>UNIMED COSTA DO DESC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  <cell r="N245">
            <v>66446.89</v>
          </cell>
          <cell r="O245">
            <v>0</v>
          </cell>
          <cell r="P245">
            <v>0</v>
          </cell>
          <cell r="Q245">
            <v>66446.89</v>
          </cell>
          <cell r="R245">
            <v>66446.89</v>
          </cell>
        </row>
        <row r="246">
          <cell r="B246" t="str">
            <v>UNIMED CURITIBA</v>
          </cell>
          <cell r="D246">
            <v>24000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24000</v>
          </cell>
          <cell r="L246">
            <v>0</v>
          </cell>
          <cell r="M246">
            <v>0</v>
          </cell>
          <cell r="N246">
            <v>529763</v>
          </cell>
          <cell r="O246">
            <v>0</v>
          </cell>
          <cell r="P246">
            <v>0</v>
          </cell>
          <cell r="Q246">
            <v>529763</v>
          </cell>
          <cell r="R246">
            <v>553763</v>
          </cell>
        </row>
        <row r="247">
          <cell r="B247" t="str">
            <v>UNIMED DE GUARATINGU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45990.47</v>
          </cell>
          <cell r="N247">
            <v>27233.34</v>
          </cell>
          <cell r="O247">
            <v>0</v>
          </cell>
          <cell r="P247">
            <v>0</v>
          </cell>
          <cell r="Q247">
            <v>73223.81</v>
          </cell>
          <cell r="R247">
            <v>73223.81</v>
          </cell>
        </row>
        <row r="248">
          <cell r="B248" t="str">
            <v>UNIMED DE JUNDIAI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25560</v>
          </cell>
          <cell r="N248">
            <v>0</v>
          </cell>
          <cell r="O248">
            <v>0</v>
          </cell>
          <cell r="P248">
            <v>0</v>
          </cell>
          <cell r="Q248">
            <v>25560</v>
          </cell>
          <cell r="R248">
            <v>25560</v>
          </cell>
        </row>
        <row r="249">
          <cell r="B249" t="str">
            <v>UNIMED DE LONDRINA C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52650</v>
          </cell>
          <cell r="N249">
            <v>0</v>
          </cell>
          <cell r="O249">
            <v>0</v>
          </cell>
          <cell r="P249">
            <v>0</v>
          </cell>
          <cell r="Q249">
            <v>52650</v>
          </cell>
          <cell r="R249">
            <v>52650</v>
          </cell>
        </row>
        <row r="250">
          <cell r="B250" t="str">
            <v>UNIMED DE MARILIA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33810</v>
          </cell>
          <cell r="N250">
            <v>33810</v>
          </cell>
          <cell r="O250">
            <v>0</v>
          </cell>
          <cell r="P250">
            <v>0</v>
          </cell>
          <cell r="Q250">
            <v>67620</v>
          </cell>
          <cell r="R250">
            <v>67620</v>
          </cell>
        </row>
        <row r="251">
          <cell r="B251" t="str">
            <v>UNIMED DE PINDAMONHA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75714.33</v>
          </cell>
          <cell r="N251">
            <v>75714.33</v>
          </cell>
          <cell r="O251">
            <v>47933.35</v>
          </cell>
          <cell r="P251">
            <v>27300</v>
          </cell>
          <cell r="Q251">
            <v>226662.00999999998</v>
          </cell>
          <cell r="R251">
            <v>226662.00999999998</v>
          </cell>
        </row>
        <row r="252">
          <cell r="B252" t="str">
            <v>UNIMED DE PIRACICABA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70000</v>
          </cell>
          <cell r="N252">
            <v>0</v>
          </cell>
          <cell r="O252">
            <v>0</v>
          </cell>
          <cell r="P252">
            <v>0</v>
          </cell>
          <cell r="Q252">
            <v>70000</v>
          </cell>
          <cell r="R252">
            <v>70000</v>
          </cell>
        </row>
        <row r="253">
          <cell r="B253" t="str">
            <v>UNIMED DE PRES PRUDE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17500</v>
          </cell>
          <cell r="N253">
            <v>17500</v>
          </cell>
          <cell r="O253">
            <v>0</v>
          </cell>
          <cell r="P253">
            <v>0</v>
          </cell>
          <cell r="Q253">
            <v>35000</v>
          </cell>
          <cell r="R253">
            <v>35000</v>
          </cell>
        </row>
        <row r="254">
          <cell r="B254" t="str">
            <v>UNIMED DE RIO CLARO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85300</v>
          </cell>
          <cell r="M254">
            <v>0</v>
          </cell>
          <cell r="N254">
            <v>0</v>
          </cell>
          <cell r="O254">
            <v>0</v>
          </cell>
          <cell r="P254">
            <v>0</v>
          </cell>
          <cell r="Q254">
            <v>85300</v>
          </cell>
          <cell r="R254">
            <v>85300</v>
          </cell>
        </row>
        <row r="255">
          <cell r="B255" t="str">
            <v>UNIMED DE SANTOS COO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91238</v>
          </cell>
          <cell r="N255">
            <v>166405</v>
          </cell>
          <cell r="O255">
            <v>0</v>
          </cell>
          <cell r="P255">
            <v>0</v>
          </cell>
          <cell r="Q255">
            <v>257643</v>
          </cell>
          <cell r="R255">
            <v>257643</v>
          </cell>
        </row>
        <row r="256">
          <cell r="B256" t="str">
            <v>UNIMED DE TAUBATE CO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4600</v>
          </cell>
          <cell r="I256">
            <v>4600</v>
          </cell>
          <cell r="J256">
            <v>4600</v>
          </cell>
          <cell r="K256">
            <v>13800</v>
          </cell>
          <cell r="L256">
            <v>4600</v>
          </cell>
          <cell r="M256">
            <v>4600</v>
          </cell>
          <cell r="N256">
            <v>0</v>
          </cell>
          <cell r="O256">
            <v>0</v>
          </cell>
          <cell r="P256">
            <v>0</v>
          </cell>
          <cell r="Q256">
            <v>9200</v>
          </cell>
          <cell r="R256">
            <v>23000</v>
          </cell>
        </row>
        <row r="257">
          <cell r="B257" t="str">
            <v>UNIMED DO SUDOESTE C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127831.87</v>
          </cell>
          <cell r="N257">
            <v>148022.93</v>
          </cell>
          <cell r="O257">
            <v>148022.94</v>
          </cell>
          <cell r="P257">
            <v>167343.72</v>
          </cell>
          <cell r="Q257">
            <v>591221.46</v>
          </cell>
          <cell r="R257">
            <v>591221.46</v>
          </cell>
        </row>
        <row r="258">
          <cell r="B258" t="str">
            <v>UNIMED FEDERACAO</v>
          </cell>
          <cell r="D258">
            <v>1148864.9999999998</v>
          </cell>
          <cell r="E258">
            <v>28167.43</v>
          </cell>
          <cell r="F258">
            <v>96170</v>
          </cell>
          <cell r="G258">
            <v>228753.34999999998</v>
          </cell>
          <cell r="H258">
            <v>587204.16</v>
          </cell>
          <cell r="I258">
            <v>575502.16000000015</v>
          </cell>
          <cell r="J258">
            <v>581656.85</v>
          </cell>
          <cell r="K258">
            <v>3246318.95</v>
          </cell>
          <cell r="L258">
            <v>354663.78</v>
          </cell>
          <cell r="M258">
            <v>295280.96000000002</v>
          </cell>
          <cell r="N258">
            <v>1041904.89</v>
          </cell>
          <cell r="O258">
            <v>0</v>
          </cell>
          <cell r="P258">
            <v>0</v>
          </cell>
          <cell r="Q258">
            <v>1691849.6300000001</v>
          </cell>
          <cell r="R258">
            <v>4938168.58</v>
          </cell>
        </row>
        <row r="259">
          <cell r="B259" t="str">
            <v>UNIMED GOIÂNIA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  <cell r="M259">
            <v>542300</v>
          </cell>
          <cell r="N259">
            <v>0</v>
          </cell>
          <cell r="O259">
            <v>0</v>
          </cell>
          <cell r="P259">
            <v>0</v>
          </cell>
          <cell r="Q259">
            <v>542300</v>
          </cell>
          <cell r="R259">
            <v>542300</v>
          </cell>
        </row>
        <row r="260">
          <cell r="B260" t="str">
            <v>UNIMED GRANDE FLORIA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153000</v>
          </cell>
          <cell r="O260">
            <v>0</v>
          </cell>
          <cell r="P260">
            <v>0</v>
          </cell>
          <cell r="Q260">
            <v>153000</v>
          </cell>
          <cell r="R260">
            <v>153000</v>
          </cell>
        </row>
        <row r="261">
          <cell r="B261" t="str">
            <v>UNIMED LESTE FLUMINE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26282</v>
          </cell>
          <cell r="N261">
            <v>36730</v>
          </cell>
          <cell r="O261">
            <v>31430</v>
          </cell>
          <cell r="P261">
            <v>94290</v>
          </cell>
          <cell r="Q261">
            <v>188732</v>
          </cell>
          <cell r="R261">
            <v>188732</v>
          </cell>
        </row>
        <row r="262">
          <cell r="B262" t="str">
            <v>UNIMED LESTE PAULIST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33075</v>
          </cell>
          <cell r="N262">
            <v>0</v>
          </cell>
          <cell r="O262">
            <v>0</v>
          </cell>
          <cell r="P262">
            <v>0</v>
          </cell>
          <cell r="Q262">
            <v>33075</v>
          </cell>
          <cell r="R262">
            <v>33075</v>
          </cell>
        </row>
        <row r="263">
          <cell r="B263" t="str">
            <v>UNIMED MACEIO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192000</v>
          </cell>
          <cell r="N263">
            <v>0</v>
          </cell>
          <cell r="O263">
            <v>0</v>
          </cell>
          <cell r="P263">
            <v>0</v>
          </cell>
          <cell r="Q263">
            <v>192000</v>
          </cell>
          <cell r="R263">
            <v>192000</v>
          </cell>
        </row>
        <row r="264">
          <cell r="B264" t="str">
            <v>UNIMED NACIONAL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108843</v>
          </cell>
          <cell r="M264">
            <v>42372.61</v>
          </cell>
          <cell r="N264">
            <v>46000</v>
          </cell>
          <cell r="O264">
            <v>0</v>
          </cell>
          <cell r="P264">
            <v>1198007.23</v>
          </cell>
          <cell r="Q264">
            <v>1395222.84</v>
          </cell>
          <cell r="R264">
            <v>1395222.84</v>
          </cell>
        </row>
        <row r="265">
          <cell r="B265" t="str">
            <v>UNIMED OESTE DO PARA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36174.17</v>
          </cell>
          <cell r="M265">
            <v>36174.17</v>
          </cell>
          <cell r="N265">
            <v>36174.17</v>
          </cell>
          <cell r="O265">
            <v>36174.17</v>
          </cell>
          <cell r="P265">
            <v>325567.47999999992</v>
          </cell>
          <cell r="Q265">
            <v>470264.15999999986</v>
          </cell>
          <cell r="R265">
            <v>470264.15999999986</v>
          </cell>
        </row>
        <row r="266">
          <cell r="B266" t="str">
            <v>UNIMED PETROPOLIS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30387.5</v>
          </cell>
          <cell r="M266">
            <v>30387.5</v>
          </cell>
          <cell r="N266">
            <v>30387.5</v>
          </cell>
          <cell r="O266">
            <v>30387.5</v>
          </cell>
          <cell r="P266">
            <v>121550</v>
          </cell>
          <cell r="Q266">
            <v>243100</v>
          </cell>
          <cell r="R266">
            <v>243100</v>
          </cell>
        </row>
        <row r="267">
          <cell r="B267" t="str">
            <v>UNIMED RECIFE COOPER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  <cell r="N267">
            <v>25593.75</v>
          </cell>
          <cell r="O267">
            <v>25593.75</v>
          </cell>
          <cell r="P267">
            <v>51187.5</v>
          </cell>
          <cell r="Q267">
            <v>102375</v>
          </cell>
          <cell r="R267">
            <v>102375</v>
          </cell>
        </row>
        <row r="268">
          <cell r="B268" t="str">
            <v>UNIMED REGIONAL MARI</v>
          </cell>
          <cell r="D268">
            <v>62100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62100</v>
          </cell>
          <cell r="L268">
            <v>55750</v>
          </cell>
          <cell r="M268">
            <v>124150</v>
          </cell>
          <cell r="N268">
            <v>0</v>
          </cell>
          <cell r="O268">
            <v>53150</v>
          </cell>
          <cell r="P268">
            <v>0</v>
          </cell>
          <cell r="Q268">
            <v>233050</v>
          </cell>
          <cell r="R268">
            <v>295150</v>
          </cell>
        </row>
        <row r="269">
          <cell r="B269" t="str">
            <v>UNIMED SAO CARLOS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10763.18</v>
          </cell>
          <cell r="M269">
            <v>182318.78</v>
          </cell>
          <cell r="N269">
            <v>148228.97</v>
          </cell>
          <cell r="O269">
            <v>96316.070000000022</v>
          </cell>
          <cell r="P269">
            <v>0</v>
          </cell>
          <cell r="Q269">
            <v>437626.99999999988</v>
          </cell>
          <cell r="R269">
            <v>437626.99999999988</v>
          </cell>
        </row>
        <row r="270">
          <cell r="B270" t="str">
            <v>UNIMED SAO JOSE DOS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16000</v>
          </cell>
          <cell r="P270">
            <v>0</v>
          </cell>
          <cell r="Q270">
            <v>16000</v>
          </cell>
          <cell r="R270">
            <v>16000</v>
          </cell>
        </row>
        <row r="271">
          <cell r="B271" t="str">
            <v>UNIMED SERGIPE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45626.7</v>
          </cell>
          <cell r="N271">
            <v>45626.7</v>
          </cell>
          <cell r="O271">
            <v>0</v>
          </cell>
          <cell r="P271">
            <v>0</v>
          </cell>
          <cell r="Q271">
            <v>91253.4</v>
          </cell>
          <cell r="R271">
            <v>91253.4</v>
          </cell>
        </row>
        <row r="272">
          <cell r="B272" t="str">
            <v>UNIMED SERRANA RJ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38125</v>
          </cell>
          <cell r="N272">
            <v>38125</v>
          </cell>
          <cell r="O272">
            <v>38125</v>
          </cell>
          <cell r="P272">
            <v>190625</v>
          </cell>
          <cell r="Q272">
            <v>305000</v>
          </cell>
          <cell r="R272">
            <v>305000</v>
          </cell>
        </row>
        <row r="273">
          <cell r="B273" t="str">
            <v>UNIMED-RIO</v>
          </cell>
          <cell r="D273">
            <v>0</v>
          </cell>
          <cell r="E273">
            <v>0</v>
          </cell>
          <cell r="F273">
            <v>21923.5</v>
          </cell>
          <cell r="G273">
            <v>21923.5</v>
          </cell>
          <cell r="H273">
            <v>21923.5</v>
          </cell>
          <cell r="I273">
            <v>21923.5</v>
          </cell>
          <cell r="J273">
            <v>21923.5</v>
          </cell>
          <cell r="K273">
            <v>109617.5</v>
          </cell>
          <cell r="L273">
            <v>21923.5</v>
          </cell>
          <cell r="M273">
            <v>21923.5</v>
          </cell>
          <cell r="N273">
            <v>21923.5</v>
          </cell>
          <cell r="O273">
            <v>21923.5</v>
          </cell>
          <cell r="P273">
            <v>153464.5</v>
          </cell>
          <cell r="Q273">
            <v>241158.5</v>
          </cell>
          <cell r="R273">
            <v>350776</v>
          </cell>
        </row>
        <row r="274">
          <cell r="B274" t="str">
            <v>UNIVERSIDADE FEDERAL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13900</v>
          </cell>
          <cell r="N274">
            <v>28000</v>
          </cell>
          <cell r="O274">
            <v>0</v>
          </cell>
          <cell r="P274">
            <v>0</v>
          </cell>
          <cell r="Q274">
            <v>41900</v>
          </cell>
          <cell r="R274">
            <v>41900</v>
          </cell>
        </row>
        <row r="275">
          <cell r="B275" t="str">
            <v>VISION MED ASSISTENC</v>
          </cell>
          <cell r="D275">
            <v>145560</v>
          </cell>
          <cell r="E275">
            <v>24260</v>
          </cell>
          <cell r="F275">
            <v>24260</v>
          </cell>
          <cell r="G275">
            <v>24260</v>
          </cell>
          <cell r="H275">
            <v>24260</v>
          </cell>
          <cell r="I275">
            <v>24260</v>
          </cell>
          <cell r="J275">
            <v>0</v>
          </cell>
          <cell r="K275">
            <v>266860</v>
          </cell>
          <cell r="L275">
            <v>0</v>
          </cell>
          <cell r="M275">
            <v>0</v>
          </cell>
          <cell r="N275">
            <v>0</v>
          </cell>
          <cell r="O275">
            <v>0</v>
          </cell>
          <cell r="P275">
            <v>0</v>
          </cell>
          <cell r="Q275">
            <v>0</v>
          </cell>
          <cell r="R275">
            <v>266860</v>
          </cell>
        </row>
        <row r="276">
          <cell r="B276" t="str">
            <v>VS MEDICINA ESPECIAL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6105</v>
          </cell>
          <cell r="I276">
            <v>0</v>
          </cell>
          <cell r="J276">
            <v>0</v>
          </cell>
          <cell r="K276">
            <v>6105</v>
          </cell>
          <cell r="L276">
            <v>0</v>
          </cell>
          <cell r="M276">
            <v>0</v>
          </cell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6105</v>
          </cell>
        </row>
        <row r="277">
          <cell r="B277" t="str">
            <v>Total Geral</v>
          </cell>
          <cell r="D277">
            <v>6632046.29</v>
          </cell>
          <cell r="E277">
            <v>448641.60000000003</v>
          </cell>
          <cell r="F277">
            <v>230078.93</v>
          </cell>
          <cell r="G277">
            <v>735797.25</v>
          </cell>
          <cell r="H277">
            <v>1353701.52</v>
          </cell>
          <cell r="I277">
            <v>1261598.6600000001</v>
          </cell>
          <cell r="J277">
            <v>1977488.5500000003</v>
          </cell>
          <cell r="K277">
            <v>12639352.800000001</v>
          </cell>
          <cell r="L277">
            <v>2834686.0700000008</v>
          </cell>
          <cell r="M277">
            <v>9735468.1199999992</v>
          </cell>
          <cell r="N277">
            <v>12968802.439999998</v>
          </cell>
          <cell r="O277">
            <v>10647602.940000003</v>
          </cell>
          <cell r="P277">
            <v>9646684.6600000001</v>
          </cell>
          <cell r="Q277">
            <v>45833244.230000019</v>
          </cell>
          <cell r="R277">
            <v>58472597.030000016</v>
          </cell>
        </row>
      </sheetData>
      <sheetData sheetId="2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abio dos Santos" refreshedDate="46122.540450462962" createdVersion="8" refreshedVersion="8" minRefreshableVersion="3" recordCount="1238" xr:uid="{E5EDE642-D75D-44B7-B9D5-C34305842BF6}">
  <cacheSource type="worksheet">
    <worksheetSource ref="B6:U1243" sheet="Aging analítico - Contabil"/>
  </cacheSource>
  <cacheFields count="20">
    <cacheField name="Cliente" numFmtId="0">
      <sharedItems count="474">
        <s v="ASSISTENCIA MEDICA E"/>
        <s v="HOSPITAL E MATERNIDA"/>
        <s v="CLINICA MÉDICA NOSSA"/>
        <s v="PROCORDIS S/A"/>
        <s v="SERMED SERVIÇO MEDIC"/>
        <s v="PLENA COMÉRCIO E REP"/>
        <s v="BIOMEDICAL - BAHIA"/>
        <s v="MED-WAY"/>
        <s v="UNIDADE DE DOENÇAS C"/>
        <s v="G E R"/>
        <s v="INTRAMEDICAL COMERCI"/>
        <s v="HOSPITAL SANTA HELEN"/>
        <s v="HEMOCOR"/>
        <s v="PRONTO S.CARDIOLOGIC"/>
        <s v="ASSOCIACAO AUXILIADO"/>
        <s v="HEMOBAHIA"/>
        <s v="SAO JOSE DE PIRANHAS"/>
        <s v="SANTA CASA DE SÃO PA"/>
        <s v="FUNDACAO BAHIANA DE"/>
        <s v="BANCO BRADESCO S.A."/>
        <s v="HOSPITAL ASSUNCAO"/>
        <s v="HOSP. CASA EVANGELIC"/>
        <s v="BANCO DO BRASIL S.A."/>
        <s v="GRUPO CEMERU SAUDE"/>
        <s v="PRONTOCOR"/>
        <s v="ATIVIA SERVICOS DE S"/>
        <s v="ATIVA MEDICAL COMERC"/>
        <s v="HOSP CASA SAO BERNAR"/>
        <s v="ASSOCIACAO BENEFICEN"/>
        <s v="HOSPITAL MATERNIDADE"/>
        <s v="HOSPITAL VIDA"/>
        <s v="UNIMED REGIONAL MARI"/>
        <s v="UNIMED CURITIBA"/>
        <s v="HOSPITAL COPA DOR ST"/>
        <s v="IRMANDADE DA SANTA C"/>
        <s v="POSTAL SAUDE"/>
        <s v="GERENCIA REGIONAL DO"/>
        <s v="NOTRE DAME INTERMEDI"/>
        <s v="VISION MED ASSISTENC"/>
        <s v="HOSPITAL ILHA DO GOV"/>
        <s v="HOSPITAL VITA CURITI"/>
        <s v="SMH SOCIEDADE MEDICO"/>
        <s v="UNIMED FEDERACAO"/>
        <s v="MEDSENIOR"/>
        <s v="SUL AMERICA SERVICOS"/>
        <s v="HOSPITAL SAO PAULO"/>
        <s v="BOM SAMARITANO"/>
        <s v="SEGUROS UNIMED"/>
        <s v="HOSPITAL SANTA CRUZ"/>
        <s v="TOTAL MEDCARE"/>
        <s v="NEUROCOR - MS DIAGNO"/>
        <s v="PROMEDICA PATRIMONIA"/>
        <s v="REDE PRIMAVERA - HOS"/>
        <s v="MED-TOUR SAUDE"/>
        <s v="HOSPITAL ICARAI"/>
        <s v="HOSPITAL SAO VICENTE"/>
        <s v="INSTITUTO DE NEUROLO"/>
        <s v="UNIMED CASCAVEL"/>
        <s v="SANTA CASA DE SANTOS"/>
        <s v="EDSON DOS SANTOS MAR"/>
        <s v="CENTRO MEDICO SANTA"/>
        <s v="UNIMED-RIO"/>
        <s v="CASSEMS"/>
        <s v="ANGIOCOR"/>
        <s v="SERGIO MILEV"/>
        <s v="SUL AMERICA COMPANHI"/>
        <s v="SILVESTRE SAUDE"/>
        <s v="MED INOVACAO"/>
        <s v="SONICARDIO"/>
        <s v="UNIMED DE TAUBATE CO"/>
        <s v="HOSPITAL DA BAHIA"/>
        <s v="BRUNO LEONARDO SANTO"/>
        <s v="PROGRAMA DE ASSISTEN"/>
        <s v="FUSVE"/>
        <s v="HS COR SERVICOS DE H"/>
        <s v="SANTA CASA"/>
        <s v="VS MEDICINA ESPECIAL"/>
        <s v="CABERJ INTEGRAL SAUD"/>
        <s v="CRUZ VERMELHA BRASIL"/>
        <s v="HOSPITAL LEFORTE - L"/>
        <s v="ASSIM SAUDE"/>
        <s v="SANTA CASA DE MISERI"/>
        <s v="HELENA DE LIMA BRAGA"/>
        <s v="KLINI PLANOS DE SAUD"/>
        <s v="PLANO SANTA SAUDE"/>
        <s v="HOSPITAL UNIVERSITAR"/>
        <s v="ASSOCIACAO HOSPITALA"/>
        <s v="COMPLEXO HOSPITALAR"/>
        <s v="INTENSIVA DAY HOSPIT"/>
        <s v="HOSPITAL PORTUGUES D"/>
        <s v="REAL E BENEMERITA AS"/>
        <s v="HOSPITAL DO SERVIDOR"/>
        <s v="FOR LIFE MATERIAIS H"/>
        <s v="HCOR - HOSPITAL DO C"/>
        <s v="UNIMED NACIONAL"/>
        <s v="OPLAN SAUDE"/>
        <s v="HOSPITAL ESCOLA ALVA"/>
        <s v="AMEPLAN ASSISTENCIA"/>
        <s v="AUSTACLINICAS ASSIST"/>
        <s v="HOSPITAL SAO LUCAS D"/>
        <s v="HOSPITAL ANGELINA CA"/>
        <s v="NOSSA SAUDE"/>
        <s v="FENIX MEDICAL"/>
        <s v="HOSPITAL DE BASE"/>
        <s v="SURGMED COMERCIO IMP"/>
        <s v="UNIMED LESTE PAULIST"/>
        <s v="HOSPITAL BENEFICENTE"/>
        <s v="HOSPITAL UNIMED"/>
        <s v="UNIMED DE CAMPOS"/>
        <s v="FUNDACAO FELÍCIO ROC"/>
        <s v="HOSP REGIONAL DE SOR"/>
        <s v="UNIMED DE PINDAMONHA"/>
        <s v="BIOCATH"/>
        <s v="HOSPITAL REGIONAL DO"/>
        <s v="UNIMED DE PRES PRUDE"/>
        <s v="UNIMED SAO JOSE DOS"/>
        <s v="HOSPITAL DA FUNDACAO"/>
        <s v="UNIMED DE SANTOS COO"/>
        <s v="HOSPITAL BARRA D'OR"/>
        <s v="HOSPITAL ESPERANCA O"/>
        <s v="HOSPITAL VIVALLE"/>
        <s v="LIV SAUDE"/>
        <s v="UNIMED OESTE DO PARA"/>
        <s v="HOSPITAL UNIMED AMER"/>
        <s v="GS - PLANO GLOBAL DE"/>
        <s v="UNIMED SAO CARLOS"/>
        <s v="AMIL ASSISTENCIA MED"/>
        <s v="HOSPITAL REGIONAL DE"/>
        <s v="HOSPITAL E CLINICA S"/>
        <s v="PRONTOCARDIO PRONTO"/>
        <s v="UNIMED DE GUARATINGU"/>
        <s v="OBRA DE AÇÃO SOCIAL"/>
        <s v="MEDICAL SUPPORT MATE"/>
        <s v="UNIMED DO SUDOESTE C"/>
        <s v="HOSPITAL CEPOG LTDA"/>
        <s v="HOSPITAL SANTA IZABE"/>
        <s v="UNIMED LESTE FLUMINE"/>
        <s v="UNIMED PETROPOLIS"/>
        <s v="HOSPITAL DOM JOAQUIM"/>
        <s v="SÃO FRANCISCO VIDA"/>
        <s v="UNIMED SANTA MARIA/R"/>
        <s v="CASA DE SAUDE NOSSA"/>
        <s v="HOSPITAL POLICLIN"/>
        <s v="HOSPITAL SANTA VIRGI"/>
        <s v="REAL HOSPITAL PORTUG"/>
        <s v="UNIMED DE JUNDIAI"/>
        <s v="HOSPITAL SAO JOSE"/>
        <s v="HOSPITAL DE CLINICAS"/>
        <s v="UNIMED CAMPO GRANDE"/>
        <s v="HOSPITAL SANTA CECIL"/>
        <s v="HOSPITAL SAO CAMILO"/>
        <s v="UNIMED DE RIO CLARO"/>
        <s v="FAJ"/>
        <s v="HOSPITAL SAMCORDIS"/>
        <s v="UNIMED"/>
        <s v="HOSPITAL MATER DEI S"/>
        <s v="POLICLIN SAUDE S A"/>
        <s v="HOSPITAL LUXEMBURGO"/>
        <s v="HUGOL"/>
        <s v="HOSPITAL PRO-CARDIAC"/>
        <s v="CASSI SAO PAULO - SP"/>
        <s v="CENTRO TRASMONTANO D"/>
        <s v="IBG SAUDE"/>
        <s v="SERVIMED"/>
        <s v="HOSPITAL VITORIA"/>
        <s v="RADIOCLINIC"/>
        <s v="UNIVERSIDADE FEDERAL"/>
        <s v="LACIC - RONDONOPOLIS"/>
        <s v="CASA DE SAUDE SANTA"/>
        <s v="HOSPITAL ESPERANCA S"/>
        <s v="AUSTACOR"/>
        <s v="HOSPITAL BENEFICIENC"/>
        <s v="HOSPITAL SAO LUCAS"/>
        <s v="CECOR SERVICOS MEDIC" u="1"/>
        <s v="HOSPITAL SANTA CATAR" u="1"/>
        <s v="BENEFICENCIA NIPO BR" u="1"/>
        <s v="CINECOR" u="1"/>
        <s v="CSPM" u="1"/>
        <s v="ENDOCATH DIAGNOSTICO" u="1"/>
        <s v="HOSPITAL ANTONIO AFO" u="1"/>
        <s v="HOSPITAL CARLOS FERN" u="1"/>
        <s v="HOSPITAL DAS CLINICA" u="1"/>
        <s v="HOSPITAL DI CAMP LTD" u="1"/>
        <s v="HOSPITAL DO CORACAO" u="1"/>
        <s v="HOSPITAL DONA BALBIN" u="1"/>
        <s v="HOSPITAL IMIGRANTES" u="1"/>
        <s v="HOSPITAL UNIMED VOLT" u="1"/>
        <s v="HOSPITAL VILLA-LOBOS" u="1"/>
        <s v="MAIS SAUDE SANTA CAS" u="1"/>
        <s v="MTG GROUP S.R.L." u="1"/>
        <s v="PROTECARDIO" u="1"/>
        <s v="SANTA HELENA" u="1"/>
        <s v="SEPACO" u="1"/>
        <s v="UNIMED - SOROCABA" u="1"/>
        <s v="UNIMED DE GUARULHOS" u="1"/>
        <s v="UNIMED DE LORENA COO" u="1"/>
        <s v="APAS" u="1"/>
        <s v="PRONCOR" u="1"/>
        <s v="UNIMED RIO EMPREENDI" u="1"/>
        <s v="HOSPITAL BALBINO" u="1"/>
        <s v="DAVID BRITTO SERVICO" u="1"/>
        <s v="BANCO BRADESCO SAÚDE" u="1"/>
        <s v="AMESC - ASSOCIACAO M" u="1"/>
        <s v="HOSPITAL VERA CRUZ S" u="1"/>
        <s v="UNIMAGEM UNIDADE DE" u="1"/>
        <s v="HOSPITAL ARQUIDIOCES" u="1"/>
        <s v="UNIDADE DE GESTAO AS" u="1"/>
        <s v="HOSPITAL CASA PRONTO" u="1"/>
        <s v="NOVO HOSPITAL ROD -" u="1"/>
        <s v="HOSPITAL 9 DE JULHO" u="1"/>
        <s v="BANCO BRADESCO CAPIT" u="1"/>
        <s v="LEVE SAUDE" u="1"/>
        <s v="UNIMED SERGIPE" u="1"/>
        <s v="UNIMED COSTA OESTE C" u="1"/>
        <s v="FUNDO MUNICIPAL DE S" u="1"/>
        <s v="HOSPITAL SANTA ISABE" u="1"/>
        <s v="HOSPITAL SAMARITANO" u="1"/>
        <s v="HOSPITAL BENEFICENCI" u="1"/>
        <s v="NITEROI D´OR" u="1"/>
        <s v="SES MT" u="1"/>
        <s v="ANGIOCOR MEDICINA IN" u="1"/>
        <s v="APAS SAUDE SOROCABA" u="1"/>
        <s v="ASSOCIACAO DR BARTHO" u="1"/>
        <s v="BRADESCO SAUDE OPERA" u="1"/>
        <s v="CLINICA DE CAMPO GRA" u="1"/>
        <s v="FAPES" u="1"/>
        <s v="FUNDACAO DA SEGURIDA" u="1"/>
        <s v="FUNEAS-PARANA" u="1"/>
        <s v="HCFMB" u="1"/>
        <s v="HOSPITAL ALVORADA MO" u="1"/>
        <s v="HOSPITAL EVANGELICO" u="1"/>
        <s v="HOSPITAL INFANTIL SA" u="1"/>
        <s v="HOSPITAL MUNICIPAL D" u="1"/>
        <s v="HOSPITAL REGIONAL HI" u="1"/>
        <s v="HOSPITAL SANTOS DUMO" u="1"/>
        <s v="HOSPITAL SIRIO LIBAN" u="1"/>
        <s v="HOSPITAL UNIMED GUAR" u="1"/>
        <s v="IRMANDADE DA STA CAS" u="1"/>
        <s v="LUIZ FRANCISCO FRAGA" u="1"/>
        <s v="REAL GRANDEZA FUNDAC" u="1"/>
        <s v="SANTA CASA DE MARING" u="1"/>
        <s v="SAO LUIZ - UNIDADE I" u="1"/>
        <s v="SAO LUIZ - UNIDADE M" u="1"/>
        <s v="SAO LUIZ OSASCO" u="1"/>
        <s v="UNIMED CAMPINAS COOP" u="1"/>
        <s v="UNIMED CARUARU" u="1"/>
        <s v="UNIMED COSTA VERDE R" u="1"/>
        <s v="UNIMED GOIÂNIA" u="1"/>
        <s v="UNIMED PORTO ALEGRE" u="1"/>
        <s v="HOSPITAL LUZ VILA MA" u="1"/>
        <s v="APAS-BAURU" u="1"/>
        <s v="GEAP SAUDE" u="1"/>
        <s v="HBC SAUDE LTDA" u="1"/>
        <s v="HOSPITAL BOM SAMARIT" u="1"/>
        <s v="ASSOCIACAO EVANGELIC" u="1"/>
        <s v="HOSPITAL LEFORTE S A" u="1"/>
        <s v="UNIMED JUIZ DE FORA" u="1"/>
        <s v="INNOVA HOSPITAIS ASS" u="1"/>
        <s v="INSTITUTO CURITIBA D" u="1"/>
        <s v="NEW SAUDE LEADER" u="1"/>
        <s v="UNIMED DE MARILIA" u="1"/>
        <s v="HOSPITAL PASTEUR" u="1"/>
        <s v="ASSOCIACAO PETROBRAS" u="1"/>
        <s v="CAPESESP" u="1"/>
        <s v="HOSPITAL DOM ALVAREN" u="1"/>
        <s v="ASSOCIACAO DOS AGENT" u="1"/>
        <s v="HOSPITAL INFANTE DOM" u="1"/>
        <s v="BIOSAUDE PRODUTOS HO" u="1"/>
        <s v="BIOVIDA SAUDE" u="1"/>
        <s v="ECAV" u="1"/>
        <s v="FUNDO ESTADUAL DE SA" u="1"/>
        <s v="FUNDAÇÃO ZERBINI" u="1"/>
        <s v="INSTITUTO DE CLINICA" u="1"/>
        <s v="LACIC - LAB DE HEMOD" u="1"/>
        <s v="LUIZ CARLOS STERCI" u="1"/>
        <s v="PLANO DE SAUDE ANA C" u="1"/>
        <s v="PORTO SEGURO - SEGUR" u="1"/>
        <s v="HOSPITAL SANCTA MAGG" u="1"/>
        <s v="SAUDE SANTA TEREZA L" u="1"/>
        <s v="WILLIAM ROBERTO SAMP" u="1"/>
        <s v="CABERJ" u="1"/>
        <s v="NATANAEL DA SILVA" u="1"/>
        <s v="SERGIO DA SILVA GARC" u="1"/>
        <s v="ABIMAEL ARNAUD FILHO" u="1"/>
        <s v="SANTA CASA SAUDE" u="1"/>
        <s v="DANIEL FERNANDO TIMM" u="1"/>
        <s v="HOSPITAL SAO JUDAS T" u="1"/>
        <s v="HOSPITAL MARCIO CUNH" u="1"/>
        <s v="SANTA CASA SAUDE PLA" u="1"/>
        <s v="HOSPITAL SAO LUIZ JA" u="1"/>
        <s v="UNIMED SUL MINEIRA" u="1"/>
        <s v="SINNERGY TECNOLOGIA" u="1"/>
        <s v="HOSPITAL UNIMED CIRC" u="1"/>
        <s v="CLINICASSI SAO PAULO" u="1"/>
        <s v="HOSPITAL AMECOR" u="1"/>
        <s v="INSTITUTO DE ANGIOLO" u="1"/>
        <s v="PREVENT SENIOR" u="1"/>
        <s v="RENATO EDUARDO DE SA" u="1"/>
        <s v="UNIMED CUIABA COOPER" u="1"/>
        <s v="UNIMED DE NATAL" u="1"/>
        <s v="AMESC - ASSOCIACAO MÉDICA" u="1"/>
        <s v="NOTRE DAME INTERMEDICA" u="1"/>
        <s v="ASSISTENCIA MEDICA E ODONTOLOGICA REAL LTDA" u="1"/>
        <s v="ASSOCIACAO AUXILIADORA DAS CLASSES LABORIOSAS" u="1"/>
        <s v="ASSOCIACAO BENEFICENTE SANTA CASA DE CAMPO GRANDE" u="1"/>
        <s v="ATIVA MEDICAL COMERCIAL" u="1"/>
        <s v="ATIVIA SERVICOS DE SAUDE AS" u="1"/>
        <s v="BANCO BRADESCO S.A. - BP" u="1"/>
        <s v="BRADESCO SAUDE OPERADORA" u="1"/>
        <s v="CENTRO MEDICO SANTA SAUDE" u="1"/>
        <s v="HOSPITAL ANGELINA CARON" u="1"/>
        <s v="FUNDO ESTADUAL DE SAUDE" u="1"/>
        <s v="FUNDACAO FELÍCIO ROCHO" u="1"/>
        <s v="FUNDACAO BAHIANA DE CARDIOLOGIA " u="1"/>
        <s v="UNIMED DO SUDOESTE" u="1"/>
        <s v="ASSOCIACAO DE BENEFICENCIA E FILANTROPIA SAO CRISTOVAO" u="1"/>
        <s v="GERENCIA REGIONAL DO RIO DE JANEIRO" u="1"/>
        <s v="GS - PLANO GLOBAL DE SAUDE" u="1"/>
        <s v="HCOR - HOSPITAL DO CORAÇÃO" u="1"/>
        <s v="HOSP CASA SAO BERNARDO" u="1"/>
        <s v="HOSP REGIONAL DE SOROCABA" u="1"/>
        <s v="HOSP. CASA EVANGELICO" u="1"/>
        <s v="HOSPITAL COPA DOR STAR" u="1"/>
        <s v="HOSPITAL DOM ALVARENGA" u="1"/>
        <s v="Hospital e Maternidade Santa Marina Ltda." u="1"/>
        <s v="HOSPITAL E MATERNIDADE CRUZ DO SUL" u="1"/>
        <s v="HOSPITAL E MATERNIDADE MARINGA" u="1"/>
        <s v="HOSPITAL E MATERNIDADE DR CHRISTOVAO DA GAMA S A" u="1"/>
        <s v="HOSPITAL ILHA DO GOVERNADOR" u="1"/>
        <s v="HOSPITAL LEFORTE - LIBERDADE" u="1"/>
        <s v="HOSPITAL MATERNIDADE FREI GALVÃO" u="1"/>
        <s v="HOSPITAL MATERNIDADE NOVO ATIBAIA" u="1"/>
        <s v="HOSPITAL SANTA HELENA" u="1"/>
        <s v="IRMANDADE DA SANTA CASA DE CURITIBA" u="1"/>
        <s v="HOSPITAL SAO VICENTE - RIO DE JANEIRO" u="1"/>
        <s v="HOSPITAL VITA CURITIBA" u="1"/>
        <s v="INSTITUTO PERNAMBUCO" u="1"/>
        <s v="INTRAMEDICAL COMERCIAL" u="1"/>
        <s v="UNIMED REGIONAL MARINGA" u="1"/>
        <s v="IRMANDADE DA SANTA CASA DE LONDRINA" u="1"/>
        <s v="IRMANDADE DA SANTA CASA DE LORENA" u="1"/>
        <s v="CLINICA DE CAMPO GRANDE" u="1"/>
        <s v="IRMANDADE DA SANTA CASA DE SÃO CARLOS" u="1"/>
        <s v="MED-WAY COMERCIO E REPRESENTACOES LTDA" u="1"/>
        <s v="SANTA CASA VITORIA DA CONQUISTA" u="1"/>
        <s v="Plena Com. e Rep. de Produto Médico Hospitalar Ltda." u="1"/>
        <s v="PRONTO S.CARDIOLOGICO" u="1"/>
        <s v="SANTA CASA DE MISERICORDIA DE MACEIO" u="1"/>
        <s v="SANTA CASA DE SÃO PAULO" u="1"/>
        <s v="Sermed Serviço Medico e Dentario Ltda" u="1"/>
        <s v="UNIDADE DE DOENCAS CARDIOVASCULARES UDCJ LTDA - ME" u="1"/>
        <s v="SANTA CASA DE MISERICORDIA DE PASSOS" u="1"/>
        <s v="UNIMED DE PRES PRUDENTE" u="1"/>
        <s v="UNIMED DE TAUBATE " u="1"/>
        <s v="ANGIOCOR MEDICINA" u="1"/>
        <s v="ASSOCIACAO DOS AGENTES" u="1"/>
        <s v="UNIMED LESTE FLUMINENSE" u="1"/>
        <s v="UNIMED LESTE PAULISTA" u="1"/>
        <s v="UNIMED RIO EMPREENDIMENTOS" u="1"/>
        <s v="VISION MED ASSISTENCIAL" u="1"/>
        <s v="AMESC - ASSOCIACAO MEDICA" u="1"/>
        <s v="ANIMA CENTRO HOSPITA" u="1"/>
        <s v="ASSOCIACAO BENEFICENTE SANTA CASA CAMPO GRANDE " u="1"/>
        <s v="AUSTACLINICAS ASSISTENCIA" u="1"/>
        <s v="CABERJ INTEGRAL SAUDE" u="1"/>
        <s v="CAIXA BENEF. DOS FUNCIONARIOS " u="1"/>
        <s v="CARLOS JOSE LONGO PE" u="1"/>
        <s v="CASA DE SAUDE NOSSA SENHORA " u="1"/>
        <s v="COMPLEXO HOSPITALAR CUIABA" u="1"/>
        <s v="FUNDO MUNICIPAL DE SAUDE" u="1"/>
        <s v="HAPVIDA NOTREDAME SA" u="1"/>
        <s v="HOSPITAL CENTRAL SUL" u="1"/>
        <s v="HOSPITAL GERAL DE PORTO ALEGRE" u="1"/>
        <s v="HOSPITAL E MATERNIDADE LONDRINA" u="1"/>
        <s v="HOSPITAL NOSSA S" u="1"/>
        <s v="HOSPITAL PAULISTANO" u="1"/>
        <s v="HOSPITAL SANTA IZABEL" u="1"/>
        <s v="HOSPITAL SANTA VIRGINIA" u="1"/>
        <s v="HOSPITAL SANTOS DUMONT" u="1"/>
        <s v="HOSPITAL SAO DOMINGO" u="1"/>
        <s v="HOSPITAL SAO VICENTE PASSO FUNDO" u="1"/>
        <s v="HOSPITAL SAO VICENTE - VITORIA DA CONQUISTA " u="1"/>
        <s v="HOSPITAL UNIMED VOLTA REDONDA" u="1"/>
        <s v="IRMANDADE DA SANTA CASA DE SÃO CARLOS " u="1"/>
        <s v="IRMANDADE DA SANTA CASA DE MARILIA" u="1"/>
        <s v="SANTA CASA DE MISERICORDIA MACEIO" u="1"/>
        <s v="SOCIEDADE BENEFICENTE" u="1"/>
        <s v="SUL AMERICA COMPANHIA" u="1"/>
        <s v="UNIMED DE GUARATINGUETA" u="1"/>
        <s v="UNIMED DE PINDAMONHANGABA" u="1"/>
        <s v="UNIMED DE SANTOS COOPERATIVA" u="1"/>
        <s v="UNIMED DE TAUBATE COOPERATIVA" u="1"/>
        <s v="UNIMED DO SUDOESTE COOPERATIVA" u="1"/>
        <s v="UNIMED GRANDE FLORIANOPOLIS" u="1"/>
        <s v="VISION MED ASSISTENCIA" u="1"/>
        <s v="VIVEST" u="1"/>
        <s v="ABERTTA SAUDE" u="1"/>
        <s v="ANIMA CENTRO HOSPITAL" u="1"/>
        <s v="ASSOCIACAO BENEFICENTE SANTA CASA CAMPO GRANDE" u="1"/>
        <s v="AUSTACLINICAS ASSISTENCIA " u="1"/>
        <s v="CLINICA SAO VICENTE" u="1"/>
        <s v="FAEPA" u="1"/>
        <s v="HCI  HEMODINAMICA E" u="1"/>
        <s v="HOSPITAL BOM SAMARITANO" u="1"/>
        <s v="HOSPITAL DE CLINICAS PASSO FUNDO" u="1"/>
        <s v="HOSPITAL DE CLINICAS JARDIM HELENA LTDA" u="1"/>
        <s v="HOSPITAL GERAL DE PORTO ALEGRE " u="1"/>
        <s v="HOSPITAL PAULISTANO*" u="1"/>
        <s v="HOSPITAL UNIMED SAO" u="1"/>
        <s v="IRMANDADE DA SANTA CASA SÃO CARLOS" u="1"/>
        <s v="NEUROCOR - MS DIAGNOSTICOS" u="1"/>
        <s v="KLINI PLANOS DE SAUDE" u="1"/>
        <s v="NOVO HOSPITAL ROD" u="1"/>
        <s v="PROMEDICA PATRIMONIAL" u="1"/>
        <s v="SANCOR CENTRO DE DIA" u="1"/>
        <s v="SOBAM CENTRO MEDICO" u="1"/>
        <s v="SURGMED COMERCIO IMPORTAÇÃO" u="1"/>
        <s v="UNIMED COSTA OESTE" u="1"/>
        <s v="UNIMED CUIABA COOPERATIVA" u="1"/>
        <s v="UNIMED DE ARACATUBA" u="1"/>
        <s v="UNIMED DE RIBEIRAO PRETO" u="1"/>
        <s v="UNIMED DE SANTOS" u="1"/>
        <s v="UNIMED DE SAO LOURENÇO" u="1"/>
        <s v="UNIMED RIO EMPREENDIMENTOS " u="1"/>
        <s v="ANGIOCENTRO" u="1"/>
        <s v="ASSOCIACAO BENEFICENTE CAMPO GRANDE" u="1"/>
        <s v="ASSOCIACAO EVANGELICO" u="1"/>
        <s v="BENEFICENCIA PORTUGUESA" u="1"/>
        <s v="HOSPITAL E MATERNIDADE -  REDE DOR" u="1"/>
        <s v="CASA DE SAUDE SAO JOSE" u="1"/>
        <s v="HOSPITAL MARCIO CUNHA" u="1"/>
        <s v="FUNDACAO CENTRO MEDICO" u="1"/>
        <s v="FUNDACAO DA SEGURIDADE" u="1"/>
        <s v="GERSHOP SERVICOS HOSPITAIS" u="1"/>
        <s v="GS - PLANO GLOBAL DE HOSPITAIS" u="1"/>
        <s v="HOSP REGIONAL DE SOROCABA " u="1"/>
        <s v="HOSPITAL PEDIATRICO" u="1"/>
        <s v="HOSPITAL UNIMED VOLTA" u="1"/>
        <s v="HOSPITAL BOM SAMARITO" u="1"/>
        <s v="HOSPITAL E MATERNIDADE MARINGA S A" u="1"/>
        <s v="HOSPITAL GENERAL MÉDICO" u="1"/>
        <s v="HOSPITAL MATERNIDADE ATIBAIA" u="1"/>
        <s v="SUPLEN MEDICAL" u="1"/>
        <s v="HOSPITAL SANTA PAULA" u="1"/>
        <s v="HOSPITAL UNIMED GUARULHOS" u="1"/>
        <s v="HOSPITAL UNIMED SÃO ROQUE" u="1"/>
        <s v="HOSPITAL UNIVERSITARIO" u="1"/>
        <s v="HSR SA" u="1"/>
        <s v="INTENSIVA DAY HOSPITAL" u="1"/>
        <s v="IRMANDADE DA SANTA CASA CURITIBA" u="1"/>
        <s v="MEDICAL SUPPORT MATERIAIS" u="1"/>
        <s v="PLANO DE SAUDE ANA COSTA" u="1"/>
        <s v="REAL E BENEMERITA ASSOCIACAO PORTUGUESA DE BENEFICENCIA" u="1"/>
        <s v="ROBERT LENT" u="1"/>
        <s v="SANTA CASA DE MARINGA" u="1"/>
        <s v="SOCIEDADE BENEFICENT" u="1"/>
        <s v="UNIMED DE TAUBATE" u="1"/>
        <s v="UNIMED GRANDE FLORIA" u="1"/>
        <s v="UNIMED SERRANA RJ" u="1"/>
        <s v="UNIMED VALE NOVO PAU" u="1"/>
        <s v="COMPLEXO HOSPITALAR DASA" u="1"/>
        <s v="FUNDACAO BAHIANA DE CARDIOLOGIA" u="1"/>
        <s v="FUNDAÇÃO COPEL" u="1"/>
        <s v="HOSPITAL ALBERTO URQ" u="1"/>
        <s v="HOSPITAL MORIAH" u="1"/>
        <s v="HOSPITAL MUNICIPAL " u="1"/>
        <s v="HOSPITAL NOSSA SENHORA DOS PRAZERES" u="1"/>
        <s v="HOSPITAL SANTA CATARINA" u="1"/>
        <s v="HOSPITAL SAO DOMINGOS" u="1"/>
        <s v="SANTA CASA DE MISERICORDIA" u="1"/>
        <s v="SAUDE SANTA TEREZA" u="1"/>
        <s v="UNIMED DO SUDOESTE " u="1"/>
        <s v="UNIMED SAO JOSE DOS CAMPOS" u="1"/>
        <s v="UNIMED VITORIA EST U" u="1"/>
      </sharedItems>
    </cacheField>
    <cacheField name="Nota Fiscal" numFmtId="0">
      <sharedItems/>
    </cacheField>
    <cacheField name="Emissão" numFmtId="14">
      <sharedItems containsSemiMixedTypes="0" containsNonDate="0" containsDate="1" containsString="0" minDate="2008-12-23T00:00:00" maxDate="2025-12-31T00:00:00"/>
    </cacheField>
    <cacheField name="Vencimento" numFmtId="14">
      <sharedItems containsSemiMixedTypes="0" containsNonDate="0" containsDate="1" containsString="0" minDate="2009-03-19T00:00:00" maxDate="2038-04-16T00:00:00"/>
    </cacheField>
    <cacheField name="Valor - R$" numFmtId="164">
      <sharedItems containsSemiMixedTypes="0" containsString="0" containsNumber="1" minValue="30" maxValue="320000"/>
    </cacheField>
    <cacheField name="Dias Vencido" numFmtId="166">
      <sharedItems containsSemiMixedTypes="0" containsString="0" containsNumber="1" containsInteger="1" minValue="-6131" maxValue="4488"/>
    </cacheField>
    <cacheField name="acima de 181 dias" numFmtId="165">
      <sharedItems containsSemiMixedTypes="0" containsString="0" containsNumber="1" minValue="0" maxValue="156171.4"/>
    </cacheField>
    <cacheField name="151 a 180 dias" numFmtId="165">
      <sharedItems containsSemiMixedTypes="0" containsString="0" containsNumber="1" minValue="0" maxValue="172560"/>
    </cacheField>
    <cacheField name="121 a 150 dias" numFmtId="165">
      <sharedItems containsSemiMixedTypes="0" containsString="0" containsNumber="1" minValue="0" maxValue="192200"/>
    </cacheField>
    <cacheField name="91 a 120 dias" numFmtId="165">
      <sharedItems containsSemiMixedTypes="0" containsString="0" containsNumber="1" minValue="0" maxValue="195840"/>
    </cacheField>
    <cacheField name="61 a 90 dias" numFmtId="165">
      <sharedItems containsSemiMixedTypes="0" containsString="0" containsNumber="1" minValue="0" maxValue="278460"/>
    </cacheField>
    <cacheField name="31 a 60 dias" numFmtId="165">
      <sharedItems containsSemiMixedTypes="0" containsString="0" containsNumber="1" minValue="0" maxValue="189480"/>
    </cacheField>
    <cacheField name="30 dias" numFmtId="165">
      <sharedItems containsSemiMixedTypes="0" containsString="0" containsNumber="1" minValue="0" maxValue="269008"/>
    </cacheField>
    <cacheField name="TOTAL" numFmtId="165">
      <sharedItems containsSemiMixedTypes="0" containsString="0" containsNumber="1" minValue="0" maxValue="278460" count="372">
        <n v="5250"/>
        <n v="14600"/>
        <n v="7300"/>
        <n v="2034.5"/>
        <n v="39000"/>
        <n v="2200"/>
        <n v="4400"/>
        <n v="6240"/>
        <n v="1120"/>
        <n v="11425"/>
        <n v="5887.5"/>
        <n v="350"/>
        <n v="769.76"/>
        <n v="769.75"/>
        <n v="1500"/>
        <n v="17887.5"/>
        <n v="6750"/>
        <n v="4136"/>
        <n v="1344"/>
        <n v="2162.5"/>
        <n v="5383.34"/>
        <n v="5383.33"/>
        <n v="290"/>
        <n v="1280"/>
        <n v="193.34"/>
        <n v="193.33"/>
        <n v="362.5"/>
        <n v="8322.34"/>
        <n v="8322.33"/>
        <n v="27800"/>
        <n v="41560"/>
        <n v="47900"/>
        <n v="34860"/>
        <n v="18420"/>
        <n v="5920"/>
        <n v="7000"/>
        <n v="700"/>
        <n v="1400"/>
        <n v="3200"/>
        <n v="1600"/>
        <n v="45650"/>
        <n v="4000"/>
        <n v="63250"/>
        <n v="73850"/>
        <n v="18900"/>
        <n v="23800"/>
        <n v="11900"/>
        <n v="5950"/>
        <n v="17850"/>
        <n v="560"/>
        <n v="1885"/>
        <n v="4892.5"/>
        <n v="3800"/>
        <n v="51255"/>
        <n v="1540.99"/>
        <n v="2700"/>
        <n v="1350"/>
        <n v="675"/>
        <n v="41990"/>
        <n v="5580"/>
        <n v="28730"/>
        <n v="14700"/>
        <n v="16700"/>
        <n v="3000"/>
        <n v="600"/>
        <n v="1200"/>
        <n v="2000"/>
        <n v="2600"/>
        <n v="30700"/>
        <n v="24200"/>
        <n v="24900"/>
        <n v="14000"/>
        <n v="15370"/>
        <n v="108761.94"/>
        <n v="85930.5"/>
        <n v="121396.75"/>
        <n v="6520"/>
        <n v="70000"/>
        <n v="105756"/>
        <n v="4720"/>
        <n v="3824.8"/>
        <n v="7760"/>
        <n v="71100"/>
        <n v="9430"/>
        <n v="25900"/>
        <n v="23990.03"/>
        <n v="38990"/>
        <n v="73000"/>
        <n v="20150"/>
        <n v="20761"/>
        <n v="24173"/>
        <n v="15531"/>
        <n v="24050"/>
        <n v="24816"/>
        <n v="29073"/>
        <n v="22920"/>
        <n v="9959"/>
        <n v="3140"/>
        <n v="35260"/>
        <n v="6625"/>
        <n v="8950"/>
        <n v="9556.5"/>
        <n v="499.14"/>
        <n v="9450"/>
        <n v="8164"/>
        <n v="27250"/>
        <n v="21214.32"/>
        <n v="195.45"/>
        <n v="12544.98"/>
        <n v="43763.58"/>
        <n v="55352.68"/>
        <n v="62100"/>
        <n v="24000"/>
        <n v="56045.67"/>
        <n v="43925"/>
        <n v="68680"/>
        <n v="7371"/>
        <n v="21945"/>
        <n v="22509"/>
        <n v="30724"/>
        <n v="20650"/>
        <n v="8070"/>
        <n v="10929"/>
        <n v="7450"/>
        <n v="6273.5"/>
        <n v="20861.66"/>
        <n v="2383"/>
        <n v="55467.43"/>
        <n v="20419.5"/>
        <n v="1966.5"/>
        <n v="71500"/>
        <n v="9723.5"/>
        <n v="20276.5"/>
        <n v="8240"/>
        <n v="17440"/>
        <n v="110000"/>
        <n v="17310"/>
        <n v="132456"/>
        <n v="129700"/>
        <n v="20370"/>
        <n v="105610"/>
        <n v="11040"/>
        <n v="200"/>
        <n v="20073.5"/>
        <n v="63050"/>
        <n v="300"/>
        <n v="20380"/>
        <n v="36100"/>
        <n v="5780"/>
        <n v="80"/>
        <n v="156171.4"/>
        <n v="44135.25"/>
        <n v="24260"/>
        <n v="55000"/>
        <n v="23947"/>
        <n v="13295"/>
        <n v="17724"/>
        <n v="32455.13"/>
        <n v="14788.12"/>
        <n v="59050"/>
        <n v="43886.66"/>
        <n v="40936.550000000003"/>
        <n v="21770"/>
        <n v="41866.68"/>
        <n v="12910"/>
        <n v="19200.259999999998"/>
        <n v="5760"/>
        <n v="34444.6"/>
        <n v="24140"/>
        <n v="43643.59"/>
        <n v="43886.67"/>
        <n v="51215"/>
        <n v="153000"/>
        <n v="45833.34"/>
        <n v="39303.339999999997"/>
        <n v="46790"/>
        <n v="59833.34"/>
        <n v="40210"/>
        <n v="41866.660000000003"/>
        <n v="4057.02"/>
        <n v="6824.09"/>
        <n v="17069.54"/>
        <n v="24816.83"/>
        <n v="2603.15"/>
        <n v="22081.88"/>
        <n v="88600"/>
        <n v="45833.33"/>
        <n v="39303.33"/>
        <n v="59833.33"/>
        <n v="5340"/>
        <n v="43508.800000000003"/>
        <n v="125410"/>
        <n v="33232.080000000002"/>
        <n v="49317.9"/>
        <n v="10542.88"/>
        <n v="28167.43"/>
        <n v="12000"/>
        <n v="44799.47"/>
        <n v="3190"/>
        <n v="172560"/>
        <n v="80450"/>
        <n v="141827"/>
        <n v="1100"/>
        <n v="42308.56"/>
        <n v="12535.65"/>
        <n v="8102"/>
        <n v="12515"/>
        <n v="22081.86"/>
        <n v="21923.5"/>
        <n v="192200"/>
        <n v="20000"/>
        <n v="93525"/>
        <n v="44319.31"/>
        <n v="38470"/>
        <n v="57700"/>
        <n v="56271.67"/>
        <n v="2866"/>
        <n v="195840"/>
        <n v="38136.68"/>
        <n v="58705.33"/>
        <n v="1593.46"/>
        <n v="14300"/>
        <n v="240.38"/>
        <n v="6000"/>
        <n v="5910"/>
        <n v="4100"/>
        <n v="41545"/>
        <n v="43598.66"/>
        <n v="48750"/>
        <n v="4600"/>
        <n v="38175"/>
        <n v="73500"/>
        <n v="10380"/>
        <n v="5800"/>
        <n v="8880"/>
        <n v="15214.8"/>
        <n v="41033.33"/>
        <n v="32990"/>
        <n v="3840"/>
        <n v="10542.86"/>
        <n v="11200"/>
        <n v="5120"/>
        <n v="43844.68"/>
        <n v="32815.199999999997"/>
        <n v="38136.660000000003"/>
        <n v="43741.07"/>
        <n v="9700"/>
        <n v="67533.83"/>
        <n v="12210"/>
        <n v="8023"/>
        <n v="44637.2"/>
        <n v="8700"/>
        <n v="9080"/>
        <n v="132300"/>
        <n v="278460"/>
        <n v="42845"/>
        <n v="5990"/>
        <n v="7150"/>
        <n v="31519.200000000001"/>
        <n v="30"/>
        <n v="5668.7"/>
        <n v="64541"/>
        <n v="5616"/>
        <n v="22672.36"/>
        <n v="28240.38"/>
        <n v="41033.339999999997"/>
        <n v="3040"/>
        <n v="23125"/>
        <n v="123101.62"/>
        <n v="59382.8"/>
        <n v="22873.200000000001"/>
        <n v="9350"/>
        <n v="24225"/>
        <n v="189480"/>
        <n v="39364"/>
        <n v="61625.11"/>
        <n v="10800"/>
        <n v="40233"/>
        <n v="5740"/>
        <n v="30712.45"/>
        <n v="5240"/>
        <n v="6920"/>
        <n v="7100"/>
        <n v="26967.43"/>
        <n v="180"/>
        <n v="25290"/>
        <n v="22380"/>
        <n v="22280"/>
        <n v="22690"/>
        <n v="16157.43"/>
        <n v="15157.43"/>
        <n v="21767.43"/>
        <n v="7787.43"/>
        <n v="27483"/>
        <n v="42922.45"/>
        <n v="10757.43"/>
        <n v="6990"/>
        <n v="5190"/>
        <n v="18415"/>
        <n v="90000"/>
        <n v="14976.58"/>
        <n v="15570"/>
        <n v="69100"/>
        <n v="42922.54"/>
        <n v="36337.5"/>
        <n v="28237.5"/>
        <n v="43350"/>
        <n v="8810"/>
        <n v="12457.43"/>
        <n v="23154"/>
        <n v="24104"/>
        <n v="5968"/>
        <n v="37399"/>
        <n v="40033"/>
        <n v="22818"/>
        <n v="25458"/>
        <n v="35783"/>
        <n v="31539"/>
        <n v="32208"/>
        <n v="115314.53"/>
        <n v="49707.5"/>
        <n v="45480.44"/>
        <n v="8680"/>
        <n v="113314.53"/>
        <n v="113874.03"/>
        <n v="107858.53"/>
        <n v="16704.54"/>
        <n v="30078.91"/>
        <n v="32796.46"/>
        <n v="13457.43"/>
        <n v="34142.54"/>
        <n v="31613.34"/>
        <n v="6637"/>
        <n v="11450"/>
        <n v="97675"/>
        <n v="118600"/>
        <n v="55200"/>
        <n v="16840"/>
        <n v="12620"/>
        <n v="3100"/>
        <n v="41446.050000000003"/>
        <n v="31267"/>
        <n v="43988"/>
        <n v="928"/>
        <n v="142859.13"/>
        <n v="32860"/>
        <n v="89466.15"/>
        <n v="32629.88"/>
        <n v="41827.43"/>
        <n v="11710"/>
        <n v="39029.879999999997"/>
        <n v="2530"/>
        <n v="32050"/>
        <n v="5244"/>
        <n v="156100"/>
        <n v="6540"/>
        <n v="5100"/>
        <n v="7180"/>
        <n v="47154.5"/>
        <n v="44132.3"/>
        <n v="60003"/>
        <n v="13600"/>
        <n v="269008"/>
        <n v="18283"/>
        <n v="38143.78"/>
        <n v="11642.05"/>
        <n v="39860"/>
        <n v="9166.67"/>
        <n v="154556"/>
        <n v="40749.1"/>
        <n v="12685"/>
        <n v="0"/>
      </sharedItems>
    </cacheField>
    <cacheField name="30 dias2" numFmtId="165">
      <sharedItems containsSemiMixedTypes="0" containsString="0" containsNumber="1" minValue="0" maxValue="320000"/>
    </cacheField>
    <cacheField name="31 a 60 dias2" numFmtId="165">
      <sharedItems containsSemiMixedTypes="0" containsString="0" containsNumber="1" minValue="0" maxValue="236900"/>
    </cacheField>
    <cacheField name="61 a 90 dias2" numFmtId="165">
      <sharedItems containsSemiMixedTypes="0" containsString="0" containsNumber="1" minValue="0" maxValue="320000"/>
    </cacheField>
    <cacheField name="91 a 120 dias2" numFmtId="165">
      <sharedItems containsSemiMixedTypes="0" containsString="0" containsNumber="1" minValue="0" maxValue="138500"/>
    </cacheField>
    <cacheField name="acima de  120 dias" numFmtId="165">
      <sharedItems containsSemiMixedTypes="0" containsString="0" containsNumber="1" minValue="0" maxValue="138500"/>
    </cacheField>
    <cacheField name="TOTAL2" numFmtId="165">
      <sharedItems containsSemiMixedTypes="0" containsString="0" containsNumber="1" minValue="0" maxValue="32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38">
  <r>
    <x v="0"/>
    <s v="000212601"/>
    <d v="2009-02-17T00:00:00"/>
    <d v="2009-03-19T00:00:00"/>
    <n v="5250"/>
    <n v="-6131"/>
    <n v="5250"/>
    <n v="0"/>
    <n v="0"/>
    <n v="0"/>
    <n v="0"/>
    <n v="0"/>
    <n v="0"/>
    <x v="0"/>
    <n v="0"/>
    <n v="0"/>
    <n v="0"/>
    <n v="0"/>
    <n v="0"/>
    <n v="0"/>
  </r>
  <r>
    <x v="1"/>
    <s v="000179901"/>
    <d v="2008-12-23T00:00:00"/>
    <d v="2009-03-23T00:00:00"/>
    <n v="14600"/>
    <n v="-6127"/>
    <n v="14600"/>
    <n v="0"/>
    <n v="0"/>
    <n v="0"/>
    <n v="0"/>
    <n v="0"/>
    <n v="0"/>
    <x v="1"/>
    <n v="0"/>
    <n v="0"/>
    <n v="0"/>
    <n v="0"/>
    <n v="0"/>
    <n v="0"/>
  </r>
  <r>
    <x v="1"/>
    <s v="000180301"/>
    <d v="2008-12-24T00:00:00"/>
    <d v="2009-03-24T00:00:00"/>
    <n v="7300"/>
    <n v="-6126"/>
    <n v="7300"/>
    <n v="0"/>
    <n v="0"/>
    <n v="0"/>
    <n v="0"/>
    <n v="0"/>
    <n v="0"/>
    <x v="2"/>
    <n v="0"/>
    <n v="0"/>
    <n v="0"/>
    <n v="0"/>
    <n v="0"/>
    <n v="0"/>
  </r>
  <r>
    <x v="0"/>
    <s v="000006101"/>
    <d v="2009-03-18T00:00:00"/>
    <d v="2009-04-17T00:00:00"/>
    <n v="5250"/>
    <n v="-6102"/>
    <n v="5250"/>
    <n v="0"/>
    <n v="0"/>
    <n v="0"/>
    <n v="0"/>
    <n v="0"/>
    <n v="0"/>
    <x v="0"/>
    <n v="0"/>
    <n v="0"/>
    <n v="0"/>
    <n v="0"/>
    <n v="0"/>
    <n v="0"/>
  </r>
  <r>
    <x v="0"/>
    <s v="000243501"/>
    <d v="2009-03-18T00:00:00"/>
    <d v="2009-04-17T00:00:00"/>
    <n v="5250"/>
    <n v="-6102"/>
    <n v="5250"/>
    <n v="0"/>
    <n v="0"/>
    <n v="0"/>
    <n v="0"/>
    <n v="0"/>
    <n v="0"/>
    <x v="0"/>
    <n v="0"/>
    <n v="0"/>
    <n v="0"/>
    <n v="0"/>
    <n v="0"/>
    <n v="0"/>
  </r>
  <r>
    <x v="0"/>
    <s v="000212602"/>
    <d v="2009-02-17T00:00:00"/>
    <d v="2009-05-04T00:00:00"/>
    <n v="5250"/>
    <n v="-6085"/>
    <n v="5250"/>
    <n v="0"/>
    <n v="0"/>
    <n v="0"/>
    <n v="0"/>
    <n v="0"/>
    <n v="0"/>
    <x v="0"/>
    <n v="0"/>
    <n v="0"/>
    <n v="0"/>
    <n v="0"/>
    <n v="0"/>
    <n v="0"/>
  </r>
  <r>
    <x v="0"/>
    <s v="000006102"/>
    <d v="2009-03-18T00:00:00"/>
    <d v="2009-05-15T00:00:00"/>
    <n v="5250"/>
    <n v="-6074"/>
    <n v="5250"/>
    <n v="0"/>
    <n v="0"/>
    <n v="0"/>
    <n v="0"/>
    <n v="0"/>
    <n v="0"/>
    <x v="0"/>
    <n v="0"/>
    <n v="0"/>
    <n v="0"/>
    <n v="0"/>
    <n v="0"/>
    <n v="0"/>
  </r>
  <r>
    <x v="0"/>
    <s v="000243502"/>
    <d v="2009-03-18T00:00:00"/>
    <d v="2009-05-15T00:00:00"/>
    <n v="5250"/>
    <n v="-6074"/>
    <n v="5250"/>
    <n v="0"/>
    <n v="0"/>
    <n v="0"/>
    <n v="0"/>
    <n v="0"/>
    <n v="0"/>
    <x v="0"/>
    <n v="0"/>
    <n v="0"/>
    <n v="0"/>
    <n v="0"/>
    <n v="0"/>
    <n v="0"/>
  </r>
  <r>
    <x v="2"/>
    <s v="000250101"/>
    <d v="2009-03-25T00:00:00"/>
    <d v="2009-07-23T00:00:00"/>
    <n v="2034.5"/>
    <n v="-6005"/>
    <n v="2034.5"/>
    <n v="0"/>
    <n v="0"/>
    <n v="0"/>
    <n v="0"/>
    <n v="0"/>
    <n v="0"/>
    <x v="3"/>
    <n v="0"/>
    <n v="0"/>
    <n v="0"/>
    <n v="0"/>
    <n v="0"/>
    <n v="0"/>
  </r>
  <r>
    <x v="3"/>
    <s v="000068501"/>
    <d v="2009-07-20T00:00:00"/>
    <d v="2009-10-19T00:00:00"/>
    <n v="39000"/>
    <n v="-5917"/>
    <n v="39000"/>
    <n v="0"/>
    <n v="0"/>
    <n v="0"/>
    <n v="0"/>
    <n v="0"/>
    <n v="0"/>
    <x v="4"/>
    <n v="0"/>
    <n v="0"/>
    <n v="0"/>
    <n v="0"/>
    <n v="0"/>
    <n v="0"/>
  </r>
  <r>
    <x v="4"/>
    <s v="000340001"/>
    <d v="2009-09-08T00:00:00"/>
    <d v="2009-11-09T00:00:00"/>
    <n v="2200"/>
    <n v="-5896"/>
    <n v="2200"/>
    <n v="0"/>
    <n v="0"/>
    <n v="0"/>
    <n v="0"/>
    <n v="0"/>
    <n v="0"/>
    <x v="5"/>
    <n v="0"/>
    <n v="0"/>
    <n v="0"/>
    <n v="0"/>
    <n v="0"/>
    <n v="0"/>
  </r>
  <r>
    <x v="4"/>
    <s v="000340101"/>
    <d v="2009-09-08T00:00:00"/>
    <d v="2009-11-09T00:00:00"/>
    <n v="4400"/>
    <n v="-5896"/>
    <n v="4400"/>
    <n v="0"/>
    <n v="0"/>
    <n v="0"/>
    <n v="0"/>
    <n v="0"/>
    <n v="0"/>
    <x v="6"/>
    <n v="0"/>
    <n v="0"/>
    <n v="0"/>
    <n v="0"/>
    <n v="0"/>
    <n v="0"/>
  </r>
  <r>
    <x v="5"/>
    <s v="000727901"/>
    <d v="2012-05-10T00:00:00"/>
    <d v="2012-09-01T00:00:00"/>
    <n v="6240"/>
    <n v="-4869"/>
    <n v="6240"/>
    <n v="0"/>
    <n v="0"/>
    <n v="0"/>
    <n v="0"/>
    <n v="0"/>
    <n v="0"/>
    <x v="7"/>
    <n v="0"/>
    <n v="0"/>
    <n v="0"/>
    <n v="0"/>
    <n v="0"/>
    <n v="0"/>
  </r>
  <r>
    <x v="5"/>
    <s v="000855601"/>
    <d v="2012-09-06T00:00:00"/>
    <d v="2012-10-06T00:00:00"/>
    <n v="1120"/>
    <n v="-4834"/>
    <n v="1120"/>
    <n v="0"/>
    <n v="0"/>
    <n v="0"/>
    <n v="0"/>
    <n v="0"/>
    <n v="0"/>
    <x v="8"/>
    <n v="0"/>
    <n v="0"/>
    <n v="0"/>
    <n v="0"/>
    <n v="0"/>
    <n v="0"/>
  </r>
  <r>
    <x v="5"/>
    <s v="000855602"/>
    <d v="2012-09-06T00:00:00"/>
    <d v="2012-11-05T00:00:00"/>
    <n v="1120"/>
    <n v="-4804"/>
    <n v="1120"/>
    <n v="0"/>
    <n v="0"/>
    <n v="0"/>
    <n v="0"/>
    <n v="0"/>
    <n v="0"/>
    <x v="8"/>
    <n v="0"/>
    <n v="0"/>
    <n v="0"/>
    <n v="0"/>
    <n v="0"/>
    <n v="0"/>
  </r>
  <r>
    <x v="5"/>
    <s v="000855603"/>
    <d v="2012-09-06T00:00:00"/>
    <d v="2012-12-05T00:00:00"/>
    <n v="1120"/>
    <n v="-4774"/>
    <n v="1120"/>
    <n v="0"/>
    <n v="0"/>
    <n v="0"/>
    <n v="0"/>
    <n v="0"/>
    <n v="0"/>
    <x v="8"/>
    <n v="0"/>
    <n v="0"/>
    <n v="0"/>
    <n v="0"/>
    <n v="0"/>
    <n v="0"/>
  </r>
  <r>
    <x v="6"/>
    <s v="000896901"/>
    <d v="2012-10-11T00:00:00"/>
    <d v="2012-12-10T00:00:00"/>
    <n v="11425"/>
    <n v="-4769"/>
    <n v="11425"/>
    <n v="0"/>
    <n v="0"/>
    <n v="0"/>
    <n v="0"/>
    <n v="0"/>
    <n v="0"/>
    <x v="9"/>
    <n v="0"/>
    <n v="0"/>
    <n v="0"/>
    <n v="0"/>
    <n v="0"/>
    <n v="0"/>
  </r>
  <r>
    <x v="6"/>
    <s v="000844901"/>
    <d v="2012-12-17T00:00:00"/>
    <d v="2012-12-17T00:00:00"/>
    <n v="5887.5"/>
    <n v="-4762"/>
    <n v="5887.5"/>
    <n v="0"/>
    <n v="0"/>
    <n v="0"/>
    <n v="0"/>
    <n v="0"/>
    <n v="0"/>
    <x v="10"/>
    <n v="0"/>
    <n v="0"/>
    <n v="0"/>
    <n v="0"/>
    <n v="0"/>
    <n v="0"/>
  </r>
  <r>
    <x v="6"/>
    <s v="000906901"/>
    <d v="2012-10-19T00:00:00"/>
    <d v="2012-12-18T00:00:00"/>
    <n v="350"/>
    <n v="-4761"/>
    <n v="350"/>
    <n v="0"/>
    <n v="0"/>
    <n v="0"/>
    <n v="0"/>
    <n v="0"/>
    <n v="0"/>
    <x v="11"/>
    <n v="0"/>
    <n v="0"/>
    <n v="0"/>
    <n v="0"/>
    <n v="0"/>
    <n v="0"/>
  </r>
  <r>
    <x v="6"/>
    <s v="000912801"/>
    <d v="2012-10-25T00:00:00"/>
    <d v="2012-12-24T00:00:00"/>
    <n v="769.76"/>
    <n v="-4755"/>
    <n v="769.76"/>
    <n v="0"/>
    <n v="0"/>
    <n v="0"/>
    <n v="0"/>
    <n v="0"/>
    <n v="0"/>
    <x v="12"/>
    <n v="0"/>
    <n v="0"/>
    <n v="0"/>
    <n v="0"/>
    <n v="0"/>
    <n v="0"/>
  </r>
  <r>
    <x v="6"/>
    <s v="000896902"/>
    <d v="2012-10-11T00:00:00"/>
    <d v="2013-01-09T00:00:00"/>
    <n v="11425"/>
    <n v="-4739"/>
    <n v="11425"/>
    <n v="0"/>
    <n v="0"/>
    <n v="0"/>
    <n v="0"/>
    <n v="0"/>
    <n v="0"/>
    <x v="9"/>
    <n v="0"/>
    <n v="0"/>
    <n v="0"/>
    <n v="0"/>
    <n v="0"/>
    <n v="0"/>
  </r>
  <r>
    <x v="6"/>
    <s v="000896903"/>
    <d v="2012-10-11T00:00:00"/>
    <d v="2013-02-08T00:00:00"/>
    <n v="11425"/>
    <n v="-4709"/>
    <n v="11425"/>
    <n v="0"/>
    <n v="0"/>
    <n v="0"/>
    <n v="0"/>
    <n v="0"/>
    <n v="0"/>
    <x v="9"/>
    <n v="0"/>
    <n v="0"/>
    <n v="0"/>
    <n v="0"/>
    <n v="0"/>
    <n v="0"/>
  </r>
  <r>
    <x v="6"/>
    <s v="000906903"/>
    <d v="2012-10-19T00:00:00"/>
    <d v="2013-02-16T00:00:00"/>
    <n v="350"/>
    <n v="-4701"/>
    <n v="350"/>
    <n v="0"/>
    <n v="0"/>
    <n v="0"/>
    <n v="0"/>
    <n v="0"/>
    <n v="0"/>
    <x v="11"/>
    <n v="0"/>
    <n v="0"/>
    <n v="0"/>
    <n v="0"/>
    <n v="0"/>
    <n v="0"/>
  </r>
  <r>
    <x v="6"/>
    <s v="000912803"/>
    <d v="2012-10-25T00:00:00"/>
    <d v="2013-02-22T00:00:00"/>
    <n v="769.75"/>
    <n v="-4695"/>
    <n v="769.75"/>
    <n v="0"/>
    <n v="0"/>
    <n v="0"/>
    <n v="0"/>
    <n v="0"/>
    <n v="0"/>
    <x v="13"/>
    <n v="0"/>
    <n v="0"/>
    <n v="0"/>
    <n v="0"/>
    <n v="0"/>
    <n v="0"/>
  </r>
  <r>
    <x v="6"/>
    <s v="000894304"/>
    <d v="2012-10-09T00:00:00"/>
    <d v="2013-03-08T00:00:00"/>
    <n v="1500"/>
    <n v="-4681"/>
    <n v="1500"/>
    <n v="0"/>
    <n v="0"/>
    <n v="0"/>
    <n v="0"/>
    <n v="0"/>
    <n v="0"/>
    <x v="14"/>
    <n v="0"/>
    <n v="0"/>
    <n v="0"/>
    <n v="0"/>
    <n v="0"/>
    <n v="0"/>
  </r>
  <r>
    <x v="6"/>
    <s v="000896904"/>
    <d v="2012-10-11T00:00:00"/>
    <d v="2013-03-10T00:00:00"/>
    <n v="11425"/>
    <n v="-4679"/>
    <n v="11425"/>
    <n v="0"/>
    <n v="0"/>
    <n v="0"/>
    <n v="0"/>
    <n v="0"/>
    <n v="0"/>
    <x v="9"/>
    <n v="0"/>
    <n v="0"/>
    <n v="0"/>
    <n v="0"/>
    <n v="0"/>
    <n v="0"/>
  </r>
  <r>
    <x v="6"/>
    <s v="000906904"/>
    <d v="2012-10-19T00:00:00"/>
    <d v="2013-03-18T00:00:00"/>
    <n v="350"/>
    <n v="-4671"/>
    <n v="350"/>
    <n v="0"/>
    <n v="0"/>
    <n v="0"/>
    <n v="0"/>
    <n v="0"/>
    <n v="0"/>
    <x v="11"/>
    <n v="0"/>
    <n v="0"/>
    <n v="0"/>
    <n v="0"/>
    <n v="0"/>
    <n v="0"/>
  </r>
  <r>
    <x v="6"/>
    <s v="000912804"/>
    <d v="2012-10-25T00:00:00"/>
    <d v="2013-03-24T00:00:00"/>
    <n v="769.75"/>
    <n v="-4665"/>
    <n v="769.75"/>
    <n v="0"/>
    <n v="0"/>
    <n v="0"/>
    <n v="0"/>
    <n v="0"/>
    <n v="0"/>
    <x v="13"/>
    <n v="0"/>
    <n v="0"/>
    <n v="0"/>
    <n v="0"/>
    <n v="0"/>
    <n v="0"/>
  </r>
  <r>
    <x v="6"/>
    <s v="000844902"/>
    <d v="2012-08-31T00:00:00"/>
    <d v="2013-04-01T00:00:00"/>
    <n v="17887.5"/>
    <n v="-4657"/>
    <n v="17887.5"/>
    <n v="0"/>
    <n v="0"/>
    <n v="0"/>
    <n v="0"/>
    <n v="0"/>
    <n v="0"/>
    <x v="15"/>
    <n v="0"/>
    <n v="0"/>
    <n v="0"/>
    <n v="0"/>
    <n v="0"/>
    <n v="0"/>
  </r>
  <r>
    <x v="6"/>
    <s v="000844903"/>
    <d v="2012-08-31T00:00:00"/>
    <d v="2013-04-01T00:00:00"/>
    <n v="17887.5"/>
    <n v="-4657"/>
    <n v="17887.5"/>
    <n v="0"/>
    <n v="0"/>
    <n v="0"/>
    <n v="0"/>
    <n v="0"/>
    <n v="0"/>
    <x v="15"/>
    <n v="0"/>
    <n v="0"/>
    <n v="0"/>
    <n v="0"/>
    <n v="0"/>
    <n v="0"/>
  </r>
  <r>
    <x v="6"/>
    <s v="000844904"/>
    <d v="2012-08-31T00:00:00"/>
    <d v="2013-04-01T00:00:00"/>
    <n v="17887.5"/>
    <n v="-4657"/>
    <n v="17887.5"/>
    <n v="0"/>
    <n v="0"/>
    <n v="0"/>
    <n v="0"/>
    <n v="0"/>
    <n v="0"/>
    <x v="15"/>
    <n v="0"/>
    <n v="0"/>
    <n v="0"/>
    <n v="0"/>
    <n v="0"/>
    <n v="0"/>
  </r>
  <r>
    <x v="6"/>
    <s v="000864001"/>
    <d v="2012-09-17T00:00:00"/>
    <d v="2013-04-01T00:00:00"/>
    <n v="6750"/>
    <n v="-4657"/>
    <n v="6750"/>
    <n v="0"/>
    <n v="0"/>
    <n v="0"/>
    <n v="0"/>
    <n v="0"/>
    <n v="0"/>
    <x v="16"/>
    <n v="0"/>
    <n v="0"/>
    <n v="0"/>
    <n v="0"/>
    <n v="0"/>
    <n v="0"/>
  </r>
  <r>
    <x v="6"/>
    <s v="000864002"/>
    <d v="2012-09-17T00:00:00"/>
    <d v="2013-04-01T00:00:00"/>
    <n v="6750"/>
    <n v="-4657"/>
    <n v="6750"/>
    <n v="0"/>
    <n v="0"/>
    <n v="0"/>
    <n v="0"/>
    <n v="0"/>
    <n v="0"/>
    <x v="16"/>
    <n v="0"/>
    <n v="0"/>
    <n v="0"/>
    <n v="0"/>
    <n v="0"/>
    <n v="0"/>
  </r>
  <r>
    <x v="6"/>
    <s v="000864003"/>
    <d v="2012-09-17T00:00:00"/>
    <d v="2013-04-01T00:00:00"/>
    <n v="6750"/>
    <n v="-4657"/>
    <n v="6750"/>
    <n v="0"/>
    <n v="0"/>
    <n v="0"/>
    <n v="0"/>
    <n v="0"/>
    <n v="0"/>
    <x v="16"/>
    <n v="0"/>
    <n v="0"/>
    <n v="0"/>
    <n v="0"/>
    <n v="0"/>
    <n v="0"/>
  </r>
  <r>
    <x v="6"/>
    <s v="000864004"/>
    <d v="2012-09-17T00:00:00"/>
    <d v="2013-04-01T00:00:00"/>
    <n v="6750"/>
    <n v="-4657"/>
    <n v="6750"/>
    <n v="0"/>
    <n v="0"/>
    <n v="0"/>
    <n v="0"/>
    <n v="0"/>
    <n v="0"/>
    <x v="16"/>
    <n v="0"/>
    <n v="0"/>
    <n v="0"/>
    <n v="0"/>
    <n v="0"/>
    <n v="0"/>
  </r>
  <r>
    <x v="6"/>
    <s v="000894301"/>
    <d v="2012-10-09T00:00:00"/>
    <d v="2013-04-01T00:00:00"/>
    <n v="1500"/>
    <n v="-4657"/>
    <n v="1500"/>
    <n v="0"/>
    <n v="0"/>
    <n v="0"/>
    <n v="0"/>
    <n v="0"/>
    <n v="0"/>
    <x v="14"/>
    <n v="0"/>
    <n v="0"/>
    <n v="0"/>
    <n v="0"/>
    <n v="0"/>
    <n v="0"/>
  </r>
  <r>
    <x v="6"/>
    <s v="000894302"/>
    <d v="2012-10-09T00:00:00"/>
    <d v="2013-04-01T00:00:00"/>
    <n v="1500"/>
    <n v="-4657"/>
    <n v="1500"/>
    <n v="0"/>
    <n v="0"/>
    <n v="0"/>
    <n v="0"/>
    <n v="0"/>
    <n v="0"/>
    <x v="14"/>
    <n v="0"/>
    <n v="0"/>
    <n v="0"/>
    <n v="0"/>
    <n v="0"/>
    <n v="0"/>
  </r>
  <r>
    <x v="6"/>
    <s v="000894303"/>
    <d v="2012-10-09T00:00:00"/>
    <d v="2013-04-01T00:00:00"/>
    <n v="1500"/>
    <n v="-4657"/>
    <n v="1500"/>
    <n v="0"/>
    <n v="0"/>
    <n v="0"/>
    <n v="0"/>
    <n v="0"/>
    <n v="0"/>
    <x v="14"/>
    <n v="0"/>
    <n v="0"/>
    <n v="0"/>
    <n v="0"/>
    <n v="0"/>
    <n v="0"/>
  </r>
  <r>
    <x v="7"/>
    <s v="000470903"/>
    <d v="2011-08-31T00:00:00"/>
    <d v="2013-09-04T00:00:00"/>
    <n v="4136"/>
    <n v="-4501"/>
    <n v="4136"/>
    <n v="0"/>
    <n v="0"/>
    <n v="0"/>
    <n v="0"/>
    <n v="0"/>
    <n v="0"/>
    <x v="17"/>
    <n v="0"/>
    <n v="0"/>
    <n v="0"/>
    <n v="0"/>
    <n v="0"/>
    <n v="0"/>
  </r>
  <r>
    <x v="7"/>
    <s v="000470904"/>
    <d v="2011-08-31T00:00:00"/>
    <d v="2013-09-04T00:00:00"/>
    <n v="4136"/>
    <n v="-4501"/>
    <n v="4136"/>
    <n v="0"/>
    <n v="0"/>
    <n v="0"/>
    <n v="0"/>
    <n v="0"/>
    <n v="0"/>
    <x v="17"/>
    <n v="0"/>
    <n v="0"/>
    <n v="0"/>
    <n v="0"/>
    <n v="0"/>
    <n v="0"/>
  </r>
  <r>
    <x v="7"/>
    <s v="000470905"/>
    <d v="2011-08-31T00:00:00"/>
    <d v="2013-09-04T00:00:00"/>
    <n v="4136"/>
    <n v="-4501"/>
    <n v="4136"/>
    <n v="0"/>
    <n v="0"/>
    <n v="0"/>
    <n v="0"/>
    <n v="0"/>
    <n v="0"/>
    <x v="17"/>
    <n v="0"/>
    <n v="0"/>
    <n v="0"/>
    <n v="0"/>
    <n v="0"/>
    <n v="0"/>
  </r>
  <r>
    <x v="7"/>
    <s v="000471203"/>
    <d v="2011-09-01T00:00:00"/>
    <d v="2013-09-04T00:00:00"/>
    <n v="1344"/>
    <n v="-4501"/>
    <n v="1344"/>
    <n v="0"/>
    <n v="0"/>
    <n v="0"/>
    <n v="0"/>
    <n v="0"/>
    <n v="0"/>
    <x v="18"/>
    <n v="0"/>
    <n v="0"/>
    <n v="0"/>
    <n v="0"/>
    <n v="0"/>
    <n v="0"/>
  </r>
  <r>
    <x v="7"/>
    <s v="000471204"/>
    <d v="2011-09-01T00:00:00"/>
    <d v="2013-09-04T00:00:00"/>
    <n v="1344"/>
    <n v="-4501"/>
    <n v="1344"/>
    <n v="0"/>
    <n v="0"/>
    <n v="0"/>
    <n v="0"/>
    <n v="0"/>
    <n v="0"/>
    <x v="18"/>
    <n v="0"/>
    <n v="0"/>
    <n v="0"/>
    <n v="0"/>
    <n v="0"/>
    <n v="0"/>
  </r>
  <r>
    <x v="7"/>
    <s v="000471205"/>
    <d v="2011-09-01T00:00:00"/>
    <d v="2013-09-04T00:00:00"/>
    <n v="1344"/>
    <n v="-4501"/>
    <n v="1344"/>
    <n v="0"/>
    <n v="0"/>
    <n v="0"/>
    <n v="0"/>
    <n v="0"/>
    <n v="0"/>
    <x v="18"/>
    <n v="0"/>
    <n v="0"/>
    <n v="0"/>
    <n v="0"/>
    <n v="0"/>
    <n v="0"/>
  </r>
  <r>
    <x v="7"/>
    <s v="000507602"/>
    <d v="2011-10-05T00:00:00"/>
    <d v="2013-09-04T00:00:00"/>
    <n v="2162.5"/>
    <n v="-4501"/>
    <n v="2162.5"/>
    <n v="0"/>
    <n v="0"/>
    <n v="0"/>
    <n v="0"/>
    <n v="0"/>
    <n v="0"/>
    <x v="19"/>
    <n v="0"/>
    <n v="0"/>
    <n v="0"/>
    <n v="0"/>
    <n v="0"/>
    <n v="0"/>
  </r>
  <r>
    <x v="7"/>
    <s v="000507603"/>
    <d v="2011-10-05T00:00:00"/>
    <d v="2013-09-04T00:00:00"/>
    <n v="2162.5"/>
    <n v="-4501"/>
    <n v="2162.5"/>
    <n v="0"/>
    <n v="0"/>
    <n v="0"/>
    <n v="0"/>
    <n v="0"/>
    <n v="0"/>
    <x v="19"/>
    <n v="0"/>
    <n v="0"/>
    <n v="0"/>
    <n v="0"/>
    <n v="0"/>
    <n v="0"/>
  </r>
  <r>
    <x v="7"/>
    <s v="000507604"/>
    <d v="2011-10-05T00:00:00"/>
    <d v="2013-09-04T00:00:00"/>
    <n v="2162.5"/>
    <n v="-4501"/>
    <n v="2162.5"/>
    <n v="0"/>
    <n v="0"/>
    <n v="0"/>
    <n v="0"/>
    <n v="0"/>
    <n v="0"/>
    <x v="19"/>
    <n v="0"/>
    <n v="0"/>
    <n v="0"/>
    <n v="0"/>
    <n v="0"/>
    <n v="0"/>
  </r>
  <r>
    <x v="7"/>
    <s v="000532401"/>
    <d v="2011-10-27T00:00:00"/>
    <d v="2013-09-04T00:00:00"/>
    <n v="5383.34"/>
    <n v="-4501"/>
    <n v="5383.34"/>
    <n v="0"/>
    <n v="0"/>
    <n v="0"/>
    <n v="0"/>
    <n v="0"/>
    <n v="0"/>
    <x v="20"/>
    <n v="0"/>
    <n v="0"/>
    <n v="0"/>
    <n v="0"/>
    <n v="0"/>
    <n v="0"/>
  </r>
  <r>
    <x v="7"/>
    <s v="000532402"/>
    <d v="2011-10-27T00:00:00"/>
    <d v="2013-09-04T00:00:00"/>
    <n v="5383.33"/>
    <n v="-4501"/>
    <n v="5383.33"/>
    <n v="0"/>
    <n v="0"/>
    <n v="0"/>
    <n v="0"/>
    <n v="0"/>
    <n v="0"/>
    <x v="21"/>
    <n v="0"/>
    <n v="0"/>
    <n v="0"/>
    <n v="0"/>
    <n v="0"/>
    <n v="0"/>
  </r>
  <r>
    <x v="7"/>
    <s v="000532403"/>
    <d v="2011-10-27T00:00:00"/>
    <d v="2013-09-04T00:00:00"/>
    <n v="5383.33"/>
    <n v="-4501"/>
    <n v="5383.33"/>
    <n v="0"/>
    <n v="0"/>
    <n v="0"/>
    <n v="0"/>
    <n v="0"/>
    <n v="0"/>
    <x v="21"/>
    <n v="0"/>
    <n v="0"/>
    <n v="0"/>
    <n v="0"/>
    <n v="0"/>
    <n v="0"/>
  </r>
  <r>
    <x v="7"/>
    <s v="000547001"/>
    <d v="2011-11-08T00:00:00"/>
    <d v="2013-09-04T00:00:00"/>
    <n v="290"/>
    <n v="-4501"/>
    <n v="290"/>
    <n v="0"/>
    <n v="0"/>
    <n v="0"/>
    <n v="0"/>
    <n v="0"/>
    <n v="0"/>
    <x v="22"/>
    <n v="0"/>
    <n v="0"/>
    <n v="0"/>
    <n v="0"/>
    <n v="0"/>
    <n v="0"/>
  </r>
  <r>
    <x v="7"/>
    <s v="000547002"/>
    <d v="2011-11-08T00:00:00"/>
    <d v="2013-09-04T00:00:00"/>
    <n v="290"/>
    <n v="-4501"/>
    <n v="290"/>
    <n v="0"/>
    <n v="0"/>
    <n v="0"/>
    <n v="0"/>
    <n v="0"/>
    <n v="0"/>
    <x v="22"/>
    <n v="0"/>
    <n v="0"/>
    <n v="0"/>
    <n v="0"/>
    <n v="0"/>
    <n v="0"/>
  </r>
  <r>
    <x v="7"/>
    <s v="000547003"/>
    <d v="2011-11-08T00:00:00"/>
    <d v="2013-09-04T00:00:00"/>
    <n v="290"/>
    <n v="-4501"/>
    <n v="290"/>
    <n v="0"/>
    <n v="0"/>
    <n v="0"/>
    <n v="0"/>
    <n v="0"/>
    <n v="0"/>
    <x v="22"/>
    <n v="0"/>
    <n v="0"/>
    <n v="0"/>
    <n v="0"/>
    <n v="0"/>
    <n v="0"/>
  </r>
  <r>
    <x v="7"/>
    <s v="000568701"/>
    <d v="2011-11-28T00:00:00"/>
    <d v="2013-09-04T00:00:00"/>
    <n v="1280"/>
    <n v="-4501"/>
    <n v="1280"/>
    <n v="0"/>
    <n v="0"/>
    <n v="0"/>
    <n v="0"/>
    <n v="0"/>
    <n v="0"/>
    <x v="23"/>
    <n v="0"/>
    <n v="0"/>
    <n v="0"/>
    <n v="0"/>
    <n v="0"/>
    <n v="0"/>
  </r>
  <r>
    <x v="7"/>
    <s v="000568702"/>
    <d v="2011-11-28T00:00:00"/>
    <d v="2013-09-04T00:00:00"/>
    <n v="1280"/>
    <n v="-4501"/>
    <n v="1280"/>
    <n v="0"/>
    <n v="0"/>
    <n v="0"/>
    <n v="0"/>
    <n v="0"/>
    <n v="0"/>
    <x v="23"/>
    <n v="0"/>
    <n v="0"/>
    <n v="0"/>
    <n v="0"/>
    <n v="0"/>
    <n v="0"/>
  </r>
  <r>
    <x v="7"/>
    <s v="000568703"/>
    <d v="2011-11-28T00:00:00"/>
    <d v="2013-09-04T00:00:00"/>
    <n v="1280"/>
    <n v="-4501"/>
    <n v="1280"/>
    <n v="0"/>
    <n v="0"/>
    <n v="0"/>
    <n v="0"/>
    <n v="0"/>
    <n v="0"/>
    <x v="23"/>
    <n v="0"/>
    <n v="0"/>
    <n v="0"/>
    <n v="0"/>
    <n v="0"/>
    <n v="0"/>
  </r>
  <r>
    <x v="7"/>
    <s v="000568704"/>
    <d v="2011-11-28T00:00:00"/>
    <d v="2013-09-04T00:00:00"/>
    <n v="1280"/>
    <n v="-4501"/>
    <n v="1280"/>
    <n v="0"/>
    <n v="0"/>
    <n v="0"/>
    <n v="0"/>
    <n v="0"/>
    <n v="0"/>
    <x v="23"/>
    <n v="0"/>
    <n v="0"/>
    <n v="0"/>
    <n v="0"/>
    <n v="0"/>
    <n v="0"/>
  </r>
  <r>
    <x v="7"/>
    <s v="000585901"/>
    <d v="2011-12-12T00:00:00"/>
    <d v="2013-09-04T00:00:00"/>
    <n v="193.34"/>
    <n v="-4501"/>
    <n v="193.34"/>
    <n v="0"/>
    <n v="0"/>
    <n v="0"/>
    <n v="0"/>
    <n v="0"/>
    <n v="0"/>
    <x v="24"/>
    <n v="0"/>
    <n v="0"/>
    <n v="0"/>
    <n v="0"/>
    <n v="0"/>
    <n v="0"/>
  </r>
  <r>
    <x v="7"/>
    <s v="000585902"/>
    <d v="2011-12-12T00:00:00"/>
    <d v="2013-09-04T00:00:00"/>
    <n v="193.33"/>
    <n v="-4501"/>
    <n v="193.33"/>
    <n v="0"/>
    <n v="0"/>
    <n v="0"/>
    <n v="0"/>
    <n v="0"/>
    <n v="0"/>
    <x v="25"/>
    <n v="0"/>
    <n v="0"/>
    <n v="0"/>
    <n v="0"/>
    <n v="0"/>
    <n v="0"/>
  </r>
  <r>
    <x v="7"/>
    <s v="000585903"/>
    <d v="2011-12-12T00:00:00"/>
    <d v="2013-09-04T00:00:00"/>
    <n v="193.33"/>
    <n v="-4501"/>
    <n v="193.33"/>
    <n v="0"/>
    <n v="0"/>
    <n v="0"/>
    <n v="0"/>
    <n v="0"/>
    <n v="0"/>
    <x v="25"/>
    <n v="0"/>
    <n v="0"/>
    <n v="0"/>
    <n v="0"/>
    <n v="0"/>
    <n v="0"/>
  </r>
  <r>
    <x v="7"/>
    <s v="000586401"/>
    <d v="2011-12-13T00:00:00"/>
    <d v="2013-09-04T00:00:00"/>
    <n v="362.5"/>
    <n v="-4501"/>
    <n v="362.5"/>
    <n v="0"/>
    <n v="0"/>
    <n v="0"/>
    <n v="0"/>
    <n v="0"/>
    <n v="0"/>
    <x v="26"/>
    <n v="0"/>
    <n v="0"/>
    <n v="0"/>
    <n v="0"/>
    <n v="0"/>
    <n v="0"/>
  </r>
  <r>
    <x v="7"/>
    <s v="000586402"/>
    <d v="2011-12-13T00:00:00"/>
    <d v="2013-09-04T00:00:00"/>
    <n v="362.5"/>
    <n v="-4501"/>
    <n v="362.5"/>
    <n v="0"/>
    <n v="0"/>
    <n v="0"/>
    <n v="0"/>
    <n v="0"/>
    <n v="0"/>
    <x v="26"/>
    <n v="0"/>
    <n v="0"/>
    <n v="0"/>
    <n v="0"/>
    <n v="0"/>
    <n v="0"/>
  </r>
  <r>
    <x v="7"/>
    <s v="000586403"/>
    <d v="2011-12-13T00:00:00"/>
    <d v="2013-09-04T00:00:00"/>
    <n v="362.5"/>
    <n v="-4501"/>
    <n v="362.5"/>
    <n v="0"/>
    <n v="0"/>
    <n v="0"/>
    <n v="0"/>
    <n v="0"/>
    <n v="0"/>
    <x v="26"/>
    <n v="0"/>
    <n v="0"/>
    <n v="0"/>
    <n v="0"/>
    <n v="0"/>
    <n v="0"/>
  </r>
  <r>
    <x v="7"/>
    <s v="000586404"/>
    <d v="2011-12-13T00:00:00"/>
    <d v="2013-09-04T00:00:00"/>
    <n v="362.5"/>
    <n v="-4501"/>
    <n v="362.5"/>
    <n v="0"/>
    <n v="0"/>
    <n v="0"/>
    <n v="0"/>
    <n v="0"/>
    <n v="0"/>
    <x v="26"/>
    <n v="0"/>
    <n v="0"/>
    <n v="0"/>
    <n v="0"/>
    <n v="0"/>
    <n v="0"/>
  </r>
  <r>
    <x v="8"/>
    <s v="001294901"/>
    <d v="2013-11-29T00:00:00"/>
    <d v="2013-12-29T00:00:00"/>
    <n v="8322.34"/>
    <n v="-4385"/>
    <n v="8322.34"/>
    <n v="0"/>
    <n v="0"/>
    <n v="0"/>
    <n v="0"/>
    <n v="0"/>
    <n v="0"/>
    <x v="27"/>
    <n v="0"/>
    <n v="0"/>
    <n v="0"/>
    <n v="0"/>
    <n v="0"/>
    <n v="0"/>
  </r>
  <r>
    <x v="8"/>
    <s v="001294902"/>
    <d v="2013-11-29T00:00:00"/>
    <d v="2014-01-28T00:00:00"/>
    <n v="8322.33"/>
    <n v="-4355"/>
    <n v="8322.33"/>
    <n v="0"/>
    <n v="0"/>
    <n v="0"/>
    <n v="0"/>
    <n v="0"/>
    <n v="0"/>
    <x v="28"/>
    <n v="0"/>
    <n v="0"/>
    <n v="0"/>
    <n v="0"/>
    <n v="0"/>
    <n v="0"/>
  </r>
  <r>
    <x v="8"/>
    <s v="001294903"/>
    <d v="2013-11-29T00:00:00"/>
    <d v="2014-02-27T00:00:00"/>
    <n v="8322.33"/>
    <n v="-4325"/>
    <n v="8322.33"/>
    <n v="0"/>
    <n v="0"/>
    <n v="0"/>
    <n v="0"/>
    <n v="0"/>
    <n v="0"/>
    <x v="28"/>
    <n v="0"/>
    <n v="0"/>
    <n v="0"/>
    <n v="0"/>
    <n v="0"/>
    <n v="0"/>
  </r>
  <r>
    <x v="8"/>
    <s v="001296601"/>
    <d v="2013-11-29T00:00:00"/>
    <d v="2014-02-27T00:00:00"/>
    <n v="27800"/>
    <n v="-4325"/>
    <n v="27800"/>
    <n v="0"/>
    <n v="0"/>
    <n v="0"/>
    <n v="0"/>
    <n v="0"/>
    <n v="0"/>
    <x v="29"/>
    <n v="0"/>
    <n v="0"/>
    <n v="0"/>
    <n v="0"/>
    <n v="0"/>
    <n v="0"/>
  </r>
  <r>
    <x v="8"/>
    <s v="001317801"/>
    <d v="2013-12-20T00:00:00"/>
    <d v="2014-03-20T00:00:00"/>
    <n v="41560"/>
    <n v="-4304"/>
    <n v="41560"/>
    <n v="0"/>
    <n v="0"/>
    <n v="0"/>
    <n v="0"/>
    <n v="0"/>
    <n v="0"/>
    <x v="30"/>
    <n v="0"/>
    <n v="0"/>
    <n v="0"/>
    <n v="0"/>
    <n v="0"/>
    <n v="0"/>
  </r>
  <r>
    <x v="8"/>
    <s v="001347701"/>
    <d v="2014-01-31T00:00:00"/>
    <d v="2014-05-01T00:00:00"/>
    <n v="47900"/>
    <n v="-4262"/>
    <n v="47900"/>
    <n v="0"/>
    <n v="0"/>
    <n v="0"/>
    <n v="0"/>
    <n v="0"/>
    <n v="0"/>
    <x v="31"/>
    <n v="0"/>
    <n v="0"/>
    <n v="0"/>
    <n v="0"/>
    <n v="0"/>
    <n v="0"/>
  </r>
  <r>
    <x v="8"/>
    <s v="001376901"/>
    <d v="2014-02-28T00:00:00"/>
    <d v="2014-05-29T00:00:00"/>
    <n v="34860"/>
    <n v="-4234"/>
    <n v="34860"/>
    <n v="0"/>
    <n v="0"/>
    <n v="0"/>
    <n v="0"/>
    <n v="0"/>
    <n v="0"/>
    <x v="32"/>
    <n v="0"/>
    <n v="0"/>
    <n v="0"/>
    <n v="0"/>
    <n v="0"/>
    <n v="0"/>
  </r>
  <r>
    <x v="8"/>
    <s v="001433201"/>
    <d v="2014-05-09T00:00:00"/>
    <d v="2014-08-07T00:00:00"/>
    <n v="18420"/>
    <n v="-4164"/>
    <n v="18420"/>
    <n v="0"/>
    <n v="0"/>
    <n v="0"/>
    <n v="0"/>
    <n v="0"/>
    <n v="0"/>
    <x v="33"/>
    <n v="0"/>
    <n v="0"/>
    <n v="0"/>
    <n v="0"/>
    <n v="0"/>
    <n v="0"/>
  </r>
  <r>
    <x v="9"/>
    <s v="000035001"/>
    <d v="2014-09-19T00:00:00"/>
    <d v="2014-10-19T00:00:00"/>
    <n v="5920"/>
    <n v="-4091"/>
    <n v="5920"/>
    <n v="0"/>
    <n v="0"/>
    <n v="0"/>
    <n v="0"/>
    <n v="0"/>
    <n v="0"/>
    <x v="34"/>
    <n v="0"/>
    <n v="0"/>
    <n v="0"/>
    <n v="0"/>
    <n v="0"/>
    <n v="0"/>
  </r>
  <r>
    <x v="10"/>
    <s v="001659701"/>
    <d v="2014-12-16T00:00:00"/>
    <d v="2015-02-14T00:00:00"/>
    <n v="7000"/>
    <n v="-3973"/>
    <n v="7000"/>
    <n v="0"/>
    <n v="0"/>
    <n v="0"/>
    <n v="0"/>
    <n v="0"/>
    <n v="0"/>
    <x v="35"/>
    <n v="0"/>
    <n v="0"/>
    <n v="0"/>
    <n v="0"/>
    <n v="0"/>
    <n v="0"/>
  </r>
  <r>
    <x v="10"/>
    <s v="001710901"/>
    <d v="2015-02-10T00:00:00"/>
    <d v="2015-07-31T00:00:00"/>
    <n v="700"/>
    <n v="-3806"/>
    <n v="700"/>
    <n v="0"/>
    <n v="0"/>
    <n v="0"/>
    <n v="0"/>
    <n v="0"/>
    <n v="0"/>
    <x v="36"/>
    <n v="0"/>
    <n v="0"/>
    <n v="0"/>
    <n v="0"/>
    <n v="0"/>
    <n v="0"/>
  </r>
  <r>
    <x v="10"/>
    <s v="001710902"/>
    <d v="2015-02-10T00:00:00"/>
    <d v="2015-07-31T00:00:00"/>
    <n v="700"/>
    <n v="-3806"/>
    <n v="700"/>
    <n v="0"/>
    <n v="0"/>
    <n v="0"/>
    <n v="0"/>
    <n v="0"/>
    <n v="0"/>
    <x v="36"/>
    <n v="0"/>
    <n v="0"/>
    <n v="0"/>
    <n v="0"/>
    <n v="0"/>
    <n v="0"/>
  </r>
  <r>
    <x v="10"/>
    <s v="001730201"/>
    <d v="2015-03-04T00:00:00"/>
    <d v="2015-07-31T00:00:00"/>
    <n v="1400"/>
    <n v="-3806"/>
    <n v="1400"/>
    <n v="0"/>
    <n v="0"/>
    <n v="0"/>
    <n v="0"/>
    <n v="0"/>
    <n v="0"/>
    <x v="37"/>
    <n v="0"/>
    <n v="0"/>
    <n v="0"/>
    <n v="0"/>
    <n v="0"/>
    <n v="0"/>
  </r>
  <r>
    <x v="10"/>
    <s v="001748301"/>
    <d v="2015-03-20T00:00:00"/>
    <d v="2015-07-31T00:00:00"/>
    <n v="3200"/>
    <n v="-3806"/>
    <n v="3200"/>
    <n v="0"/>
    <n v="0"/>
    <n v="0"/>
    <n v="0"/>
    <n v="0"/>
    <n v="0"/>
    <x v="38"/>
    <n v="0"/>
    <n v="0"/>
    <n v="0"/>
    <n v="0"/>
    <n v="0"/>
    <n v="0"/>
  </r>
  <r>
    <x v="10"/>
    <s v="001748302"/>
    <d v="2015-03-20T00:00:00"/>
    <d v="2015-07-31T00:00:00"/>
    <n v="3200"/>
    <n v="-3806"/>
    <n v="3200"/>
    <n v="0"/>
    <n v="0"/>
    <n v="0"/>
    <n v="0"/>
    <n v="0"/>
    <n v="0"/>
    <x v="38"/>
    <n v="0"/>
    <n v="0"/>
    <n v="0"/>
    <n v="0"/>
    <n v="0"/>
    <n v="0"/>
  </r>
  <r>
    <x v="10"/>
    <s v="001873401"/>
    <d v="2015-06-24T00:00:00"/>
    <d v="2015-08-23T00:00:00"/>
    <n v="1600"/>
    <n v="-3783"/>
    <n v="1600"/>
    <n v="0"/>
    <n v="0"/>
    <n v="0"/>
    <n v="0"/>
    <n v="0"/>
    <n v="0"/>
    <x v="39"/>
    <n v="0"/>
    <n v="0"/>
    <n v="0"/>
    <n v="0"/>
    <n v="0"/>
    <n v="0"/>
  </r>
  <r>
    <x v="11"/>
    <s v="001932301"/>
    <d v="2015-08-06T00:00:00"/>
    <d v="2015-09-05T00:00:00"/>
    <n v="45650"/>
    <n v="-3770"/>
    <n v="45650"/>
    <n v="0"/>
    <n v="0"/>
    <n v="0"/>
    <n v="0"/>
    <n v="0"/>
    <n v="0"/>
    <x v="40"/>
    <n v="0"/>
    <n v="0"/>
    <n v="0"/>
    <n v="0"/>
    <n v="0"/>
    <n v="0"/>
  </r>
  <r>
    <x v="10"/>
    <s v="001659703"/>
    <d v="2014-12-16T00:00:00"/>
    <d v="2015-09-17T00:00:00"/>
    <n v="4000"/>
    <n v="-3758"/>
    <n v="4000"/>
    <n v="0"/>
    <n v="0"/>
    <n v="0"/>
    <n v="0"/>
    <n v="0"/>
    <n v="0"/>
    <x v="41"/>
    <n v="0"/>
    <n v="0"/>
    <n v="0"/>
    <n v="0"/>
    <n v="0"/>
    <n v="0"/>
  </r>
  <r>
    <x v="10"/>
    <s v="001873402"/>
    <d v="2015-06-24T00:00:00"/>
    <d v="2015-09-22T00:00:00"/>
    <n v="1600"/>
    <n v="-3753"/>
    <n v="1600"/>
    <n v="0"/>
    <n v="0"/>
    <n v="0"/>
    <n v="0"/>
    <n v="0"/>
    <n v="0"/>
    <x v="39"/>
    <n v="0"/>
    <n v="0"/>
    <n v="0"/>
    <n v="0"/>
    <n v="0"/>
    <n v="0"/>
  </r>
  <r>
    <x v="11"/>
    <s v="002053101"/>
    <d v="2015-11-11T00:00:00"/>
    <d v="2015-12-11T00:00:00"/>
    <n v="63250"/>
    <n v="-3673"/>
    <n v="63250"/>
    <n v="0"/>
    <n v="0"/>
    <n v="0"/>
    <n v="0"/>
    <n v="0"/>
    <n v="0"/>
    <x v="42"/>
    <n v="0"/>
    <n v="0"/>
    <n v="0"/>
    <n v="0"/>
    <n v="0"/>
    <n v="0"/>
  </r>
  <r>
    <x v="11"/>
    <s v="002053201"/>
    <d v="2015-11-11T00:00:00"/>
    <d v="2015-12-11T00:00:00"/>
    <n v="73850"/>
    <n v="-3673"/>
    <n v="73850"/>
    <n v="0"/>
    <n v="0"/>
    <n v="0"/>
    <n v="0"/>
    <n v="0"/>
    <n v="0"/>
    <x v="43"/>
    <n v="0"/>
    <n v="0"/>
    <n v="0"/>
    <n v="0"/>
    <n v="0"/>
    <n v="0"/>
  </r>
  <r>
    <x v="12"/>
    <s v="001992502"/>
    <d v="2015-09-22T00:00:00"/>
    <d v="2016-02-08T00:00:00"/>
    <n v="18900"/>
    <n v="-3614"/>
    <n v="18900"/>
    <n v="0"/>
    <n v="0"/>
    <n v="0"/>
    <n v="0"/>
    <n v="0"/>
    <n v="0"/>
    <x v="44"/>
    <n v="0"/>
    <n v="0"/>
    <n v="0"/>
    <n v="0"/>
    <n v="0"/>
    <n v="0"/>
  </r>
  <r>
    <x v="12"/>
    <s v="002048702"/>
    <d v="2015-11-06T00:00:00"/>
    <d v="2016-03-18T00:00:00"/>
    <n v="23800"/>
    <n v="-3575"/>
    <n v="23800"/>
    <n v="0"/>
    <n v="0"/>
    <n v="0"/>
    <n v="0"/>
    <n v="0"/>
    <n v="0"/>
    <x v="45"/>
    <n v="0"/>
    <n v="0"/>
    <n v="0"/>
    <n v="0"/>
    <n v="0"/>
    <n v="0"/>
  </r>
  <r>
    <x v="12"/>
    <s v="002052002"/>
    <d v="2015-11-11T00:00:00"/>
    <d v="2016-03-28T00:00:00"/>
    <n v="11900"/>
    <n v="-3565"/>
    <n v="11900"/>
    <n v="0"/>
    <n v="0"/>
    <n v="0"/>
    <n v="0"/>
    <n v="0"/>
    <n v="0"/>
    <x v="46"/>
    <n v="0"/>
    <n v="0"/>
    <n v="0"/>
    <n v="0"/>
    <n v="0"/>
    <n v="0"/>
  </r>
  <r>
    <x v="12"/>
    <s v="002058102"/>
    <d v="2015-11-13T00:00:00"/>
    <d v="2016-03-28T00:00:00"/>
    <n v="5950"/>
    <n v="-3565"/>
    <n v="5950"/>
    <n v="0"/>
    <n v="0"/>
    <n v="0"/>
    <n v="0"/>
    <n v="0"/>
    <n v="0"/>
    <x v="47"/>
    <n v="0"/>
    <n v="0"/>
    <n v="0"/>
    <n v="0"/>
    <n v="0"/>
    <n v="0"/>
  </r>
  <r>
    <x v="12"/>
    <s v="002060902"/>
    <d v="2015-11-17T00:00:00"/>
    <d v="2016-03-28T00:00:00"/>
    <n v="11900"/>
    <n v="-3565"/>
    <n v="11900"/>
    <n v="0"/>
    <n v="0"/>
    <n v="0"/>
    <n v="0"/>
    <n v="0"/>
    <n v="0"/>
    <x v="46"/>
    <n v="0"/>
    <n v="0"/>
    <n v="0"/>
    <n v="0"/>
    <n v="0"/>
    <n v="0"/>
  </r>
  <r>
    <x v="12"/>
    <s v="002048603"/>
    <d v="2015-11-06T00:00:00"/>
    <d v="2016-04-18T00:00:00"/>
    <n v="17850"/>
    <n v="-3544"/>
    <n v="17850"/>
    <n v="0"/>
    <n v="0"/>
    <n v="0"/>
    <n v="0"/>
    <n v="0"/>
    <n v="0"/>
    <x v="48"/>
    <n v="0"/>
    <n v="0"/>
    <n v="0"/>
    <n v="0"/>
    <n v="0"/>
    <n v="0"/>
  </r>
  <r>
    <x v="13"/>
    <s v="002124601"/>
    <d v="2016-01-19T00:00:00"/>
    <d v="2016-04-28T00:00:00"/>
    <n v="560"/>
    <n v="-3534"/>
    <n v="560"/>
    <n v="0"/>
    <n v="0"/>
    <n v="0"/>
    <n v="0"/>
    <n v="0"/>
    <n v="0"/>
    <x v="49"/>
    <n v="0"/>
    <n v="0"/>
    <n v="0"/>
    <n v="0"/>
    <n v="0"/>
    <n v="0"/>
  </r>
  <r>
    <x v="12"/>
    <s v="002131402"/>
    <d v="2016-01-26T00:00:00"/>
    <d v="2016-05-26T00:00:00"/>
    <n v="5950"/>
    <n v="-3506"/>
    <n v="5950"/>
    <n v="0"/>
    <n v="0"/>
    <n v="0"/>
    <n v="0"/>
    <n v="0"/>
    <n v="0"/>
    <x v="47"/>
    <n v="0"/>
    <n v="0"/>
    <n v="0"/>
    <n v="0"/>
    <n v="0"/>
    <n v="0"/>
  </r>
  <r>
    <x v="12"/>
    <s v="002123802"/>
    <d v="2016-01-18T00:00:00"/>
    <d v="2016-05-29T00:00:00"/>
    <n v="5950"/>
    <n v="-3503"/>
    <n v="5950"/>
    <n v="0"/>
    <n v="0"/>
    <n v="0"/>
    <n v="0"/>
    <n v="0"/>
    <n v="0"/>
    <x v="47"/>
    <n v="0"/>
    <n v="0"/>
    <n v="0"/>
    <n v="0"/>
    <n v="0"/>
    <n v="0"/>
  </r>
  <r>
    <x v="13"/>
    <s v="002096001"/>
    <d v="2015-12-14T00:00:00"/>
    <d v="2016-06-17T00:00:00"/>
    <n v="1885"/>
    <n v="-3484"/>
    <n v="1885"/>
    <n v="0"/>
    <n v="0"/>
    <n v="0"/>
    <n v="0"/>
    <n v="0"/>
    <n v="0"/>
    <x v="50"/>
    <n v="0"/>
    <n v="0"/>
    <n v="0"/>
    <n v="0"/>
    <n v="0"/>
    <n v="0"/>
  </r>
  <r>
    <x v="12"/>
    <s v="002170503"/>
    <d v="2016-02-23T00:00:00"/>
    <d v="2016-09-25T00:00:00"/>
    <n v="4892.5"/>
    <n v="-3384"/>
    <n v="4892.5"/>
    <n v="0"/>
    <n v="0"/>
    <n v="0"/>
    <n v="0"/>
    <n v="0"/>
    <n v="0"/>
    <x v="51"/>
    <n v="0"/>
    <n v="0"/>
    <n v="0"/>
    <n v="0"/>
    <n v="0"/>
    <n v="0"/>
  </r>
  <r>
    <x v="12"/>
    <s v="001992403"/>
    <d v="2015-09-22T00:00:00"/>
    <d v="2016-09-30T00:00:00"/>
    <n v="3800"/>
    <n v="-3379"/>
    <n v="3800"/>
    <n v="0"/>
    <n v="0"/>
    <n v="0"/>
    <n v="0"/>
    <n v="0"/>
    <n v="0"/>
    <x v="52"/>
    <n v="0"/>
    <n v="0"/>
    <n v="0"/>
    <n v="0"/>
    <n v="0"/>
    <n v="0"/>
  </r>
  <r>
    <x v="14"/>
    <s v="002713301"/>
    <d v="2017-03-28T00:00:00"/>
    <d v="2017-04-27T00:00:00"/>
    <n v="51255"/>
    <n v="-3170"/>
    <n v="51255"/>
    <n v="0"/>
    <n v="0"/>
    <n v="0"/>
    <n v="0"/>
    <n v="0"/>
    <n v="0"/>
    <x v="53"/>
    <n v="0"/>
    <n v="0"/>
    <n v="0"/>
    <n v="0"/>
    <n v="0"/>
    <n v="0"/>
  </r>
  <r>
    <x v="13"/>
    <s v="002957201"/>
    <d v="2018-02-23T00:00:00"/>
    <d v="2018-03-25T00:00:00"/>
    <n v="1540.99"/>
    <n v="-2838"/>
    <n v="1540.99"/>
    <n v="0"/>
    <n v="0"/>
    <n v="0"/>
    <n v="0"/>
    <n v="0"/>
    <n v="0"/>
    <x v="54"/>
    <n v="0"/>
    <n v="0"/>
    <n v="0"/>
    <n v="0"/>
    <n v="0"/>
    <n v="0"/>
  </r>
  <r>
    <x v="15"/>
    <s v="002960101"/>
    <d v="2018-02-26T00:00:00"/>
    <d v="2018-03-28T00:00:00"/>
    <n v="2700"/>
    <n v="-2835"/>
    <n v="2700"/>
    <n v="0"/>
    <n v="0"/>
    <n v="0"/>
    <n v="0"/>
    <n v="0"/>
    <n v="0"/>
    <x v="55"/>
    <n v="0"/>
    <n v="0"/>
    <n v="0"/>
    <n v="0"/>
    <n v="0"/>
    <n v="0"/>
  </r>
  <r>
    <x v="15"/>
    <s v="002997801"/>
    <d v="2018-03-22T00:00:00"/>
    <d v="2018-04-21T00:00:00"/>
    <n v="1350"/>
    <n v="-2811"/>
    <n v="1350"/>
    <n v="0"/>
    <n v="0"/>
    <n v="0"/>
    <n v="0"/>
    <n v="0"/>
    <n v="0"/>
    <x v="56"/>
    <n v="0"/>
    <n v="0"/>
    <n v="0"/>
    <n v="0"/>
    <n v="0"/>
    <n v="0"/>
  </r>
  <r>
    <x v="15"/>
    <s v="002960102"/>
    <d v="2018-02-26T00:00:00"/>
    <d v="2018-04-27T00:00:00"/>
    <n v="2700"/>
    <n v="-2805"/>
    <n v="2700"/>
    <n v="0"/>
    <n v="0"/>
    <n v="0"/>
    <n v="0"/>
    <n v="0"/>
    <n v="0"/>
    <x v="55"/>
    <n v="0"/>
    <n v="0"/>
    <n v="0"/>
    <n v="0"/>
    <n v="0"/>
    <n v="0"/>
  </r>
  <r>
    <x v="15"/>
    <s v="003006001"/>
    <d v="2018-03-29T00:00:00"/>
    <d v="2018-04-28T00:00:00"/>
    <n v="675"/>
    <n v="-2804"/>
    <n v="675"/>
    <n v="0"/>
    <n v="0"/>
    <n v="0"/>
    <n v="0"/>
    <n v="0"/>
    <n v="0"/>
    <x v="57"/>
    <n v="0"/>
    <n v="0"/>
    <n v="0"/>
    <n v="0"/>
    <n v="0"/>
    <n v="0"/>
  </r>
  <r>
    <x v="15"/>
    <s v="002997802"/>
    <d v="2018-03-22T00:00:00"/>
    <d v="2018-05-21T00:00:00"/>
    <n v="1350"/>
    <n v="-2781"/>
    <n v="1350"/>
    <n v="0"/>
    <n v="0"/>
    <n v="0"/>
    <n v="0"/>
    <n v="0"/>
    <n v="0"/>
    <x v="56"/>
    <n v="0"/>
    <n v="0"/>
    <n v="0"/>
    <n v="0"/>
    <n v="0"/>
    <n v="0"/>
  </r>
  <r>
    <x v="15"/>
    <s v="002960103"/>
    <d v="2018-02-26T00:00:00"/>
    <d v="2018-05-27T00:00:00"/>
    <n v="2700"/>
    <n v="-2775"/>
    <n v="2700"/>
    <n v="0"/>
    <n v="0"/>
    <n v="0"/>
    <n v="0"/>
    <n v="0"/>
    <n v="0"/>
    <x v="55"/>
    <n v="0"/>
    <n v="0"/>
    <n v="0"/>
    <n v="0"/>
    <n v="0"/>
    <n v="0"/>
  </r>
  <r>
    <x v="15"/>
    <s v="003006002"/>
    <d v="2018-03-29T00:00:00"/>
    <d v="2018-05-28T00:00:00"/>
    <n v="675"/>
    <n v="-2774"/>
    <n v="675"/>
    <n v="0"/>
    <n v="0"/>
    <n v="0"/>
    <n v="0"/>
    <n v="0"/>
    <n v="0"/>
    <x v="57"/>
    <n v="0"/>
    <n v="0"/>
    <n v="0"/>
    <n v="0"/>
    <n v="0"/>
    <n v="0"/>
  </r>
  <r>
    <x v="16"/>
    <s v="002564601"/>
    <d v="2016-11-29T00:00:00"/>
    <d v="2018-06-06T00:00:00"/>
    <n v="41990"/>
    <n v="-2765"/>
    <n v="41990"/>
    <n v="0"/>
    <n v="0"/>
    <n v="0"/>
    <n v="0"/>
    <n v="0"/>
    <n v="0"/>
    <x v="58"/>
    <n v="0"/>
    <n v="0"/>
    <n v="0"/>
    <n v="0"/>
    <n v="0"/>
    <n v="0"/>
  </r>
  <r>
    <x v="15"/>
    <s v="002997803"/>
    <d v="2018-03-22T00:00:00"/>
    <d v="2018-06-20T00:00:00"/>
    <n v="1350"/>
    <n v="-2751"/>
    <n v="1350"/>
    <n v="0"/>
    <n v="0"/>
    <n v="0"/>
    <n v="0"/>
    <n v="0"/>
    <n v="0"/>
    <x v="56"/>
    <n v="0"/>
    <n v="0"/>
    <n v="0"/>
    <n v="0"/>
    <n v="0"/>
    <n v="0"/>
  </r>
  <r>
    <x v="15"/>
    <s v="002960104"/>
    <d v="2018-02-26T00:00:00"/>
    <d v="2018-06-26T00:00:00"/>
    <n v="2700"/>
    <n v="-2745"/>
    <n v="2700"/>
    <n v="0"/>
    <n v="0"/>
    <n v="0"/>
    <n v="0"/>
    <n v="0"/>
    <n v="0"/>
    <x v="55"/>
    <n v="0"/>
    <n v="0"/>
    <n v="0"/>
    <n v="0"/>
    <n v="0"/>
    <n v="0"/>
  </r>
  <r>
    <x v="15"/>
    <s v="003006003"/>
    <d v="2018-03-29T00:00:00"/>
    <d v="2018-06-27T00:00:00"/>
    <n v="675"/>
    <n v="-2744"/>
    <n v="675"/>
    <n v="0"/>
    <n v="0"/>
    <n v="0"/>
    <n v="0"/>
    <n v="0"/>
    <n v="0"/>
    <x v="57"/>
    <n v="0"/>
    <n v="0"/>
    <n v="0"/>
    <n v="0"/>
    <n v="0"/>
    <n v="0"/>
  </r>
  <r>
    <x v="15"/>
    <s v="002936104"/>
    <d v="2018-01-30T00:00:00"/>
    <d v="2018-06-30T00:00:00"/>
    <n v="675"/>
    <n v="-2741"/>
    <n v="675"/>
    <n v="0"/>
    <n v="0"/>
    <n v="0"/>
    <n v="0"/>
    <n v="0"/>
    <n v="0"/>
    <x v="57"/>
    <n v="0"/>
    <n v="0"/>
    <n v="0"/>
    <n v="0"/>
    <n v="0"/>
    <n v="0"/>
  </r>
  <r>
    <x v="15"/>
    <s v="003114501"/>
    <d v="2018-06-19T00:00:00"/>
    <d v="2018-07-19T00:00:00"/>
    <n v="675"/>
    <n v="-2722"/>
    <n v="675"/>
    <n v="0"/>
    <n v="0"/>
    <n v="0"/>
    <n v="0"/>
    <n v="0"/>
    <n v="0"/>
    <x v="57"/>
    <n v="0"/>
    <n v="0"/>
    <n v="0"/>
    <n v="0"/>
    <n v="0"/>
    <n v="0"/>
  </r>
  <r>
    <x v="15"/>
    <s v="002997804"/>
    <d v="2018-03-22T00:00:00"/>
    <d v="2018-07-20T00:00:00"/>
    <n v="1350"/>
    <n v="-2721"/>
    <n v="1350"/>
    <n v="0"/>
    <n v="0"/>
    <n v="0"/>
    <n v="0"/>
    <n v="0"/>
    <n v="0"/>
    <x v="56"/>
    <n v="0"/>
    <n v="0"/>
    <n v="0"/>
    <n v="0"/>
    <n v="0"/>
    <n v="0"/>
  </r>
  <r>
    <x v="15"/>
    <s v="003006004"/>
    <d v="2018-03-29T00:00:00"/>
    <d v="2018-07-27T00:00:00"/>
    <n v="675"/>
    <n v="-2714"/>
    <n v="675"/>
    <n v="0"/>
    <n v="0"/>
    <n v="0"/>
    <n v="0"/>
    <n v="0"/>
    <n v="0"/>
    <x v="57"/>
    <n v="0"/>
    <n v="0"/>
    <n v="0"/>
    <n v="0"/>
    <n v="0"/>
    <n v="0"/>
  </r>
  <r>
    <x v="15"/>
    <s v="003114502"/>
    <d v="2018-06-19T00:00:00"/>
    <d v="2018-08-18T00:00:00"/>
    <n v="675"/>
    <n v="-2692"/>
    <n v="675"/>
    <n v="0"/>
    <n v="0"/>
    <n v="0"/>
    <n v="0"/>
    <n v="0"/>
    <n v="0"/>
    <x v="57"/>
    <n v="0"/>
    <n v="0"/>
    <n v="0"/>
    <n v="0"/>
    <n v="0"/>
    <n v="0"/>
  </r>
  <r>
    <x v="15"/>
    <s v="003114503"/>
    <d v="2018-06-19T00:00:00"/>
    <d v="2018-09-17T00:00:00"/>
    <n v="675"/>
    <n v="-2662"/>
    <n v="675"/>
    <n v="0"/>
    <n v="0"/>
    <n v="0"/>
    <n v="0"/>
    <n v="0"/>
    <n v="0"/>
    <x v="57"/>
    <n v="0"/>
    <n v="0"/>
    <n v="0"/>
    <n v="0"/>
    <n v="0"/>
    <n v="0"/>
  </r>
  <r>
    <x v="15"/>
    <s v="003114504"/>
    <d v="2018-06-19T00:00:00"/>
    <d v="2018-10-17T00:00:00"/>
    <n v="675"/>
    <n v="-2632"/>
    <n v="675"/>
    <n v="0"/>
    <n v="0"/>
    <n v="0"/>
    <n v="0"/>
    <n v="0"/>
    <n v="0"/>
    <x v="57"/>
    <n v="0"/>
    <n v="0"/>
    <n v="0"/>
    <n v="0"/>
    <n v="0"/>
    <n v="0"/>
  </r>
  <r>
    <x v="15"/>
    <s v="003242701"/>
    <d v="2018-09-18T00:00:00"/>
    <d v="2018-10-18T00:00:00"/>
    <n v="675"/>
    <n v="-2631"/>
    <n v="675"/>
    <n v="0"/>
    <n v="0"/>
    <n v="0"/>
    <n v="0"/>
    <n v="0"/>
    <n v="0"/>
    <x v="57"/>
    <n v="0"/>
    <n v="0"/>
    <n v="0"/>
    <n v="0"/>
    <n v="0"/>
    <n v="0"/>
  </r>
  <r>
    <x v="15"/>
    <s v="003242702"/>
    <d v="2018-09-18T00:00:00"/>
    <d v="2018-11-17T00:00:00"/>
    <n v="675"/>
    <n v="-2601"/>
    <n v="675"/>
    <n v="0"/>
    <n v="0"/>
    <n v="0"/>
    <n v="0"/>
    <n v="0"/>
    <n v="0"/>
    <x v="57"/>
    <n v="0"/>
    <n v="0"/>
    <n v="0"/>
    <n v="0"/>
    <n v="0"/>
    <n v="0"/>
  </r>
  <r>
    <x v="13"/>
    <s v="003283401"/>
    <d v="2018-10-15T00:00:00"/>
    <d v="2018-12-07T00:00:00"/>
    <n v="5580"/>
    <n v="-2581"/>
    <n v="5580"/>
    <n v="0"/>
    <n v="0"/>
    <n v="0"/>
    <n v="0"/>
    <n v="0"/>
    <n v="0"/>
    <x v="59"/>
    <n v="0"/>
    <n v="0"/>
    <n v="0"/>
    <n v="0"/>
    <n v="0"/>
    <n v="0"/>
  </r>
  <r>
    <x v="15"/>
    <s v="003242703"/>
    <d v="2018-09-18T00:00:00"/>
    <d v="2018-12-17T00:00:00"/>
    <n v="675"/>
    <n v="-2571"/>
    <n v="675"/>
    <n v="0"/>
    <n v="0"/>
    <n v="0"/>
    <n v="0"/>
    <n v="0"/>
    <n v="0"/>
    <x v="57"/>
    <n v="0"/>
    <n v="0"/>
    <n v="0"/>
    <n v="0"/>
    <n v="0"/>
    <n v="0"/>
  </r>
  <r>
    <x v="15"/>
    <s v="003242704"/>
    <d v="2018-09-18T00:00:00"/>
    <d v="2019-01-16T00:00:00"/>
    <n v="675"/>
    <n v="-2541"/>
    <n v="675"/>
    <n v="0"/>
    <n v="0"/>
    <n v="0"/>
    <n v="0"/>
    <n v="0"/>
    <n v="0"/>
    <x v="57"/>
    <n v="0"/>
    <n v="0"/>
    <n v="0"/>
    <n v="0"/>
    <n v="0"/>
    <n v="0"/>
  </r>
  <r>
    <x v="17"/>
    <s v="004069201"/>
    <d v="2020-09-21T00:00:00"/>
    <d v="2020-12-20T00:00:00"/>
    <n v="28730"/>
    <n v="-1837"/>
    <n v="28730"/>
    <n v="0"/>
    <n v="0"/>
    <n v="0"/>
    <n v="0"/>
    <n v="0"/>
    <n v="0"/>
    <x v="60"/>
    <n v="0"/>
    <n v="0"/>
    <n v="0"/>
    <n v="0"/>
    <n v="0"/>
    <n v="0"/>
  </r>
  <r>
    <x v="17"/>
    <s v="004081701"/>
    <d v="2020-10-07T00:00:00"/>
    <d v="2021-01-05T00:00:00"/>
    <n v="14700"/>
    <n v="-1821"/>
    <n v="14700"/>
    <n v="0"/>
    <n v="0"/>
    <n v="0"/>
    <n v="0"/>
    <n v="0"/>
    <n v="0"/>
    <x v="61"/>
    <n v="0"/>
    <n v="0"/>
    <n v="0"/>
    <n v="0"/>
    <n v="0"/>
    <n v="0"/>
  </r>
  <r>
    <x v="17"/>
    <s v="004106701"/>
    <d v="2020-11-11T00:00:00"/>
    <d v="2021-02-09T00:00:00"/>
    <n v="16700"/>
    <n v="-1786"/>
    <n v="16700"/>
    <n v="0"/>
    <n v="0"/>
    <n v="0"/>
    <n v="0"/>
    <n v="0"/>
    <n v="0"/>
    <x v="62"/>
    <n v="0"/>
    <n v="0"/>
    <n v="0"/>
    <n v="0"/>
    <n v="0"/>
    <n v="0"/>
  </r>
  <r>
    <x v="18"/>
    <s v="004142501"/>
    <d v="2021-01-07T00:00:00"/>
    <d v="2021-04-07T00:00:00"/>
    <n v="3000"/>
    <n v="-1729"/>
    <n v="3000"/>
    <n v="0"/>
    <n v="0"/>
    <n v="0"/>
    <n v="0"/>
    <n v="0"/>
    <n v="0"/>
    <x v="63"/>
    <n v="0"/>
    <n v="0"/>
    <n v="0"/>
    <n v="0"/>
    <n v="0"/>
    <n v="0"/>
  </r>
  <r>
    <x v="18"/>
    <s v="004143001"/>
    <d v="2021-01-08T00:00:00"/>
    <d v="2021-04-08T00:00:00"/>
    <n v="600"/>
    <n v="-1728"/>
    <n v="600"/>
    <n v="0"/>
    <n v="0"/>
    <n v="0"/>
    <n v="0"/>
    <n v="0"/>
    <n v="0"/>
    <x v="64"/>
    <n v="0"/>
    <n v="0"/>
    <n v="0"/>
    <n v="0"/>
    <n v="0"/>
    <n v="0"/>
  </r>
  <r>
    <x v="18"/>
    <s v="004159401"/>
    <d v="2021-01-29T00:00:00"/>
    <d v="2021-04-29T00:00:00"/>
    <n v="1200"/>
    <n v="-1707"/>
    <n v="1200"/>
    <n v="0"/>
    <n v="0"/>
    <n v="0"/>
    <n v="0"/>
    <n v="0"/>
    <n v="0"/>
    <x v="65"/>
    <n v="0"/>
    <n v="0"/>
    <n v="0"/>
    <n v="0"/>
    <n v="0"/>
    <n v="0"/>
  </r>
  <r>
    <x v="18"/>
    <s v="004159501"/>
    <d v="2021-01-29T00:00:00"/>
    <d v="2021-04-29T00:00:00"/>
    <n v="2000"/>
    <n v="-1707"/>
    <n v="2000"/>
    <n v="0"/>
    <n v="0"/>
    <n v="0"/>
    <n v="0"/>
    <n v="0"/>
    <n v="0"/>
    <x v="66"/>
    <n v="0"/>
    <n v="0"/>
    <n v="0"/>
    <n v="0"/>
    <n v="0"/>
    <n v="0"/>
  </r>
  <r>
    <x v="18"/>
    <s v="004159601"/>
    <d v="2021-01-29T00:00:00"/>
    <d v="2021-04-29T00:00:00"/>
    <n v="2600"/>
    <n v="-1707"/>
    <n v="2600"/>
    <n v="0"/>
    <n v="0"/>
    <n v="0"/>
    <n v="0"/>
    <n v="0"/>
    <n v="0"/>
    <x v="67"/>
    <n v="0"/>
    <n v="0"/>
    <n v="0"/>
    <n v="0"/>
    <n v="0"/>
    <n v="0"/>
  </r>
  <r>
    <x v="17"/>
    <s v="004164301"/>
    <d v="2021-02-08T00:00:00"/>
    <d v="2021-05-09T00:00:00"/>
    <n v="30700"/>
    <n v="-1697"/>
    <n v="30700"/>
    <n v="0"/>
    <n v="0"/>
    <n v="0"/>
    <n v="0"/>
    <n v="0"/>
    <n v="0"/>
    <x v="68"/>
    <n v="0"/>
    <n v="0"/>
    <n v="0"/>
    <n v="0"/>
    <n v="0"/>
    <n v="0"/>
  </r>
  <r>
    <x v="17"/>
    <s v="004172801"/>
    <d v="2021-02-24T00:00:00"/>
    <d v="2021-05-25T00:00:00"/>
    <n v="24200"/>
    <n v="-1681"/>
    <n v="24200"/>
    <n v="0"/>
    <n v="0"/>
    <n v="0"/>
    <n v="0"/>
    <n v="0"/>
    <n v="0"/>
    <x v="69"/>
    <n v="0"/>
    <n v="0"/>
    <n v="0"/>
    <n v="0"/>
    <n v="0"/>
    <n v="0"/>
  </r>
  <r>
    <x v="17"/>
    <s v="004174501"/>
    <d v="2021-02-26T00:00:00"/>
    <d v="2021-05-27T00:00:00"/>
    <n v="16700"/>
    <n v="-1679"/>
    <n v="16700"/>
    <n v="0"/>
    <n v="0"/>
    <n v="0"/>
    <n v="0"/>
    <n v="0"/>
    <n v="0"/>
    <x v="62"/>
    <n v="0"/>
    <n v="0"/>
    <n v="0"/>
    <n v="0"/>
    <n v="0"/>
    <n v="0"/>
  </r>
  <r>
    <x v="17"/>
    <s v="004194101"/>
    <d v="2021-03-29T00:00:00"/>
    <d v="2021-05-28T00:00:00"/>
    <n v="24900"/>
    <n v="-1678"/>
    <n v="24900"/>
    <n v="0"/>
    <n v="0"/>
    <n v="0"/>
    <n v="0"/>
    <n v="0"/>
    <n v="0"/>
    <x v="70"/>
    <n v="0"/>
    <n v="0"/>
    <n v="0"/>
    <n v="0"/>
    <n v="0"/>
    <n v="0"/>
  </r>
  <r>
    <x v="18"/>
    <s v="004181701"/>
    <d v="2021-03-08T00:00:00"/>
    <d v="2021-06-06T00:00:00"/>
    <n v="2000"/>
    <n v="-1669"/>
    <n v="2000"/>
    <n v="0"/>
    <n v="0"/>
    <n v="0"/>
    <n v="0"/>
    <n v="0"/>
    <n v="0"/>
    <x v="66"/>
    <n v="0"/>
    <n v="0"/>
    <n v="0"/>
    <n v="0"/>
    <n v="0"/>
    <n v="0"/>
  </r>
  <r>
    <x v="18"/>
    <s v="004181801"/>
    <d v="2021-03-08T00:00:00"/>
    <d v="2021-06-06T00:00:00"/>
    <n v="600"/>
    <n v="-1669"/>
    <n v="600"/>
    <n v="0"/>
    <n v="0"/>
    <n v="0"/>
    <n v="0"/>
    <n v="0"/>
    <n v="0"/>
    <x v="64"/>
    <n v="0"/>
    <n v="0"/>
    <n v="0"/>
    <n v="0"/>
    <n v="0"/>
    <n v="0"/>
  </r>
  <r>
    <x v="17"/>
    <s v="004185101"/>
    <d v="2021-03-12T00:00:00"/>
    <d v="2021-06-10T00:00:00"/>
    <n v="14000"/>
    <n v="-1665"/>
    <n v="14000"/>
    <n v="0"/>
    <n v="0"/>
    <n v="0"/>
    <n v="0"/>
    <n v="0"/>
    <n v="0"/>
    <x v="71"/>
    <n v="0"/>
    <n v="0"/>
    <n v="0"/>
    <n v="0"/>
    <n v="0"/>
    <n v="0"/>
  </r>
  <r>
    <x v="18"/>
    <s v="004187201"/>
    <d v="2021-03-19T00:00:00"/>
    <d v="2021-06-17T00:00:00"/>
    <n v="2000"/>
    <n v="-1658"/>
    <n v="2000"/>
    <n v="0"/>
    <n v="0"/>
    <n v="0"/>
    <n v="0"/>
    <n v="0"/>
    <n v="0"/>
    <x v="66"/>
    <n v="0"/>
    <n v="0"/>
    <n v="0"/>
    <n v="0"/>
    <n v="0"/>
    <n v="0"/>
  </r>
  <r>
    <x v="18"/>
    <s v="004195601"/>
    <d v="2021-03-30T00:00:00"/>
    <d v="2021-06-28T00:00:00"/>
    <n v="1200"/>
    <n v="-1647"/>
    <n v="1200"/>
    <n v="0"/>
    <n v="0"/>
    <n v="0"/>
    <n v="0"/>
    <n v="0"/>
    <n v="0"/>
    <x v="65"/>
    <n v="0"/>
    <n v="0"/>
    <n v="0"/>
    <n v="0"/>
    <n v="0"/>
    <n v="0"/>
  </r>
  <r>
    <x v="18"/>
    <s v="004195701"/>
    <d v="2021-03-30T00:00:00"/>
    <d v="2021-06-28T00:00:00"/>
    <n v="600"/>
    <n v="-1647"/>
    <n v="600"/>
    <n v="0"/>
    <n v="0"/>
    <n v="0"/>
    <n v="0"/>
    <n v="0"/>
    <n v="0"/>
    <x v="64"/>
    <n v="0"/>
    <n v="0"/>
    <n v="0"/>
    <n v="0"/>
    <n v="0"/>
    <n v="0"/>
  </r>
  <r>
    <x v="18"/>
    <s v="004195801"/>
    <d v="2021-03-30T00:00:00"/>
    <d v="2021-06-28T00:00:00"/>
    <n v="2000"/>
    <n v="-1647"/>
    <n v="2000"/>
    <n v="0"/>
    <n v="0"/>
    <n v="0"/>
    <n v="0"/>
    <n v="0"/>
    <n v="0"/>
    <x v="66"/>
    <n v="0"/>
    <n v="0"/>
    <n v="0"/>
    <n v="0"/>
    <n v="0"/>
    <n v="0"/>
  </r>
  <r>
    <x v="18"/>
    <s v="004195901"/>
    <d v="2021-03-30T00:00:00"/>
    <d v="2021-06-28T00:00:00"/>
    <n v="2000"/>
    <n v="-1647"/>
    <n v="2000"/>
    <n v="0"/>
    <n v="0"/>
    <n v="0"/>
    <n v="0"/>
    <n v="0"/>
    <n v="0"/>
    <x v="66"/>
    <n v="0"/>
    <n v="0"/>
    <n v="0"/>
    <n v="0"/>
    <n v="0"/>
    <n v="0"/>
  </r>
  <r>
    <x v="17"/>
    <s v="004212701"/>
    <d v="2021-04-29T00:00:00"/>
    <d v="2021-06-28T00:00:00"/>
    <n v="15370"/>
    <n v="-1647"/>
    <n v="15370"/>
    <n v="0"/>
    <n v="0"/>
    <n v="0"/>
    <n v="0"/>
    <n v="0"/>
    <n v="0"/>
    <x v="72"/>
    <n v="0"/>
    <n v="0"/>
    <n v="0"/>
    <n v="0"/>
    <n v="0"/>
    <n v="0"/>
  </r>
  <r>
    <x v="18"/>
    <s v="004197301"/>
    <d v="2021-03-31T00:00:00"/>
    <d v="2021-06-29T00:00:00"/>
    <n v="2000"/>
    <n v="-1646"/>
    <n v="2000"/>
    <n v="0"/>
    <n v="0"/>
    <n v="0"/>
    <n v="0"/>
    <n v="0"/>
    <n v="0"/>
    <x v="66"/>
    <n v="0"/>
    <n v="0"/>
    <n v="0"/>
    <n v="0"/>
    <n v="0"/>
    <n v="0"/>
  </r>
  <r>
    <x v="18"/>
    <s v="004197401"/>
    <d v="2021-03-31T00:00:00"/>
    <d v="2021-06-29T00:00:00"/>
    <n v="600"/>
    <n v="-1646"/>
    <n v="600"/>
    <n v="0"/>
    <n v="0"/>
    <n v="0"/>
    <n v="0"/>
    <n v="0"/>
    <n v="0"/>
    <x v="64"/>
    <n v="0"/>
    <n v="0"/>
    <n v="0"/>
    <n v="0"/>
    <n v="0"/>
    <n v="0"/>
  </r>
  <r>
    <x v="18"/>
    <s v="004203101"/>
    <d v="2021-04-09T00:00:00"/>
    <d v="2021-07-08T00:00:00"/>
    <n v="600"/>
    <n v="-1637"/>
    <n v="600"/>
    <n v="0"/>
    <n v="0"/>
    <n v="0"/>
    <n v="0"/>
    <n v="0"/>
    <n v="0"/>
    <x v="64"/>
    <n v="0"/>
    <n v="0"/>
    <n v="0"/>
    <n v="0"/>
    <n v="0"/>
    <n v="0"/>
  </r>
  <r>
    <x v="18"/>
    <s v="004203201"/>
    <d v="2021-04-09T00:00:00"/>
    <d v="2021-07-08T00:00:00"/>
    <n v="600"/>
    <n v="-1637"/>
    <n v="600"/>
    <n v="0"/>
    <n v="0"/>
    <n v="0"/>
    <n v="0"/>
    <n v="0"/>
    <n v="0"/>
    <x v="64"/>
    <n v="0"/>
    <n v="0"/>
    <n v="0"/>
    <n v="0"/>
    <n v="0"/>
    <n v="0"/>
  </r>
  <r>
    <x v="18"/>
    <s v="004203301"/>
    <d v="2021-04-09T00:00:00"/>
    <d v="2021-07-08T00:00:00"/>
    <n v="600"/>
    <n v="-1637"/>
    <n v="600"/>
    <n v="0"/>
    <n v="0"/>
    <n v="0"/>
    <n v="0"/>
    <n v="0"/>
    <n v="0"/>
    <x v="64"/>
    <n v="0"/>
    <n v="0"/>
    <n v="0"/>
    <n v="0"/>
    <n v="0"/>
    <n v="0"/>
  </r>
  <r>
    <x v="18"/>
    <s v="004205401"/>
    <d v="2021-04-14T00:00:00"/>
    <d v="2021-07-13T00:00:00"/>
    <n v="600"/>
    <n v="-1632"/>
    <n v="600"/>
    <n v="0"/>
    <n v="0"/>
    <n v="0"/>
    <n v="0"/>
    <n v="0"/>
    <n v="0"/>
    <x v="64"/>
    <n v="0"/>
    <n v="0"/>
    <n v="0"/>
    <n v="0"/>
    <n v="0"/>
    <n v="0"/>
  </r>
  <r>
    <x v="18"/>
    <s v="004209601"/>
    <d v="2021-04-23T00:00:00"/>
    <d v="2021-07-22T00:00:00"/>
    <n v="600"/>
    <n v="-1623"/>
    <n v="600"/>
    <n v="0"/>
    <n v="0"/>
    <n v="0"/>
    <n v="0"/>
    <n v="0"/>
    <n v="0"/>
    <x v="64"/>
    <n v="0"/>
    <n v="0"/>
    <n v="0"/>
    <n v="0"/>
    <n v="0"/>
    <n v="0"/>
  </r>
  <r>
    <x v="18"/>
    <s v="004217701"/>
    <d v="2021-05-06T00:00:00"/>
    <d v="2021-08-04T00:00:00"/>
    <n v="2000"/>
    <n v="-1610"/>
    <n v="2000"/>
    <n v="0"/>
    <n v="0"/>
    <n v="0"/>
    <n v="0"/>
    <n v="0"/>
    <n v="0"/>
    <x v="66"/>
    <n v="0"/>
    <n v="0"/>
    <n v="0"/>
    <n v="0"/>
    <n v="0"/>
    <n v="0"/>
  </r>
  <r>
    <x v="18"/>
    <s v="004217801"/>
    <d v="2021-05-06T00:00:00"/>
    <d v="2021-08-04T00:00:00"/>
    <n v="2000"/>
    <n v="-1610"/>
    <n v="2000"/>
    <n v="0"/>
    <n v="0"/>
    <n v="0"/>
    <n v="0"/>
    <n v="0"/>
    <n v="0"/>
    <x v="66"/>
    <n v="0"/>
    <n v="0"/>
    <n v="0"/>
    <n v="0"/>
    <n v="0"/>
    <n v="0"/>
  </r>
  <r>
    <x v="18"/>
    <s v="000026401"/>
    <d v="2021-08-05T00:00:00"/>
    <d v="2021-11-03T00:00:00"/>
    <n v="600"/>
    <n v="-1519"/>
    <n v="600"/>
    <n v="0"/>
    <n v="0"/>
    <n v="0"/>
    <n v="0"/>
    <n v="0"/>
    <n v="0"/>
    <x v="64"/>
    <n v="0"/>
    <n v="0"/>
    <n v="0"/>
    <n v="0"/>
    <n v="0"/>
    <n v="0"/>
  </r>
  <r>
    <x v="18"/>
    <s v="000026501"/>
    <d v="2021-08-05T00:00:00"/>
    <d v="2021-11-03T00:00:00"/>
    <n v="600"/>
    <n v="-1519"/>
    <n v="600"/>
    <n v="0"/>
    <n v="0"/>
    <n v="0"/>
    <n v="0"/>
    <n v="0"/>
    <n v="0"/>
    <x v="64"/>
    <n v="0"/>
    <n v="0"/>
    <n v="0"/>
    <n v="0"/>
    <n v="0"/>
    <n v="0"/>
  </r>
  <r>
    <x v="19"/>
    <s v="004367601"/>
    <d v="2022-04-25T00:00:00"/>
    <d v="2022-05-20T00:00:00"/>
    <n v="108761.94"/>
    <n v="-1321"/>
    <n v="108761.94"/>
    <n v="0"/>
    <n v="0"/>
    <n v="0"/>
    <n v="0"/>
    <n v="0"/>
    <n v="0"/>
    <x v="73"/>
    <n v="0"/>
    <n v="0"/>
    <n v="0"/>
    <n v="0"/>
    <n v="0"/>
    <n v="0"/>
  </r>
  <r>
    <x v="19"/>
    <s v="004367602"/>
    <d v="2022-04-25T00:00:00"/>
    <d v="2022-06-20T00:00:00"/>
    <n v="108761.94"/>
    <n v="-1290"/>
    <n v="108761.94"/>
    <n v="0"/>
    <n v="0"/>
    <n v="0"/>
    <n v="0"/>
    <n v="0"/>
    <n v="0"/>
    <x v="73"/>
    <n v="0"/>
    <n v="0"/>
    <n v="0"/>
    <n v="0"/>
    <n v="0"/>
    <n v="0"/>
  </r>
  <r>
    <x v="20"/>
    <s v="004415401"/>
    <d v="2022-07-29T00:00:00"/>
    <d v="2022-08-28T00:00:00"/>
    <n v="85930.5"/>
    <n v="-1221"/>
    <n v="85930.5"/>
    <n v="0"/>
    <n v="0"/>
    <n v="0"/>
    <n v="0"/>
    <n v="0"/>
    <n v="0"/>
    <x v="74"/>
    <n v="0"/>
    <n v="0"/>
    <n v="0"/>
    <n v="0"/>
    <n v="0"/>
    <n v="0"/>
  </r>
  <r>
    <x v="19"/>
    <s v="004386001"/>
    <d v="2022-07-08T00:00:00"/>
    <d v="2022-09-10T00:00:00"/>
    <n v="121396.75"/>
    <n v="-1208"/>
    <n v="121396.75"/>
    <n v="0"/>
    <n v="0"/>
    <n v="0"/>
    <n v="0"/>
    <n v="0"/>
    <n v="0"/>
    <x v="75"/>
    <n v="0"/>
    <n v="0"/>
    <n v="0"/>
    <n v="0"/>
    <n v="0"/>
    <n v="0"/>
  </r>
  <r>
    <x v="18"/>
    <s v="004483701"/>
    <d v="2022-10-28T00:00:00"/>
    <d v="2023-01-26T00:00:00"/>
    <n v="6520"/>
    <n v="-1070"/>
    <n v="6520"/>
    <n v="0"/>
    <n v="0"/>
    <n v="0"/>
    <n v="0"/>
    <n v="0"/>
    <n v="0"/>
    <x v="76"/>
    <n v="0"/>
    <n v="0"/>
    <n v="0"/>
    <n v="0"/>
    <n v="0"/>
    <n v="0"/>
  </r>
  <r>
    <x v="18"/>
    <s v="004483801"/>
    <d v="2022-10-28T00:00:00"/>
    <d v="2023-01-26T00:00:00"/>
    <n v="6520"/>
    <n v="-1070"/>
    <n v="6520"/>
    <n v="0"/>
    <n v="0"/>
    <n v="0"/>
    <n v="0"/>
    <n v="0"/>
    <n v="0"/>
    <x v="76"/>
    <n v="0"/>
    <n v="0"/>
    <n v="0"/>
    <n v="0"/>
    <n v="0"/>
    <n v="0"/>
  </r>
  <r>
    <x v="19"/>
    <s v="004459701"/>
    <d v="2022-10-07T00:00:00"/>
    <d v="2023-01-28T00:00:00"/>
    <n v="70000"/>
    <n v="-1068"/>
    <n v="70000"/>
    <n v="0"/>
    <n v="0"/>
    <n v="0"/>
    <n v="0"/>
    <n v="0"/>
    <n v="0"/>
    <x v="77"/>
    <n v="0"/>
    <n v="0"/>
    <n v="0"/>
    <n v="0"/>
    <n v="0"/>
    <n v="0"/>
  </r>
  <r>
    <x v="21"/>
    <s v="000298301"/>
    <d v="2022-12-27T00:00:00"/>
    <d v="2023-02-25T00:00:00"/>
    <n v="105756"/>
    <n v="-1040"/>
    <n v="105756"/>
    <n v="0"/>
    <n v="0"/>
    <n v="0"/>
    <n v="0"/>
    <n v="0"/>
    <n v="0"/>
    <x v="78"/>
    <n v="0"/>
    <n v="0"/>
    <n v="0"/>
    <n v="0"/>
    <n v="0"/>
    <n v="0"/>
  </r>
  <r>
    <x v="18"/>
    <s v="004536201"/>
    <d v="2023-01-04T00:00:00"/>
    <d v="2023-04-04T00:00:00"/>
    <n v="4720"/>
    <n v="-1002"/>
    <n v="4720"/>
    <n v="0"/>
    <n v="0"/>
    <n v="0"/>
    <n v="0"/>
    <n v="0"/>
    <n v="0"/>
    <x v="79"/>
    <n v="0"/>
    <n v="0"/>
    <n v="0"/>
    <n v="0"/>
    <n v="0"/>
    <n v="0"/>
  </r>
  <r>
    <x v="18"/>
    <s v="004592601"/>
    <d v="2023-03-10T00:00:00"/>
    <d v="2023-06-08T00:00:00"/>
    <n v="3824.8"/>
    <n v="-937"/>
    <n v="3824.8"/>
    <n v="0"/>
    <n v="0"/>
    <n v="0"/>
    <n v="0"/>
    <n v="0"/>
    <n v="0"/>
    <x v="80"/>
    <n v="0"/>
    <n v="0"/>
    <n v="0"/>
    <n v="0"/>
    <n v="0"/>
    <n v="0"/>
  </r>
  <r>
    <x v="18"/>
    <s v="004621901"/>
    <d v="2023-04-06T00:00:00"/>
    <d v="2023-07-05T00:00:00"/>
    <n v="7760"/>
    <n v="-910"/>
    <n v="7760"/>
    <n v="0"/>
    <n v="0"/>
    <n v="0"/>
    <n v="0"/>
    <n v="0"/>
    <n v="0"/>
    <x v="81"/>
    <n v="0"/>
    <n v="0"/>
    <n v="0"/>
    <n v="0"/>
    <n v="0"/>
    <n v="0"/>
  </r>
  <r>
    <x v="22"/>
    <s v="004692301"/>
    <d v="2023-06-01T00:00:00"/>
    <d v="2023-07-15T00:00:00"/>
    <n v="71100"/>
    <n v="-900"/>
    <n v="71100"/>
    <n v="0"/>
    <n v="0"/>
    <n v="0"/>
    <n v="0"/>
    <n v="0"/>
    <n v="0"/>
    <x v="82"/>
    <n v="0"/>
    <n v="0"/>
    <n v="0"/>
    <n v="0"/>
    <n v="0"/>
    <n v="0"/>
  </r>
  <r>
    <x v="23"/>
    <s v="000004543"/>
    <d v="2023-07-24T00:00:00"/>
    <d v="2023-09-22T00:00:00"/>
    <n v="9430"/>
    <n v="-831"/>
    <n v="9430"/>
    <n v="0"/>
    <n v="0"/>
    <n v="0"/>
    <n v="0"/>
    <n v="0"/>
    <n v="0"/>
    <x v="83"/>
    <n v="0"/>
    <n v="0"/>
    <n v="0"/>
    <n v="0"/>
    <n v="0"/>
    <n v="0"/>
  </r>
  <r>
    <x v="24"/>
    <s v="000004596"/>
    <d v="2023-07-31T00:00:00"/>
    <d v="2023-09-29T00:00:00"/>
    <n v="25900"/>
    <n v="-824"/>
    <n v="25900"/>
    <n v="0"/>
    <n v="0"/>
    <n v="0"/>
    <n v="0"/>
    <n v="0"/>
    <n v="0"/>
    <x v="84"/>
    <n v="0"/>
    <n v="0"/>
    <n v="0"/>
    <n v="0"/>
    <n v="0"/>
    <n v="0"/>
  </r>
  <r>
    <x v="24"/>
    <s v="000004641"/>
    <d v="2023-08-04T00:00:00"/>
    <d v="2023-10-03T00:00:00"/>
    <n v="23990.03"/>
    <n v="-820"/>
    <n v="23990.03"/>
    <n v="0"/>
    <n v="0"/>
    <n v="0"/>
    <n v="0"/>
    <n v="0"/>
    <n v="0"/>
    <x v="85"/>
    <n v="0"/>
    <n v="0"/>
    <n v="0"/>
    <n v="0"/>
    <n v="0"/>
    <n v="0"/>
  </r>
  <r>
    <x v="25"/>
    <s v="000047665"/>
    <d v="2023-07-27T00:00:00"/>
    <d v="2023-10-10T00:00:00"/>
    <n v="38990"/>
    <n v="-813"/>
    <n v="38990"/>
    <n v="0"/>
    <n v="0"/>
    <n v="0"/>
    <n v="0"/>
    <n v="0"/>
    <n v="0"/>
    <x v="86"/>
    <n v="0"/>
    <n v="0"/>
    <n v="0"/>
    <n v="0"/>
    <n v="0"/>
    <n v="0"/>
  </r>
  <r>
    <x v="24"/>
    <s v="000004742"/>
    <d v="2023-08-17T00:00:00"/>
    <d v="2023-10-16T00:00:00"/>
    <n v="73000"/>
    <n v="-807"/>
    <n v="73000"/>
    <n v="0"/>
    <n v="0"/>
    <n v="0"/>
    <n v="0"/>
    <n v="0"/>
    <n v="0"/>
    <x v="87"/>
    <n v="0"/>
    <n v="0"/>
    <n v="0"/>
    <n v="0"/>
    <n v="0"/>
    <n v="0"/>
  </r>
  <r>
    <x v="25"/>
    <s v="000047567"/>
    <d v="2023-07-20T00:00:00"/>
    <d v="2023-10-18T00:00:00"/>
    <n v="20150"/>
    <n v="-805"/>
    <n v="20150"/>
    <n v="0"/>
    <n v="0"/>
    <n v="0"/>
    <n v="0"/>
    <n v="0"/>
    <n v="0"/>
    <x v="88"/>
    <n v="0"/>
    <n v="0"/>
    <n v="0"/>
    <n v="0"/>
    <n v="0"/>
    <n v="0"/>
  </r>
  <r>
    <x v="24"/>
    <s v="000004792"/>
    <d v="2023-08-28T00:00:00"/>
    <d v="2023-10-27T00:00:00"/>
    <n v="20761"/>
    <n v="-796"/>
    <n v="20761"/>
    <n v="0"/>
    <n v="0"/>
    <n v="0"/>
    <n v="0"/>
    <n v="0"/>
    <n v="0"/>
    <x v="89"/>
    <n v="0"/>
    <n v="0"/>
    <n v="0"/>
    <n v="0"/>
    <n v="0"/>
    <n v="0"/>
  </r>
  <r>
    <x v="24"/>
    <s v="000004793"/>
    <d v="2023-08-28T00:00:00"/>
    <d v="2023-10-27T00:00:00"/>
    <n v="20761"/>
    <n v="-796"/>
    <n v="20761"/>
    <n v="0"/>
    <n v="0"/>
    <n v="0"/>
    <n v="0"/>
    <n v="0"/>
    <n v="0"/>
    <x v="89"/>
    <n v="0"/>
    <n v="0"/>
    <n v="0"/>
    <n v="0"/>
    <n v="0"/>
    <n v="0"/>
  </r>
  <r>
    <x v="26"/>
    <s v="000049006"/>
    <d v="2023-10-30T00:00:00"/>
    <d v="2023-11-10T00:00:00"/>
    <n v="39000"/>
    <n v="-782"/>
    <n v="39000"/>
    <n v="0"/>
    <n v="0"/>
    <n v="0"/>
    <n v="0"/>
    <n v="0"/>
    <n v="0"/>
    <x v="4"/>
    <n v="0"/>
    <n v="0"/>
    <n v="0"/>
    <n v="0"/>
    <n v="0"/>
    <n v="0"/>
  </r>
  <r>
    <x v="24"/>
    <s v="000004898"/>
    <d v="2023-09-11T00:00:00"/>
    <d v="2023-11-10T00:00:00"/>
    <n v="24173"/>
    <n v="-782"/>
    <n v="24173"/>
    <n v="0"/>
    <n v="0"/>
    <n v="0"/>
    <n v="0"/>
    <n v="0"/>
    <n v="0"/>
    <x v="90"/>
    <n v="0"/>
    <n v="0"/>
    <n v="0"/>
    <n v="0"/>
    <n v="0"/>
    <n v="0"/>
  </r>
  <r>
    <x v="27"/>
    <s v="000005181"/>
    <d v="2023-10-16T00:00:00"/>
    <d v="2023-11-15T00:00:00"/>
    <n v="15531"/>
    <n v="-777"/>
    <n v="15531"/>
    <n v="0"/>
    <n v="0"/>
    <n v="0"/>
    <n v="0"/>
    <n v="0"/>
    <n v="0"/>
    <x v="91"/>
    <n v="0"/>
    <n v="0"/>
    <n v="0"/>
    <n v="0"/>
    <n v="0"/>
    <n v="0"/>
  </r>
  <r>
    <x v="24"/>
    <s v="000004968"/>
    <d v="2023-09-22T00:00:00"/>
    <d v="2023-11-21T00:00:00"/>
    <n v="24050"/>
    <n v="-771"/>
    <n v="24050"/>
    <n v="0"/>
    <n v="0"/>
    <n v="0"/>
    <n v="0"/>
    <n v="0"/>
    <n v="0"/>
    <x v="92"/>
    <n v="0"/>
    <n v="0"/>
    <n v="0"/>
    <n v="0"/>
    <n v="0"/>
    <n v="0"/>
  </r>
  <r>
    <x v="24"/>
    <s v="000004982"/>
    <d v="2023-09-26T00:00:00"/>
    <d v="2023-11-25T00:00:00"/>
    <n v="24816"/>
    <n v="-767"/>
    <n v="24816"/>
    <n v="0"/>
    <n v="0"/>
    <n v="0"/>
    <n v="0"/>
    <n v="0"/>
    <n v="0"/>
    <x v="93"/>
    <n v="0"/>
    <n v="0"/>
    <n v="0"/>
    <n v="0"/>
    <n v="0"/>
    <n v="0"/>
  </r>
  <r>
    <x v="24"/>
    <s v="000004984"/>
    <d v="2023-09-26T00:00:00"/>
    <d v="2023-11-25T00:00:00"/>
    <n v="29073"/>
    <n v="-767"/>
    <n v="29073"/>
    <n v="0"/>
    <n v="0"/>
    <n v="0"/>
    <n v="0"/>
    <n v="0"/>
    <n v="0"/>
    <x v="94"/>
    <n v="0"/>
    <n v="0"/>
    <n v="0"/>
    <n v="0"/>
    <n v="0"/>
    <n v="0"/>
  </r>
  <r>
    <x v="24"/>
    <s v="000005104"/>
    <d v="2023-10-06T00:00:00"/>
    <d v="2023-12-05T00:00:00"/>
    <n v="24050"/>
    <n v="-757"/>
    <n v="24050"/>
    <n v="0"/>
    <n v="0"/>
    <n v="0"/>
    <n v="0"/>
    <n v="0"/>
    <n v="0"/>
    <x v="92"/>
    <n v="0"/>
    <n v="0"/>
    <n v="0"/>
    <n v="0"/>
    <n v="0"/>
    <n v="0"/>
  </r>
  <r>
    <x v="26"/>
    <s v="000049006"/>
    <d v="2023-10-30T00:00:00"/>
    <d v="2023-12-10T00:00:00"/>
    <n v="39000"/>
    <n v="-752"/>
    <n v="39000"/>
    <n v="0"/>
    <n v="0"/>
    <n v="0"/>
    <n v="0"/>
    <n v="0"/>
    <n v="0"/>
    <x v="4"/>
    <n v="0"/>
    <n v="0"/>
    <n v="0"/>
    <n v="0"/>
    <n v="0"/>
    <n v="0"/>
  </r>
  <r>
    <x v="24"/>
    <s v="000005177"/>
    <d v="2023-10-16T00:00:00"/>
    <d v="2023-12-15T00:00:00"/>
    <n v="22920"/>
    <n v="-747"/>
    <n v="22920"/>
    <n v="0"/>
    <n v="0"/>
    <n v="0"/>
    <n v="0"/>
    <n v="0"/>
    <n v="0"/>
    <x v="95"/>
    <n v="0"/>
    <n v="0"/>
    <n v="0"/>
    <n v="0"/>
    <n v="0"/>
    <n v="0"/>
  </r>
  <r>
    <x v="24"/>
    <s v="000005178"/>
    <d v="2023-10-16T00:00:00"/>
    <d v="2023-12-15T00:00:00"/>
    <n v="22920"/>
    <n v="-747"/>
    <n v="22920"/>
    <n v="0"/>
    <n v="0"/>
    <n v="0"/>
    <n v="0"/>
    <n v="0"/>
    <n v="0"/>
    <x v="95"/>
    <n v="0"/>
    <n v="0"/>
    <n v="0"/>
    <n v="0"/>
    <n v="0"/>
    <n v="0"/>
  </r>
  <r>
    <x v="24"/>
    <s v="000005179"/>
    <d v="2023-10-16T00:00:00"/>
    <d v="2023-12-15T00:00:00"/>
    <n v="9959"/>
    <n v="-747"/>
    <n v="9959"/>
    <n v="0"/>
    <n v="0"/>
    <n v="0"/>
    <n v="0"/>
    <n v="0"/>
    <n v="0"/>
    <x v="96"/>
    <n v="0"/>
    <n v="0"/>
    <n v="0"/>
    <n v="0"/>
    <n v="0"/>
    <n v="0"/>
  </r>
  <r>
    <x v="24"/>
    <s v="000005180"/>
    <d v="2023-10-16T00:00:00"/>
    <d v="2023-12-15T00:00:00"/>
    <n v="3140"/>
    <n v="-747"/>
    <n v="3140"/>
    <n v="0"/>
    <n v="0"/>
    <n v="0"/>
    <n v="0"/>
    <n v="0"/>
    <n v="0"/>
    <x v="97"/>
    <n v="0"/>
    <n v="0"/>
    <n v="0"/>
    <n v="0"/>
    <n v="0"/>
    <n v="0"/>
  </r>
  <r>
    <x v="24"/>
    <s v="000005184"/>
    <d v="2023-10-17T00:00:00"/>
    <d v="2023-12-16T00:00:00"/>
    <n v="35260"/>
    <n v="-746"/>
    <n v="35260"/>
    <n v="0"/>
    <n v="0"/>
    <n v="0"/>
    <n v="0"/>
    <n v="0"/>
    <n v="0"/>
    <x v="98"/>
    <n v="0"/>
    <n v="0"/>
    <n v="0"/>
    <n v="0"/>
    <n v="0"/>
    <n v="0"/>
  </r>
  <r>
    <x v="24"/>
    <s v="000005284"/>
    <d v="2023-10-30T00:00:00"/>
    <d v="2023-12-29T00:00:00"/>
    <n v="24050"/>
    <n v="-733"/>
    <n v="24050"/>
    <n v="0"/>
    <n v="0"/>
    <n v="0"/>
    <n v="0"/>
    <n v="0"/>
    <n v="0"/>
    <x v="92"/>
    <n v="0"/>
    <n v="0"/>
    <n v="0"/>
    <n v="0"/>
    <n v="0"/>
    <n v="0"/>
  </r>
  <r>
    <x v="28"/>
    <s v="000049165"/>
    <d v="2023-11-13T00:00:00"/>
    <d v="2024-02-11T00:00:00"/>
    <n v="14000"/>
    <n v="-689"/>
    <n v="14000"/>
    <n v="0"/>
    <n v="0"/>
    <n v="0"/>
    <n v="0"/>
    <n v="0"/>
    <n v="0"/>
    <x v="71"/>
    <n v="0"/>
    <n v="0"/>
    <n v="0"/>
    <n v="0"/>
    <n v="0"/>
    <n v="0"/>
  </r>
  <r>
    <x v="29"/>
    <s v="000050895"/>
    <d v="2024-02-26T00:00:00"/>
    <d v="2024-03-27T00:00:00"/>
    <n v="6625"/>
    <n v="-644"/>
    <n v="6625"/>
    <n v="0"/>
    <n v="0"/>
    <n v="0"/>
    <n v="0"/>
    <n v="0"/>
    <n v="0"/>
    <x v="99"/>
    <n v="0"/>
    <n v="0"/>
    <n v="0"/>
    <n v="0"/>
    <n v="0"/>
    <n v="0"/>
  </r>
  <r>
    <x v="29"/>
    <s v="000050536"/>
    <d v="2024-02-02T00:00:00"/>
    <d v="2024-04-02T00:00:00"/>
    <n v="8950"/>
    <n v="-638"/>
    <n v="8950"/>
    <n v="0"/>
    <n v="0"/>
    <n v="0"/>
    <n v="0"/>
    <n v="0"/>
    <n v="0"/>
    <x v="100"/>
    <n v="0"/>
    <n v="0"/>
    <n v="0"/>
    <n v="0"/>
    <n v="0"/>
    <n v="0"/>
  </r>
  <r>
    <x v="29"/>
    <s v="000050540"/>
    <d v="2024-02-02T00:00:00"/>
    <d v="2024-04-02T00:00:00"/>
    <n v="9556.5"/>
    <n v="-638"/>
    <n v="9556.5"/>
    <n v="0"/>
    <n v="0"/>
    <n v="0"/>
    <n v="0"/>
    <n v="0"/>
    <n v="0"/>
    <x v="101"/>
    <n v="0"/>
    <n v="0"/>
    <n v="0"/>
    <n v="0"/>
    <n v="0"/>
    <n v="0"/>
  </r>
  <r>
    <x v="28"/>
    <s v="000051328"/>
    <d v="2024-03-19T00:00:00"/>
    <d v="2024-04-18T00:00:00"/>
    <n v="499.14"/>
    <n v="-622"/>
    <n v="499.14"/>
    <n v="0"/>
    <n v="0"/>
    <n v="0"/>
    <n v="0"/>
    <n v="0"/>
    <n v="0"/>
    <x v="102"/>
    <n v="0"/>
    <n v="0"/>
    <n v="0"/>
    <n v="0"/>
    <n v="0"/>
    <n v="0"/>
  </r>
  <r>
    <x v="29"/>
    <s v="000050895"/>
    <d v="2024-02-26T00:00:00"/>
    <d v="2024-04-26T00:00:00"/>
    <n v="6625"/>
    <n v="-614"/>
    <n v="6625"/>
    <n v="0"/>
    <n v="0"/>
    <n v="0"/>
    <n v="0"/>
    <n v="0"/>
    <n v="0"/>
    <x v="99"/>
    <n v="0"/>
    <n v="0"/>
    <n v="0"/>
    <n v="0"/>
    <n v="0"/>
    <n v="0"/>
  </r>
  <r>
    <x v="29"/>
    <s v="000050536"/>
    <d v="2024-02-02T00:00:00"/>
    <d v="2024-05-02T00:00:00"/>
    <n v="8950"/>
    <n v="-608"/>
    <n v="8950"/>
    <n v="0"/>
    <n v="0"/>
    <n v="0"/>
    <n v="0"/>
    <n v="0"/>
    <n v="0"/>
    <x v="100"/>
    <n v="0"/>
    <n v="0"/>
    <n v="0"/>
    <n v="0"/>
    <n v="0"/>
    <n v="0"/>
  </r>
  <r>
    <x v="29"/>
    <s v="000050539"/>
    <d v="2024-02-02T00:00:00"/>
    <d v="2024-05-02T00:00:00"/>
    <n v="9450"/>
    <n v="-608"/>
    <n v="9450"/>
    <n v="0"/>
    <n v="0"/>
    <n v="0"/>
    <n v="0"/>
    <n v="0"/>
    <n v="0"/>
    <x v="103"/>
    <n v="0"/>
    <n v="0"/>
    <n v="0"/>
    <n v="0"/>
    <n v="0"/>
    <n v="0"/>
  </r>
  <r>
    <x v="29"/>
    <s v="000050540"/>
    <d v="2024-02-02T00:00:00"/>
    <d v="2024-05-02T00:00:00"/>
    <n v="9556.5"/>
    <n v="-608"/>
    <n v="9556.5"/>
    <n v="0"/>
    <n v="0"/>
    <n v="0"/>
    <n v="0"/>
    <n v="0"/>
    <n v="0"/>
    <x v="101"/>
    <n v="0"/>
    <n v="0"/>
    <n v="0"/>
    <n v="0"/>
    <n v="0"/>
    <n v="0"/>
  </r>
  <r>
    <x v="24"/>
    <s v="000006318"/>
    <d v="2024-03-05T00:00:00"/>
    <d v="2024-05-04T00:00:00"/>
    <n v="8164"/>
    <n v="-606"/>
    <n v="8164"/>
    <n v="0"/>
    <n v="0"/>
    <n v="0"/>
    <n v="0"/>
    <n v="0"/>
    <n v="0"/>
    <x v="104"/>
    <n v="0"/>
    <n v="0"/>
    <n v="0"/>
    <n v="0"/>
    <n v="0"/>
    <n v="0"/>
  </r>
  <r>
    <x v="24"/>
    <s v="000006319"/>
    <d v="2024-03-05T00:00:00"/>
    <d v="2024-05-04T00:00:00"/>
    <n v="27250"/>
    <n v="-606"/>
    <n v="27250"/>
    <n v="0"/>
    <n v="0"/>
    <n v="0"/>
    <n v="0"/>
    <n v="0"/>
    <n v="0"/>
    <x v="105"/>
    <n v="0"/>
    <n v="0"/>
    <n v="0"/>
    <n v="0"/>
    <n v="0"/>
    <n v="0"/>
  </r>
  <r>
    <x v="24"/>
    <s v="000006320"/>
    <d v="2024-03-05T00:00:00"/>
    <d v="2024-05-04T00:00:00"/>
    <n v="27250"/>
    <n v="-606"/>
    <n v="27250"/>
    <n v="0"/>
    <n v="0"/>
    <n v="0"/>
    <n v="0"/>
    <n v="0"/>
    <n v="0"/>
    <x v="105"/>
    <n v="0"/>
    <n v="0"/>
    <n v="0"/>
    <n v="0"/>
    <n v="0"/>
    <n v="0"/>
  </r>
  <r>
    <x v="24"/>
    <s v="000006321"/>
    <d v="2024-03-05T00:00:00"/>
    <d v="2024-05-04T00:00:00"/>
    <n v="27250"/>
    <n v="-606"/>
    <n v="27250"/>
    <n v="0"/>
    <n v="0"/>
    <n v="0"/>
    <n v="0"/>
    <n v="0"/>
    <n v="0"/>
    <x v="105"/>
    <n v="0"/>
    <n v="0"/>
    <n v="0"/>
    <n v="0"/>
    <n v="0"/>
    <n v="0"/>
  </r>
  <r>
    <x v="30"/>
    <s v="000050769"/>
    <d v="2024-02-19T00:00:00"/>
    <d v="2024-05-19T00:00:00"/>
    <n v="21214.32"/>
    <n v="-591"/>
    <n v="21214.32"/>
    <n v="0"/>
    <n v="0"/>
    <n v="0"/>
    <n v="0"/>
    <n v="0"/>
    <n v="0"/>
    <x v="106"/>
    <n v="0"/>
    <n v="0"/>
    <n v="0"/>
    <n v="0"/>
    <n v="0"/>
    <n v="0"/>
  </r>
  <r>
    <x v="28"/>
    <s v="000050836"/>
    <d v="2024-02-21T00:00:00"/>
    <d v="2024-05-21T00:00:00"/>
    <n v="195.45"/>
    <n v="-589"/>
    <n v="195.45"/>
    <n v="0"/>
    <n v="0"/>
    <n v="0"/>
    <n v="0"/>
    <n v="0"/>
    <n v="0"/>
    <x v="107"/>
    <n v="0"/>
    <n v="0"/>
    <n v="0"/>
    <n v="0"/>
    <n v="0"/>
    <n v="0"/>
  </r>
  <r>
    <x v="28"/>
    <s v="000050837"/>
    <d v="2024-02-21T00:00:00"/>
    <d v="2024-05-21T00:00:00"/>
    <n v="195.45"/>
    <n v="-589"/>
    <n v="195.45"/>
    <n v="0"/>
    <n v="0"/>
    <n v="0"/>
    <n v="0"/>
    <n v="0"/>
    <n v="0"/>
    <x v="107"/>
    <n v="0"/>
    <n v="0"/>
    <n v="0"/>
    <n v="0"/>
    <n v="0"/>
    <n v="0"/>
  </r>
  <r>
    <x v="28"/>
    <s v="000050838"/>
    <d v="2024-02-21T00:00:00"/>
    <d v="2024-05-21T00:00:00"/>
    <n v="195.45"/>
    <n v="-589"/>
    <n v="195.45"/>
    <n v="0"/>
    <n v="0"/>
    <n v="0"/>
    <n v="0"/>
    <n v="0"/>
    <n v="0"/>
    <x v="107"/>
    <n v="0"/>
    <n v="0"/>
    <n v="0"/>
    <n v="0"/>
    <n v="0"/>
    <n v="0"/>
  </r>
  <r>
    <x v="28"/>
    <s v="000050874"/>
    <d v="2024-02-23T00:00:00"/>
    <d v="2024-05-23T00:00:00"/>
    <n v="499.14"/>
    <n v="-587"/>
    <n v="499.14"/>
    <n v="0"/>
    <n v="0"/>
    <n v="0"/>
    <n v="0"/>
    <n v="0"/>
    <n v="0"/>
    <x v="102"/>
    <n v="0"/>
    <n v="0"/>
    <n v="0"/>
    <n v="0"/>
    <n v="0"/>
    <n v="0"/>
  </r>
  <r>
    <x v="28"/>
    <s v="000050875"/>
    <d v="2024-02-23T00:00:00"/>
    <d v="2024-05-23T00:00:00"/>
    <n v="195.45"/>
    <n v="-587"/>
    <n v="195.45"/>
    <n v="0"/>
    <n v="0"/>
    <n v="0"/>
    <n v="0"/>
    <n v="0"/>
    <n v="0"/>
    <x v="107"/>
    <n v="0"/>
    <n v="0"/>
    <n v="0"/>
    <n v="0"/>
    <n v="0"/>
    <n v="0"/>
  </r>
  <r>
    <x v="28"/>
    <s v="000050876"/>
    <d v="2024-02-23T00:00:00"/>
    <d v="2024-05-23T00:00:00"/>
    <n v="195.45"/>
    <n v="-587"/>
    <n v="195.45"/>
    <n v="0"/>
    <n v="0"/>
    <n v="0"/>
    <n v="0"/>
    <n v="0"/>
    <n v="0"/>
    <x v="107"/>
    <n v="0"/>
    <n v="0"/>
    <n v="0"/>
    <n v="0"/>
    <n v="0"/>
    <n v="0"/>
  </r>
  <r>
    <x v="29"/>
    <s v="000050895"/>
    <d v="2024-02-26T00:00:00"/>
    <d v="2024-05-26T00:00:00"/>
    <n v="6625"/>
    <n v="-584"/>
    <n v="6625"/>
    <n v="0"/>
    <n v="0"/>
    <n v="0"/>
    <n v="0"/>
    <n v="0"/>
    <n v="0"/>
    <x v="99"/>
    <n v="0"/>
    <n v="0"/>
    <n v="0"/>
    <n v="0"/>
    <n v="0"/>
    <n v="0"/>
  </r>
  <r>
    <x v="28"/>
    <s v="000050928"/>
    <d v="2024-02-27T00:00:00"/>
    <d v="2024-05-27T00:00:00"/>
    <n v="12544.98"/>
    <n v="-583"/>
    <n v="12544.98"/>
    <n v="0"/>
    <n v="0"/>
    <n v="0"/>
    <n v="0"/>
    <n v="0"/>
    <n v="0"/>
    <x v="108"/>
    <n v="0"/>
    <n v="0"/>
    <n v="0"/>
    <n v="0"/>
    <n v="0"/>
    <n v="0"/>
  </r>
  <r>
    <x v="28"/>
    <s v="000050934"/>
    <d v="2024-02-27T00:00:00"/>
    <d v="2024-05-27T00:00:00"/>
    <n v="43763.58"/>
    <n v="-583"/>
    <n v="43763.58"/>
    <n v="0"/>
    <n v="0"/>
    <n v="0"/>
    <n v="0"/>
    <n v="0"/>
    <n v="0"/>
    <x v="109"/>
    <n v="0"/>
    <n v="0"/>
    <n v="0"/>
    <n v="0"/>
    <n v="0"/>
    <n v="0"/>
  </r>
  <r>
    <x v="28"/>
    <s v="000050937"/>
    <d v="2024-02-27T00:00:00"/>
    <d v="2024-05-27T00:00:00"/>
    <n v="55352.68"/>
    <n v="-583"/>
    <n v="55352.68"/>
    <n v="0"/>
    <n v="0"/>
    <n v="0"/>
    <n v="0"/>
    <n v="0"/>
    <n v="0"/>
    <x v="110"/>
    <n v="0"/>
    <n v="0"/>
    <n v="0"/>
    <n v="0"/>
    <n v="0"/>
    <n v="0"/>
  </r>
  <r>
    <x v="28"/>
    <s v="000051021"/>
    <d v="2024-03-04T00:00:00"/>
    <d v="2024-06-02T00:00:00"/>
    <n v="499.14"/>
    <n v="-577"/>
    <n v="499.14"/>
    <n v="0"/>
    <n v="0"/>
    <n v="0"/>
    <n v="0"/>
    <n v="0"/>
    <n v="0"/>
    <x v="102"/>
    <n v="0"/>
    <n v="0"/>
    <n v="0"/>
    <n v="0"/>
    <n v="0"/>
    <n v="0"/>
  </r>
  <r>
    <x v="31"/>
    <s v="000051052"/>
    <d v="2024-03-05T00:00:00"/>
    <d v="2024-06-03T00:00:00"/>
    <n v="62100"/>
    <n v="-576"/>
    <n v="62100"/>
    <n v="0"/>
    <n v="0"/>
    <n v="0"/>
    <n v="0"/>
    <n v="0"/>
    <n v="0"/>
    <x v="111"/>
    <n v="0"/>
    <n v="0"/>
    <n v="0"/>
    <n v="0"/>
    <n v="0"/>
    <n v="0"/>
  </r>
  <r>
    <x v="32"/>
    <s v="000051776"/>
    <d v="2024-04-15T00:00:00"/>
    <d v="2024-06-14T00:00:00"/>
    <n v="24000"/>
    <n v="-565"/>
    <n v="24000"/>
    <n v="0"/>
    <n v="0"/>
    <n v="0"/>
    <n v="0"/>
    <n v="0"/>
    <n v="0"/>
    <x v="112"/>
    <n v="0"/>
    <n v="0"/>
    <n v="0"/>
    <n v="0"/>
    <n v="0"/>
    <n v="0"/>
  </r>
  <r>
    <x v="28"/>
    <s v="000051329"/>
    <d v="2024-03-19T00:00:00"/>
    <d v="2024-06-17T00:00:00"/>
    <n v="195.45"/>
    <n v="-562"/>
    <n v="195.45"/>
    <n v="0"/>
    <n v="0"/>
    <n v="0"/>
    <n v="0"/>
    <n v="0"/>
    <n v="0"/>
    <x v="107"/>
    <n v="0"/>
    <n v="0"/>
    <n v="0"/>
    <n v="0"/>
    <n v="0"/>
    <n v="0"/>
  </r>
  <r>
    <x v="28"/>
    <s v="000051331"/>
    <d v="2024-03-19T00:00:00"/>
    <d v="2024-06-17T00:00:00"/>
    <n v="499.14"/>
    <n v="-562"/>
    <n v="499.14"/>
    <n v="0"/>
    <n v="0"/>
    <n v="0"/>
    <n v="0"/>
    <n v="0"/>
    <n v="0"/>
    <x v="102"/>
    <n v="0"/>
    <n v="0"/>
    <n v="0"/>
    <n v="0"/>
    <n v="0"/>
    <n v="0"/>
  </r>
  <r>
    <x v="29"/>
    <s v="000050895"/>
    <d v="2024-02-26T00:00:00"/>
    <d v="2024-06-25T00:00:00"/>
    <n v="6625"/>
    <n v="-554"/>
    <n v="6625"/>
    <n v="0"/>
    <n v="0"/>
    <n v="0"/>
    <n v="0"/>
    <n v="0"/>
    <n v="0"/>
    <x v="99"/>
    <n v="0"/>
    <n v="0"/>
    <n v="0"/>
    <n v="0"/>
    <n v="0"/>
    <n v="0"/>
  </r>
  <r>
    <x v="28"/>
    <s v="000051556"/>
    <d v="2024-03-28T00:00:00"/>
    <d v="2024-06-26T00:00:00"/>
    <n v="56045.67"/>
    <n v="-553"/>
    <n v="56045.67"/>
    <n v="0"/>
    <n v="0"/>
    <n v="0"/>
    <n v="0"/>
    <n v="0"/>
    <n v="0"/>
    <x v="113"/>
    <n v="0"/>
    <n v="0"/>
    <n v="0"/>
    <n v="0"/>
    <n v="0"/>
    <n v="0"/>
  </r>
  <r>
    <x v="28"/>
    <s v="000051557"/>
    <d v="2024-03-28T00:00:00"/>
    <d v="2024-06-26T00:00:00"/>
    <n v="14000"/>
    <n v="-553"/>
    <n v="14000"/>
    <n v="0"/>
    <n v="0"/>
    <n v="0"/>
    <n v="0"/>
    <n v="0"/>
    <n v="0"/>
    <x v="71"/>
    <n v="0"/>
    <n v="0"/>
    <n v="0"/>
    <n v="0"/>
    <n v="0"/>
    <n v="0"/>
  </r>
  <r>
    <x v="28"/>
    <s v="000051702"/>
    <d v="2024-04-10T00:00:00"/>
    <d v="2024-07-09T00:00:00"/>
    <n v="195.45"/>
    <n v="-540"/>
    <n v="195.45"/>
    <n v="0"/>
    <n v="0"/>
    <n v="0"/>
    <n v="0"/>
    <n v="0"/>
    <n v="0"/>
    <x v="107"/>
    <n v="0"/>
    <n v="0"/>
    <n v="0"/>
    <n v="0"/>
    <n v="0"/>
    <n v="0"/>
  </r>
  <r>
    <x v="28"/>
    <s v="000051714"/>
    <d v="2024-04-10T00:00:00"/>
    <d v="2024-07-09T00:00:00"/>
    <n v="14000"/>
    <n v="-540"/>
    <n v="14000"/>
    <n v="0"/>
    <n v="0"/>
    <n v="0"/>
    <n v="0"/>
    <n v="0"/>
    <n v="0"/>
    <x v="71"/>
    <n v="0"/>
    <n v="0"/>
    <n v="0"/>
    <n v="0"/>
    <n v="0"/>
    <n v="0"/>
  </r>
  <r>
    <x v="28"/>
    <s v="000051745"/>
    <d v="2024-04-11T00:00:00"/>
    <d v="2024-07-10T00:00:00"/>
    <n v="195.45"/>
    <n v="-539"/>
    <n v="195.45"/>
    <n v="0"/>
    <n v="0"/>
    <n v="0"/>
    <n v="0"/>
    <n v="0"/>
    <n v="0"/>
    <x v="107"/>
    <n v="0"/>
    <n v="0"/>
    <n v="0"/>
    <n v="0"/>
    <n v="0"/>
    <n v="0"/>
  </r>
  <r>
    <x v="25"/>
    <s v="000052346"/>
    <d v="2024-05-24T00:00:00"/>
    <d v="2024-07-18T00:00:00"/>
    <n v="43925"/>
    <n v="-531"/>
    <n v="43925"/>
    <n v="0"/>
    <n v="0"/>
    <n v="0"/>
    <n v="0"/>
    <n v="0"/>
    <n v="0"/>
    <x v="114"/>
    <n v="0"/>
    <n v="0"/>
    <n v="0"/>
    <n v="0"/>
    <n v="0"/>
    <n v="0"/>
  </r>
  <r>
    <x v="25"/>
    <s v="000052346"/>
    <d v="2024-05-24T00:00:00"/>
    <d v="2024-07-23T00:00:00"/>
    <n v="43925"/>
    <n v="-526"/>
    <n v="43925"/>
    <n v="0"/>
    <n v="0"/>
    <n v="0"/>
    <n v="0"/>
    <n v="0"/>
    <n v="0"/>
    <x v="114"/>
    <n v="0"/>
    <n v="0"/>
    <n v="0"/>
    <n v="0"/>
    <n v="0"/>
    <n v="0"/>
  </r>
  <r>
    <x v="29"/>
    <s v="004504501"/>
    <d v="2022-11-25T00:00:00"/>
    <d v="2024-08-05T00:00:00"/>
    <n v="68680"/>
    <n v="-513"/>
    <n v="68680"/>
    <n v="0"/>
    <n v="0"/>
    <n v="0"/>
    <n v="0"/>
    <n v="0"/>
    <n v="0"/>
    <x v="115"/>
    <n v="0"/>
    <n v="0"/>
    <n v="0"/>
    <n v="0"/>
    <n v="0"/>
    <n v="0"/>
  </r>
  <r>
    <x v="33"/>
    <s v="000006345"/>
    <d v="2024-03-07T00:00:00"/>
    <d v="2024-08-10T00:00:00"/>
    <n v="7371"/>
    <n v="-508"/>
    <n v="7371"/>
    <n v="0"/>
    <n v="0"/>
    <n v="0"/>
    <n v="0"/>
    <n v="0"/>
    <n v="0"/>
    <x v="116"/>
    <n v="0"/>
    <n v="0"/>
    <n v="0"/>
    <n v="0"/>
    <n v="0"/>
    <n v="0"/>
  </r>
  <r>
    <x v="25"/>
    <s v="000052346"/>
    <d v="2024-05-24T00:00:00"/>
    <d v="2024-08-22T00:00:00"/>
    <n v="43925"/>
    <n v="-496"/>
    <n v="43925"/>
    <n v="0"/>
    <n v="0"/>
    <n v="0"/>
    <n v="0"/>
    <n v="0"/>
    <n v="0"/>
    <x v="114"/>
    <n v="0"/>
    <n v="0"/>
    <n v="0"/>
    <n v="0"/>
    <n v="0"/>
    <n v="0"/>
  </r>
  <r>
    <x v="34"/>
    <s v="000053827"/>
    <d v="2024-08-13T00:00:00"/>
    <d v="2024-09-06T00:00:00"/>
    <n v="21945"/>
    <n v="-481"/>
    <n v="21945"/>
    <n v="0"/>
    <n v="0"/>
    <n v="0"/>
    <n v="0"/>
    <n v="0"/>
    <n v="0"/>
    <x v="117"/>
    <n v="0"/>
    <n v="0"/>
    <n v="0"/>
    <n v="0"/>
    <n v="0"/>
    <n v="0"/>
  </r>
  <r>
    <x v="28"/>
    <s v="000052752"/>
    <d v="2024-06-18T00:00:00"/>
    <d v="2024-09-16T00:00:00"/>
    <n v="195.45"/>
    <n v="-471"/>
    <n v="195.45"/>
    <n v="0"/>
    <n v="0"/>
    <n v="0"/>
    <n v="0"/>
    <n v="0"/>
    <n v="0"/>
    <x v="107"/>
    <n v="0"/>
    <n v="0"/>
    <n v="0"/>
    <n v="0"/>
    <n v="0"/>
    <n v="0"/>
  </r>
  <r>
    <x v="28"/>
    <s v="000052753"/>
    <d v="2024-06-18T00:00:00"/>
    <d v="2024-09-16T00:00:00"/>
    <n v="195.45"/>
    <n v="-471"/>
    <n v="195.45"/>
    <n v="0"/>
    <n v="0"/>
    <n v="0"/>
    <n v="0"/>
    <n v="0"/>
    <n v="0"/>
    <x v="107"/>
    <n v="0"/>
    <n v="0"/>
    <n v="0"/>
    <n v="0"/>
    <n v="0"/>
    <n v="0"/>
  </r>
  <r>
    <x v="28"/>
    <s v="000052755"/>
    <d v="2024-06-18T00:00:00"/>
    <d v="2024-09-16T00:00:00"/>
    <n v="195.45"/>
    <n v="-471"/>
    <n v="195.45"/>
    <n v="0"/>
    <n v="0"/>
    <n v="0"/>
    <n v="0"/>
    <n v="0"/>
    <n v="0"/>
    <x v="107"/>
    <n v="0"/>
    <n v="0"/>
    <n v="0"/>
    <n v="0"/>
    <n v="0"/>
    <n v="0"/>
  </r>
  <r>
    <x v="25"/>
    <s v="000052346"/>
    <d v="2024-05-24T00:00:00"/>
    <d v="2024-09-23T00:00:00"/>
    <n v="43925"/>
    <n v="-464"/>
    <n v="43925"/>
    <n v="0"/>
    <n v="0"/>
    <n v="0"/>
    <n v="0"/>
    <n v="0"/>
    <n v="0"/>
    <x v="114"/>
    <n v="0"/>
    <n v="0"/>
    <n v="0"/>
    <n v="0"/>
    <n v="0"/>
    <n v="0"/>
  </r>
  <r>
    <x v="34"/>
    <s v="000053827"/>
    <d v="2024-08-13T00:00:00"/>
    <d v="2024-10-08T00:00:00"/>
    <n v="21945"/>
    <n v="-449"/>
    <n v="21945"/>
    <n v="0"/>
    <n v="0"/>
    <n v="0"/>
    <n v="0"/>
    <n v="0"/>
    <n v="0"/>
    <x v="117"/>
    <n v="0"/>
    <n v="0"/>
    <n v="0"/>
    <n v="0"/>
    <n v="0"/>
    <n v="0"/>
  </r>
  <r>
    <x v="35"/>
    <s v="000007408"/>
    <d v="2024-07-18T00:00:00"/>
    <d v="2024-10-16T00:00:00"/>
    <n v="22509"/>
    <n v="-441"/>
    <n v="22509"/>
    <n v="0"/>
    <n v="0"/>
    <n v="0"/>
    <n v="0"/>
    <n v="0"/>
    <n v="0"/>
    <x v="118"/>
    <n v="0"/>
    <n v="0"/>
    <n v="0"/>
    <n v="0"/>
    <n v="0"/>
    <n v="0"/>
  </r>
  <r>
    <x v="1"/>
    <s v="000052802"/>
    <d v="2024-06-19T00:00:00"/>
    <d v="2024-10-17T00:00:00"/>
    <n v="30724"/>
    <n v="-440"/>
    <n v="30724"/>
    <n v="0"/>
    <n v="0"/>
    <n v="0"/>
    <n v="0"/>
    <n v="0"/>
    <n v="0"/>
    <x v="119"/>
    <n v="0"/>
    <n v="0"/>
    <n v="0"/>
    <n v="0"/>
    <n v="0"/>
    <n v="0"/>
  </r>
  <r>
    <x v="35"/>
    <s v="000007443"/>
    <d v="2024-07-23T00:00:00"/>
    <d v="2024-10-21T00:00:00"/>
    <n v="20650"/>
    <n v="-436"/>
    <n v="20650"/>
    <n v="0"/>
    <n v="0"/>
    <n v="0"/>
    <n v="0"/>
    <n v="0"/>
    <n v="0"/>
    <x v="120"/>
    <n v="0"/>
    <n v="0"/>
    <n v="0"/>
    <n v="0"/>
    <n v="0"/>
    <n v="0"/>
  </r>
  <r>
    <x v="28"/>
    <s v="000053473"/>
    <d v="2024-07-24T00:00:00"/>
    <d v="2024-10-22T00:00:00"/>
    <n v="14000"/>
    <n v="-435"/>
    <n v="14000"/>
    <n v="0"/>
    <n v="0"/>
    <n v="0"/>
    <n v="0"/>
    <n v="0"/>
    <n v="0"/>
    <x v="71"/>
    <n v="0"/>
    <n v="0"/>
    <n v="0"/>
    <n v="0"/>
    <n v="0"/>
    <n v="0"/>
  </r>
  <r>
    <x v="28"/>
    <s v="000054320"/>
    <d v="2024-09-04T00:00:00"/>
    <d v="2024-12-03T00:00:00"/>
    <n v="14000"/>
    <n v="-393"/>
    <n v="14000"/>
    <n v="0"/>
    <n v="0"/>
    <n v="0"/>
    <n v="0"/>
    <n v="0"/>
    <n v="0"/>
    <x v="71"/>
    <n v="0"/>
    <n v="0"/>
    <n v="0"/>
    <n v="0"/>
    <n v="0"/>
    <n v="0"/>
  </r>
  <r>
    <x v="36"/>
    <s v="000008143"/>
    <d v="2024-10-10T00:00:00"/>
    <d v="2024-12-09T00:00:00"/>
    <n v="8070"/>
    <n v="-387"/>
    <n v="8070"/>
    <n v="0"/>
    <n v="0"/>
    <n v="0"/>
    <n v="0"/>
    <n v="0"/>
    <n v="0"/>
    <x v="121"/>
    <n v="0"/>
    <n v="0"/>
    <n v="0"/>
    <n v="0"/>
    <n v="0"/>
    <n v="0"/>
  </r>
  <r>
    <x v="36"/>
    <s v="000008144"/>
    <d v="2024-10-10T00:00:00"/>
    <d v="2024-12-09T00:00:00"/>
    <n v="20150"/>
    <n v="-387"/>
    <n v="20150"/>
    <n v="0"/>
    <n v="0"/>
    <n v="0"/>
    <n v="0"/>
    <n v="0"/>
    <n v="0"/>
    <x v="88"/>
    <n v="0"/>
    <n v="0"/>
    <n v="0"/>
    <n v="0"/>
    <n v="0"/>
    <n v="0"/>
  </r>
  <r>
    <x v="36"/>
    <s v="000008146"/>
    <d v="2024-10-10T00:00:00"/>
    <d v="2024-12-09T00:00:00"/>
    <n v="10929"/>
    <n v="-387"/>
    <n v="10929"/>
    <n v="0"/>
    <n v="0"/>
    <n v="0"/>
    <n v="0"/>
    <n v="0"/>
    <n v="0"/>
    <x v="122"/>
    <n v="0"/>
    <n v="0"/>
    <n v="0"/>
    <n v="0"/>
    <n v="0"/>
    <n v="0"/>
  </r>
  <r>
    <x v="36"/>
    <s v="000008148"/>
    <d v="2024-10-10T00:00:00"/>
    <d v="2024-12-09T00:00:00"/>
    <n v="7450"/>
    <n v="-387"/>
    <n v="7450"/>
    <n v="0"/>
    <n v="0"/>
    <n v="0"/>
    <n v="0"/>
    <n v="0"/>
    <n v="0"/>
    <x v="123"/>
    <n v="0"/>
    <n v="0"/>
    <n v="0"/>
    <n v="0"/>
    <n v="0"/>
    <n v="0"/>
  </r>
  <r>
    <x v="36"/>
    <s v="000008149"/>
    <d v="2024-10-10T00:00:00"/>
    <d v="2024-12-09T00:00:00"/>
    <n v="6273.5"/>
    <n v="-387"/>
    <n v="6273.5"/>
    <n v="0"/>
    <n v="0"/>
    <n v="0"/>
    <n v="0"/>
    <n v="0"/>
    <n v="0"/>
    <x v="124"/>
    <n v="0"/>
    <n v="0"/>
    <n v="0"/>
    <n v="0"/>
    <n v="0"/>
    <n v="0"/>
  </r>
  <r>
    <x v="36"/>
    <s v="000006499"/>
    <d v="2024-04-03T00:00:00"/>
    <d v="2024-12-10T00:00:00"/>
    <n v="20861.66"/>
    <n v="-386"/>
    <n v="20861.66"/>
    <n v="0"/>
    <n v="0"/>
    <n v="0"/>
    <n v="0"/>
    <n v="0"/>
    <n v="0"/>
    <x v="125"/>
    <n v="0"/>
    <n v="0"/>
    <n v="0"/>
    <n v="0"/>
    <n v="0"/>
    <n v="0"/>
  </r>
  <r>
    <x v="37"/>
    <s v="000054731"/>
    <d v="2024-09-23T00:00:00"/>
    <d v="2024-12-22T00:00:00"/>
    <n v="2383"/>
    <n v="-374"/>
    <n v="2383"/>
    <n v="0"/>
    <n v="0"/>
    <n v="0"/>
    <n v="0"/>
    <n v="0"/>
    <n v="0"/>
    <x v="126"/>
    <n v="0"/>
    <n v="0"/>
    <n v="0"/>
    <n v="0"/>
    <n v="0"/>
    <n v="0"/>
  </r>
  <r>
    <x v="28"/>
    <s v="000054854"/>
    <d v="2024-09-27T00:00:00"/>
    <d v="2024-12-26T00:00:00"/>
    <n v="55467.43"/>
    <n v="-370"/>
    <n v="55467.43"/>
    <n v="0"/>
    <n v="0"/>
    <n v="0"/>
    <n v="0"/>
    <n v="0"/>
    <n v="0"/>
    <x v="127"/>
    <n v="0"/>
    <n v="0"/>
    <n v="0"/>
    <n v="0"/>
    <n v="0"/>
    <n v="0"/>
  </r>
  <r>
    <x v="36"/>
    <s v="000008409"/>
    <d v="2024-11-05T00:00:00"/>
    <d v="2025-01-04T00:00:00"/>
    <n v="20419.5"/>
    <n v="-361"/>
    <n v="20419.5"/>
    <n v="0"/>
    <n v="0"/>
    <n v="0"/>
    <n v="0"/>
    <n v="0"/>
    <n v="0"/>
    <x v="128"/>
    <n v="0"/>
    <n v="0"/>
    <n v="0"/>
    <n v="0"/>
    <n v="0"/>
    <n v="0"/>
  </r>
  <r>
    <x v="36"/>
    <s v="000008416"/>
    <d v="2024-11-05T00:00:00"/>
    <d v="2025-01-04T00:00:00"/>
    <n v="1966.5"/>
    <n v="-361"/>
    <n v="1966.5"/>
    <n v="0"/>
    <n v="0"/>
    <n v="0"/>
    <n v="0"/>
    <n v="0"/>
    <n v="0"/>
    <x v="129"/>
    <n v="0"/>
    <n v="0"/>
    <n v="0"/>
    <n v="0"/>
    <n v="0"/>
    <n v="0"/>
  </r>
  <r>
    <x v="36"/>
    <s v="000008422"/>
    <d v="2024-11-05T00:00:00"/>
    <d v="2025-01-04T00:00:00"/>
    <n v="71500"/>
    <n v="-361"/>
    <n v="71500"/>
    <n v="0"/>
    <n v="0"/>
    <n v="0"/>
    <n v="0"/>
    <n v="0"/>
    <n v="0"/>
    <x v="130"/>
    <n v="0"/>
    <n v="0"/>
    <n v="0"/>
    <n v="0"/>
    <n v="0"/>
    <n v="0"/>
  </r>
  <r>
    <x v="36"/>
    <s v="000008424"/>
    <d v="2024-11-05T00:00:00"/>
    <d v="2025-01-04T00:00:00"/>
    <n v="9723.5"/>
    <n v="-361"/>
    <n v="9723.5"/>
    <n v="0"/>
    <n v="0"/>
    <n v="0"/>
    <n v="0"/>
    <n v="0"/>
    <n v="0"/>
    <x v="131"/>
    <n v="0"/>
    <n v="0"/>
    <n v="0"/>
    <n v="0"/>
    <n v="0"/>
    <n v="0"/>
  </r>
  <r>
    <x v="36"/>
    <s v="000008426"/>
    <d v="2024-11-05T00:00:00"/>
    <d v="2025-01-04T00:00:00"/>
    <n v="20276.5"/>
    <n v="-361"/>
    <n v="20276.5"/>
    <n v="0"/>
    <n v="0"/>
    <n v="0"/>
    <n v="0"/>
    <n v="0"/>
    <n v="0"/>
    <x v="132"/>
    <n v="0"/>
    <n v="0"/>
    <n v="0"/>
    <n v="0"/>
    <n v="0"/>
    <n v="0"/>
  </r>
  <r>
    <x v="36"/>
    <s v="000008430"/>
    <d v="2024-11-05T00:00:00"/>
    <d v="2025-01-04T00:00:00"/>
    <n v="6273.5"/>
    <n v="-361"/>
    <n v="6273.5"/>
    <n v="0"/>
    <n v="0"/>
    <n v="0"/>
    <n v="0"/>
    <n v="0"/>
    <n v="0"/>
    <x v="124"/>
    <n v="0"/>
    <n v="0"/>
    <n v="0"/>
    <n v="0"/>
    <n v="0"/>
    <n v="0"/>
  </r>
  <r>
    <x v="36"/>
    <s v="000008434"/>
    <d v="2024-11-06T00:00:00"/>
    <d v="2025-01-05T00:00:00"/>
    <n v="8240"/>
    <n v="-360"/>
    <n v="8240"/>
    <n v="0"/>
    <n v="0"/>
    <n v="0"/>
    <n v="0"/>
    <n v="0"/>
    <n v="0"/>
    <x v="133"/>
    <n v="0"/>
    <n v="0"/>
    <n v="0"/>
    <n v="0"/>
    <n v="0"/>
    <n v="0"/>
  </r>
  <r>
    <x v="36"/>
    <s v="000008437"/>
    <d v="2024-11-06T00:00:00"/>
    <d v="2025-01-05T00:00:00"/>
    <n v="17440"/>
    <n v="-360"/>
    <n v="17440"/>
    <n v="0"/>
    <n v="0"/>
    <n v="0"/>
    <n v="0"/>
    <n v="0"/>
    <n v="0"/>
    <x v="134"/>
    <n v="0"/>
    <n v="0"/>
    <n v="0"/>
    <n v="0"/>
    <n v="0"/>
    <n v="0"/>
  </r>
  <r>
    <x v="36"/>
    <s v="000008439"/>
    <d v="2024-11-06T00:00:00"/>
    <d v="2025-01-05T00:00:00"/>
    <n v="110000"/>
    <n v="-360"/>
    <n v="110000"/>
    <n v="0"/>
    <n v="0"/>
    <n v="0"/>
    <n v="0"/>
    <n v="0"/>
    <n v="0"/>
    <x v="135"/>
    <n v="0"/>
    <n v="0"/>
    <n v="0"/>
    <n v="0"/>
    <n v="0"/>
    <n v="0"/>
  </r>
  <r>
    <x v="36"/>
    <s v="000008443"/>
    <d v="2024-11-06T00:00:00"/>
    <d v="2025-01-05T00:00:00"/>
    <n v="17310"/>
    <n v="-360"/>
    <n v="17310"/>
    <n v="0"/>
    <n v="0"/>
    <n v="0"/>
    <n v="0"/>
    <n v="0"/>
    <n v="0"/>
    <x v="136"/>
    <n v="0"/>
    <n v="0"/>
    <n v="0"/>
    <n v="0"/>
    <n v="0"/>
    <n v="0"/>
  </r>
  <r>
    <x v="36"/>
    <s v="000008444"/>
    <d v="2024-11-06T00:00:00"/>
    <d v="2025-01-05T00:00:00"/>
    <n v="132456"/>
    <n v="-360"/>
    <n v="132456"/>
    <n v="0"/>
    <n v="0"/>
    <n v="0"/>
    <n v="0"/>
    <n v="0"/>
    <n v="0"/>
    <x v="137"/>
    <n v="0"/>
    <n v="0"/>
    <n v="0"/>
    <n v="0"/>
    <n v="0"/>
    <n v="0"/>
  </r>
  <r>
    <x v="36"/>
    <s v="000008445"/>
    <d v="2024-11-06T00:00:00"/>
    <d v="2025-01-05T00:00:00"/>
    <n v="129700"/>
    <n v="-360"/>
    <n v="129700"/>
    <n v="0"/>
    <n v="0"/>
    <n v="0"/>
    <n v="0"/>
    <n v="0"/>
    <n v="0"/>
    <x v="138"/>
    <n v="0"/>
    <n v="0"/>
    <n v="0"/>
    <n v="0"/>
    <n v="0"/>
    <n v="0"/>
  </r>
  <r>
    <x v="36"/>
    <s v="000008447"/>
    <d v="2024-11-06T00:00:00"/>
    <d v="2025-01-05T00:00:00"/>
    <n v="20370"/>
    <n v="-360"/>
    <n v="20370"/>
    <n v="0"/>
    <n v="0"/>
    <n v="0"/>
    <n v="0"/>
    <n v="0"/>
    <n v="0"/>
    <x v="139"/>
    <n v="0"/>
    <n v="0"/>
    <n v="0"/>
    <n v="0"/>
    <n v="0"/>
    <n v="0"/>
  </r>
  <r>
    <x v="36"/>
    <s v="000008448"/>
    <d v="2024-11-06T00:00:00"/>
    <d v="2025-01-05T00:00:00"/>
    <n v="105610"/>
    <n v="-360"/>
    <n v="105610"/>
    <n v="0"/>
    <n v="0"/>
    <n v="0"/>
    <n v="0"/>
    <n v="0"/>
    <n v="0"/>
    <x v="140"/>
    <n v="0"/>
    <n v="0"/>
    <n v="0"/>
    <n v="0"/>
    <n v="0"/>
    <n v="0"/>
  </r>
  <r>
    <x v="36"/>
    <s v="000008449"/>
    <d v="2024-11-06T00:00:00"/>
    <d v="2025-01-05T00:00:00"/>
    <n v="11040"/>
    <n v="-360"/>
    <n v="11040"/>
    <n v="0"/>
    <n v="0"/>
    <n v="0"/>
    <n v="0"/>
    <n v="0"/>
    <n v="0"/>
    <x v="141"/>
    <n v="0"/>
    <n v="0"/>
    <n v="0"/>
    <n v="0"/>
    <n v="0"/>
    <n v="0"/>
  </r>
  <r>
    <x v="36"/>
    <s v="000008457"/>
    <d v="2024-11-06T00:00:00"/>
    <d v="2025-01-05T00:00:00"/>
    <n v="200"/>
    <n v="-360"/>
    <n v="200"/>
    <n v="0"/>
    <n v="0"/>
    <n v="0"/>
    <n v="0"/>
    <n v="0"/>
    <n v="0"/>
    <x v="142"/>
    <n v="0"/>
    <n v="0"/>
    <n v="0"/>
    <n v="0"/>
    <n v="0"/>
    <n v="0"/>
  </r>
  <r>
    <x v="36"/>
    <s v="000008472"/>
    <d v="2024-11-07T00:00:00"/>
    <d v="2025-01-06T00:00:00"/>
    <n v="20073.5"/>
    <n v="-359"/>
    <n v="20073.5"/>
    <n v="0"/>
    <n v="0"/>
    <n v="0"/>
    <n v="0"/>
    <n v="0"/>
    <n v="0"/>
    <x v="143"/>
    <n v="0"/>
    <n v="0"/>
    <n v="0"/>
    <n v="0"/>
    <n v="0"/>
    <n v="0"/>
  </r>
  <r>
    <x v="36"/>
    <s v="000008474"/>
    <d v="2024-11-07T00:00:00"/>
    <d v="2025-01-06T00:00:00"/>
    <n v="63050"/>
    <n v="-359"/>
    <n v="63050"/>
    <n v="0"/>
    <n v="0"/>
    <n v="0"/>
    <n v="0"/>
    <n v="0"/>
    <n v="0"/>
    <x v="144"/>
    <n v="0"/>
    <n v="0"/>
    <n v="0"/>
    <n v="0"/>
    <n v="0"/>
    <n v="0"/>
  </r>
  <r>
    <x v="36"/>
    <s v="000008478"/>
    <d v="2024-11-07T00:00:00"/>
    <d v="2025-01-06T00:00:00"/>
    <n v="300"/>
    <n v="-359"/>
    <n v="300"/>
    <n v="0"/>
    <n v="0"/>
    <n v="0"/>
    <n v="0"/>
    <n v="0"/>
    <n v="0"/>
    <x v="145"/>
    <n v="0"/>
    <n v="0"/>
    <n v="0"/>
    <n v="0"/>
    <n v="0"/>
    <n v="0"/>
  </r>
  <r>
    <x v="36"/>
    <s v="000008486"/>
    <d v="2024-11-07T00:00:00"/>
    <d v="2025-01-06T00:00:00"/>
    <n v="20380"/>
    <n v="-359"/>
    <n v="20380"/>
    <n v="0"/>
    <n v="0"/>
    <n v="0"/>
    <n v="0"/>
    <n v="0"/>
    <n v="0"/>
    <x v="146"/>
    <n v="0"/>
    <n v="0"/>
    <n v="0"/>
    <n v="0"/>
    <n v="0"/>
    <n v="0"/>
  </r>
  <r>
    <x v="36"/>
    <s v="004401302"/>
    <d v="2022-06-30T00:00:00"/>
    <d v="2025-01-10T00:00:00"/>
    <n v="36100"/>
    <n v="-355"/>
    <n v="36100"/>
    <n v="0"/>
    <n v="0"/>
    <n v="0"/>
    <n v="0"/>
    <n v="0"/>
    <n v="0"/>
    <x v="147"/>
    <n v="0"/>
    <n v="0"/>
    <n v="0"/>
    <n v="0"/>
    <n v="0"/>
    <n v="0"/>
  </r>
  <r>
    <x v="36"/>
    <s v="004460801"/>
    <d v="2022-09-30T00:00:00"/>
    <d v="2025-01-10T00:00:00"/>
    <n v="5780"/>
    <n v="-355"/>
    <n v="5780"/>
    <n v="0"/>
    <n v="0"/>
    <n v="0"/>
    <n v="0"/>
    <n v="0"/>
    <n v="0"/>
    <x v="148"/>
    <n v="0"/>
    <n v="0"/>
    <n v="0"/>
    <n v="0"/>
    <n v="0"/>
    <n v="0"/>
  </r>
  <r>
    <x v="36"/>
    <s v="004490701"/>
    <d v="2022-11-08T00:00:00"/>
    <d v="2025-01-10T00:00:00"/>
    <n v="80"/>
    <n v="-355"/>
    <n v="80"/>
    <n v="0"/>
    <n v="0"/>
    <n v="0"/>
    <n v="0"/>
    <n v="0"/>
    <n v="0"/>
    <x v="149"/>
    <n v="0"/>
    <n v="0"/>
    <n v="0"/>
    <n v="0"/>
    <n v="0"/>
    <n v="0"/>
  </r>
  <r>
    <x v="36"/>
    <s v="004502901"/>
    <d v="2022-11-25T00:00:00"/>
    <d v="2025-01-10T00:00:00"/>
    <n v="156171.4"/>
    <n v="-355"/>
    <n v="156171.4"/>
    <n v="0"/>
    <n v="0"/>
    <n v="0"/>
    <n v="0"/>
    <n v="0"/>
    <n v="0"/>
    <x v="150"/>
    <n v="0"/>
    <n v="0"/>
    <n v="0"/>
    <n v="0"/>
    <n v="0"/>
    <n v="0"/>
  </r>
  <r>
    <x v="28"/>
    <s v="000055197"/>
    <d v="2024-10-14T00:00:00"/>
    <d v="2025-01-12T00:00:00"/>
    <n v="14000"/>
    <n v="-353"/>
    <n v="14000"/>
    <n v="0"/>
    <n v="0"/>
    <n v="0"/>
    <n v="0"/>
    <n v="0"/>
    <n v="0"/>
    <x v="71"/>
    <n v="0"/>
    <n v="0"/>
    <n v="0"/>
    <n v="0"/>
    <n v="0"/>
    <n v="0"/>
  </r>
  <r>
    <x v="37"/>
    <s v="000055286"/>
    <d v="2024-10-18T00:00:00"/>
    <d v="2025-01-16T00:00:00"/>
    <n v="44135.25"/>
    <n v="-349"/>
    <n v="44135.25"/>
    <n v="0"/>
    <n v="0"/>
    <n v="0"/>
    <n v="0"/>
    <n v="0"/>
    <n v="0"/>
    <x v="151"/>
    <n v="0"/>
    <n v="0"/>
    <n v="0"/>
    <n v="0"/>
    <n v="0"/>
    <n v="0"/>
  </r>
  <r>
    <x v="38"/>
    <s v="000005209"/>
    <d v="2024-12-04T00:00:00"/>
    <d v="2025-01-16T00:00:00"/>
    <n v="24260"/>
    <n v="-349"/>
    <n v="24260"/>
    <n v="0"/>
    <n v="0"/>
    <n v="0"/>
    <n v="0"/>
    <n v="0"/>
    <n v="0"/>
    <x v="152"/>
    <n v="0"/>
    <n v="0"/>
    <n v="0"/>
    <n v="0"/>
    <n v="0"/>
    <n v="0"/>
  </r>
  <r>
    <x v="37"/>
    <s v="000055727"/>
    <d v="2024-11-04T00:00:00"/>
    <d v="2025-02-02T00:00:00"/>
    <n v="55000"/>
    <n v="-332"/>
    <n v="55000"/>
    <n v="0"/>
    <n v="0"/>
    <n v="0"/>
    <n v="0"/>
    <n v="0"/>
    <n v="0"/>
    <x v="153"/>
    <n v="0"/>
    <n v="0"/>
    <n v="0"/>
    <n v="0"/>
    <n v="0"/>
    <n v="0"/>
  </r>
  <r>
    <x v="37"/>
    <s v="000008484"/>
    <d v="2024-11-07T00:00:00"/>
    <d v="2025-02-05T00:00:00"/>
    <n v="23947"/>
    <n v="-329"/>
    <n v="23947"/>
    <n v="0"/>
    <n v="0"/>
    <n v="0"/>
    <n v="0"/>
    <n v="0"/>
    <n v="0"/>
    <x v="154"/>
    <n v="0"/>
    <n v="0"/>
    <n v="0"/>
    <n v="0"/>
    <n v="0"/>
    <n v="0"/>
  </r>
  <r>
    <x v="36"/>
    <s v="000008343"/>
    <d v="2024-11-01T00:00:00"/>
    <d v="2025-02-09T00:00:00"/>
    <n v="13295"/>
    <n v="-325"/>
    <n v="13295"/>
    <n v="0"/>
    <n v="0"/>
    <n v="0"/>
    <n v="0"/>
    <n v="0"/>
    <n v="0"/>
    <x v="155"/>
    <n v="0"/>
    <n v="0"/>
    <n v="0"/>
    <n v="0"/>
    <n v="0"/>
    <n v="0"/>
  </r>
  <r>
    <x v="38"/>
    <s v="000005209"/>
    <d v="2024-12-04T00:00:00"/>
    <d v="2025-02-16T00:00:00"/>
    <n v="24260"/>
    <n v="-318"/>
    <n v="24260"/>
    <n v="0"/>
    <n v="0"/>
    <n v="0"/>
    <n v="0"/>
    <n v="0"/>
    <n v="0"/>
    <x v="152"/>
    <n v="0"/>
    <n v="0"/>
    <n v="0"/>
    <n v="0"/>
    <n v="0"/>
    <n v="0"/>
  </r>
  <r>
    <x v="39"/>
    <s v="000008567"/>
    <d v="2024-11-22T00:00:00"/>
    <d v="2025-02-20T00:00:00"/>
    <n v="17724"/>
    <n v="-314"/>
    <n v="17724"/>
    <n v="0"/>
    <n v="0"/>
    <n v="0"/>
    <n v="0"/>
    <n v="0"/>
    <n v="0"/>
    <x v="156"/>
    <n v="0"/>
    <n v="0"/>
    <n v="0"/>
    <n v="0"/>
    <n v="0"/>
    <n v="0"/>
  </r>
  <r>
    <x v="40"/>
    <s v="000055482"/>
    <d v="2024-10-25T00:00:00"/>
    <d v="2025-02-24T00:00:00"/>
    <n v="32455.13"/>
    <n v="-310"/>
    <n v="32455.13"/>
    <n v="0"/>
    <n v="0"/>
    <n v="0"/>
    <n v="0"/>
    <n v="0"/>
    <n v="0"/>
    <x v="157"/>
    <n v="0"/>
    <n v="0"/>
    <n v="0"/>
    <n v="0"/>
    <n v="0"/>
    <n v="0"/>
  </r>
  <r>
    <x v="41"/>
    <s v="000008658"/>
    <d v="2024-11-28T00:00:00"/>
    <d v="2025-02-26T00:00:00"/>
    <n v="14788.12"/>
    <n v="-308"/>
    <n v="14788.12"/>
    <n v="0"/>
    <n v="0"/>
    <n v="0"/>
    <n v="0"/>
    <n v="0"/>
    <n v="0"/>
    <x v="158"/>
    <n v="0"/>
    <n v="0"/>
    <n v="0"/>
    <n v="0"/>
    <n v="0"/>
    <n v="0"/>
  </r>
  <r>
    <x v="38"/>
    <s v="000005209"/>
    <d v="2024-12-04T00:00:00"/>
    <d v="2025-03-16T00:00:00"/>
    <n v="24260"/>
    <n v="-290"/>
    <n v="24260"/>
    <n v="0"/>
    <n v="0"/>
    <n v="0"/>
    <n v="0"/>
    <n v="0"/>
    <n v="0"/>
    <x v="152"/>
    <n v="0"/>
    <n v="0"/>
    <n v="0"/>
    <n v="0"/>
    <n v="0"/>
    <n v="0"/>
  </r>
  <r>
    <x v="42"/>
    <s v="000009282"/>
    <d v="2025-01-21T00:00:00"/>
    <d v="2025-03-17T00:00:00"/>
    <n v="59050"/>
    <n v="-289"/>
    <n v="59050"/>
    <n v="0"/>
    <n v="0"/>
    <n v="0"/>
    <n v="0"/>
    <n v="0"/>
    <n v="0"/>
    <x v="159"/>
    <n v="0"/>
    <n v="0"/>
    <n v="0"/>
    <n v="0"/>
    <n v="0"/>
    <n v="0"/>
  </r>
  <r>
    <x v="42"/>
    <s v="000009485"/>
    <d v="2025-02-12T00:00:00"/>
    <d v="2025-03-24T00:00:00"/>
    <n v="43886.66"/>
    <n v="-282"/>
    <n v="43886.66"/>
    <n v="0"/>
    <n v="0"/>
    <n v="0"/>
    <n v="0"/>
    <n v="0"/>
    <n v="0"/>
    <x v="160"/>
    <n v="0"/>
    <n v="0"/>
    <n v="0"/>
    <n v="0"/>
    <n v="0"/>
    <n v="0"/>
  </r>
  <r>
    <x v="39"/>
    <s v="000009089"/>
    <d v="2024-12-27T00:00:00"/>
    <d v="2025-03-27T00:00:00"/>
    <n v="40936.550000000003"/>
    <n v="-279"/>
    <n v="40936.550000000003"/>
    <n v="0"/>
    <n v="0"/>
    <n v="0"/>
    <n v="0"/>
    <n v="0"/>
    <n v="0"/>
    <x v="161"/>
    <n v="0"/>
    <n v="0"/>
    <n v="0"/>
    <n v="0"/>
    <n v="0"/>
    <n v="0"/>
  </r>
  <r>
    <x v="42"/>
    <s v="000009483"/>
    <d v="2025-02-12T00:00:00"/>
    <d v="2025-03-29T00:00:00"/>
    <n v="21770"/>
    <n v="-277"/>
    <n v="21770"/>
    <n v="0"/>
    <n v="0"/>
    <n v="0"/>
    <n v="0"/>
    <n v="0"/>
    <n v="0"/>
    <x v="162"/>
    <n v="0"/>
    <n v="0"/>
    <n v="0"/>
    <n v="0"/>
    <n v="0"/>
    <n v="0"/>
  </r>
  <r>
    <x v="42"/>
    <s v="000009533"/>
    <d v="2025-02-20T00:00:00"/>
    <d v="2025-04-04T00:00:00"/>
    <n v="41866.68"/>
    <n v="-271"/>
    <n v="41866.68"/>
    <n v="0"/>
    <n v="0"/>
    <n v="0"/>
    <n v="0"/>
    <n v="0"/>
    <n v="0"/>
    <x v="163"/>
    <n v="0"/>
    <n v="0"/>
    <n v="0"/>
    <n v="0"/>
    <n v="0"/>
    <n v="0"/>
  </r>
  <r>
    <x v="42"/>
    <s v="000009544"/>
    <d v="2025-02-21T00:00:00"/>
    <d v="2025-04-07T00:00:00"/>
    <n v="12910"/>
    <n v="-268"/>
    <n v="12910"/>
    <n v="0"/>
    <n v="0"/>
    <n v="0"/>
    <n v="0"/>
    <n v="0"/>
    <n v="0"/>
    <x v="164"/>
    <n v="0"/>
    <n v="0"/>
    <n v="0"/>
    <n v="0"/>
    <n v="0"/>
    <n v="0"/>
  </r>
  <r>
    <x v="34"/>
    <s v="000005208"/>
    <d v="2025-02-24T00:00:00"/>
    <d v="2025-04-10T00:00:00"/>
    <n v="19200.259999999998"/>
    <n v="-265"/>
    <n v="19200.259999999998"/>
    <n v="0"/>
    <n v="0"/>
    <n v="0"/>
    <n v="0"/>
    <n v="0"/>
    <n v="0"/>
    <x v="165"/>
    <n v="0"/>
    <n v="0"/>
    <n v="0"/>
    <n v="0"/>
    <n v="0"/>
    <n v="0"/>
  </r>
  <r>
    <x v="42"/>
    <s v="000009554"/>
    <d v="2025-02-25T00:00:00"/>
    <d v="2025-04-11T00:00:00"/>
    <n v="5760"/>
    <n v="-264"/>
    <n v="5760"/>
    <n v="0"/>
    <n v="0"/>
    <n v="0"/>
    <n v="0"/>
    <n v="0"/>
    <n v="0"/>
    <x v="166"/>
    <n v="0"/>
    <n v="0"/>
    <n v="0"/>
    <n v="0"/>
    <n v="0"/>
    <n v="0"/>
  </r>
  <r>
    <x v="43"/>
    <s v="000009489"/>
    <d v="2025-02-13T00:00:00"/>
    <d v="2025-04-14T00:00:00"/>
    <n v="34444.6"/>
    <n v="-261"/>
    <n v="34444.6"/>
    <n v="0"/>
    <n v="0"/>
    <n v="0"/>
    <n v="0"/>
    <n v="0"/>
    <n v="0"/>
    <x v="167"/>
    <n v="0"/>
    <n v="0"/>
    <n v="0"/>
    <n v="0"/>
    <n v="0"/>
    <n v="0"/>
  </r>
  <r>
    <x v="44"/>
    <s v="000058745"/>
    <d v="2025-02-28T00:00:00"/>
    <d v="2025-04-14T00:00:00"/>
    <n v="24140"/>
    <n v="-261"/>
    <n v="24140"/>
    <n v="0"/>
    <n v="0"/>
    <n v="0"/>
    <n v="0"/>
    <n v="0"/>
    <n v="0"/>
    <x v="168"/>
    <n v="0"/>
    <n v="0"/>
    <n v="0"/>
    <n v="0"/>
    <n v="0"/>
    <n v="0"/>
  </r>
  <r>
    <x v="38"/>
    <s v="000005209"/>
    <d v="2024-12-04T00:00:00"/>
    <d v="2025-04-16T00:00:00"/>
    <n v="24260"/>
    <n v="-259"/>
    <n v="24260"/>
    <n v="0"/>
    <n v="0"/>
    <n v="0"/>
    <n v="0"/>
    <n v="0"/>
    <n v="0"/>
    <x v="152"/>
    <n v="0"/>
    <n v="0"/>
    <n v="0"/>
    <n v="0"/>
    <n v="0"/>
    <n v="0"/>
  </r>
  <r>
    <x v="45"/>
    <s v="000058860"/>
    <d v="2025-03-07T00:00:00"/>
    <d v="2025-04-21T00:00:00"/>
    <n v="43643.59"/>
    <n v="-254"/>
    <n v="43643.59"/>
    <n v="0"/>
    <n v="0"/>
    <n v="0"/>
    <n v="0"/>
    <n v="0"/>
    <n v="0"/>
    <x v="169"/>
    <n v="0"/>
    <n v="0"/>
    <n v="0"/>
    <n v="0"/>
    <n v="0"/>
    <n v="0"/>
  </r>
  <r>
    <x v="42"/>
    <s v="000009485"/>
    <d v="2025-02-12T00:00:00"/>
    <d v="2025-04-23T00:00:00"/>
    <n v="43886.67"/>
    <n v="-252"/>
    <n v="43886.67"/>
    <n v="0"/>
    <n v="0"/>
    <n v="0"/>
    <n v="0"/>
    <n v="0"/>
    <n v="0"/>
    <x v="170"/>
    <n v="0"/>
    <n v="0"/>
    <n v="0"/>
    <n v="0"/>
    <n v="0"/>
    <n v="0"/>
  </r>
  <r>
    <x v="42"/>
    <s v="000009487"/>
    <d v="2025-02-12T00:00:00"/>
    <d v="2025-04-23T00:00:00"/>
    <n v="51215"/>
    <n v="-252"/>
    <n v="51215"/>
    <n v="0"/>
    <n v="0"/>
    <n v="0"/>
    <n v="0"/>
    <n v="0"/>
    <n v="0"/>
    <x v="171"/>
    <n v="0"/>
    <n v="0"/>
    <n v="0"/>
    <n v="0"/>
    <n v="0"/>
    <n v="0"/>
  </r>
  <r>
    <x v="46"/>
    <s v="000055868"/>
    <d v="2024-11-11T00:00:00"/>
    <d v="2025-04-24T00:00:00"/>
    <n v="153000"/>
    <n v="-251"/>
    <n v="153000"/>
    <n v="0"/>
    <n v="0"/>
    <n v="0"/>
    <n v="0"/>
    <n v="0"/>
    <n v="0"/>
    <x v="172"/>
    <n v="0"/>
    <n v="0"/>
    <n v="0"/>
    <n v="0"/>
    <n v="0"/>
    <n v="0"/>
  </r>
  <r>
    <x v="47"/>
    <s v="000009733"/>
    <d v="2025-03-21T00:00:00"/>
    <d v="2025-04-26T00:00:00"/>
    <n v="70000"/>
    <n v="-249"/>
    <n v="70000"/>
    <n v="0"/>
    <n v="0"/>
    <n v="0"/>
    <n v="0"/>
    <n v="0"/>
    <n v="0"/>
    <x v="77"/>
    <n v="0"/>
    <n v="0"/>
    <n v="0"/>
    <n v="0"/>
    <n v="0"/>
    <n v="0"/>
  </r>
  <r>
    <x v="42"/>
    <s v="000009665"/>
    <d v="2025-03-14T00:00:00"/>
    <d v="2025-04-27T00:00:00"/>
    <n v="45833.34"/>
    <n v="-248"/>
    <n v="45833.34"/>
    <n v="0"/>
    <n v="0"/>
    <n v="0"/>
    <n v="0"/>
    <n v="0"/>
    <n v="0"/>
    <x v="173"/>
    <n v="0"/>
    <n v="0"/>
    <n v="0"/>
    <n v="0"/>
    <n v="0"/>
    <n v="0"/>
  </r>
  <r>
    <x v="42"/>
    <s v="000009666"/>
    <d v="2025-03-14T00:00:00"/>
    <d v="2025-04-27T00:00:00"/>
    <n v="39303.339999999997"/>
    <n v="-248"/>
    <n v="39303.339999999997"/>
    <n v="0"/>
    <n v="0"/>
    <n v="0"/>
    <n v="0"/>
    <n v="0"/>
    <n v="0"/>
    <x v="174"/>
    <n v="0"/>
    <n v="0"/>
    <n v="0"/>
    <n v="0"/>
    <n v="0"/>
    <n v="0"/>
  </r>
  <r>
    <x v="42"/>
    <s v="000009668"/>
    <d v="2025-03-14T00:00:00"/>
    <d v="2025-04-27T00:00:00"/>
    <n v="46790"/>
    <n v="-248"/>
    <n v="46790"/>
    <n v="0"/>
    <n v="0"/>
    <n v="0"/>
    <n v="0"/>
    <n v="0"/>
    <n v="0"/>
    <x v="175"/>
    <n v="0"/>
    <n v="0"/>
    <n v="0"/>
    <n v="0"/>
    <n v="0"/>
    <n v="0"/>
  </r>
  <r>
    <x v="42"/>
    <s v="000009671"/>
    <d v="2025-03-14T00:00:00"/>
    <d v="2025-04-27T00:00:00"/>
    <n v="59833.34"/>
    <n v="-248"/>
    <n v="59833.34"/>
    <n v="0"/>
    <n v="0"/>
    <n v="0"/>
    <n v="0"/>
    <n v="0"/>
    <n v="0"/>
    <x v="176"/>
    <n v="0"/>
    <n v="0"/>
    <n v="0"/>
    <n v="0"/>
    <n v="0"/>
    <n v="0"/>
  </r>
  <r>
    <x v="42"/>
    <s v="000009670"/>
    <d v="2025-03-14T00:00:00"/>
    <d v="2025-04-28T00:00:00"/>
    <n v="40210"/>
    <n v="-247"/>
    <n v="40210"/>
    <n v="0"/>
    <n v="0"/>
    <n v="0"/>
    <n v="0"/>
    <n v="0"/>
    <n v="0"/>
    <x v="177"/>
    <n v="0"/>
    <n v="0"/>
    <n v="0"/>
    <n v="0"/>
    <n v="0"/>
    <n v="0"/>
  </r>
  <r>
    <x v="42"/>
    <s v="000009533"/>
    <d v="2025-02-20T00:00:00"/>
    <d v="2025-05-04T00:00:00"/>
    <n v="41866.660000000003"/>
    <n v="-241"/>
    <n v="41866.660000000003"/>
    <n v="0"/>
    <n v="0"/>
    <n v="0"/>
    <n v="0"/>
    <n v="0"/>
    <n v="0"/>
    <x v="178"/>
    <n v="0"/>
    <n v="0"/>
    <n v="0"/>
    <n v="0"/>
    <n v="0"/>
    <n v="0"/>
  </r>
  <r>
    <x v="48"/>
    <s v="048398"/>
    <d v="2025-02-24T00:00:00"/>
    <d v="2025-05-10T00:00:00"/>
    <n v="4057.02"/>
    <n v="-235"/>
    <n v="4057.02"/>
    <n v="0"/>
    <n v="0"/>
    <n v="0"/>
    <n v="0"/>
    <n v="0"/>
    <n v="0"/>
    <x v="179"/>
    <n v="0"/>
    <n v="0"/>
    <n v="0"/>
    <n v="0"/>
    <n v="0"/>
    <n v="0"/>
  </r>
  <r>
    <x v="48"/>
    <s v="054077"/>
    <d v="2025-02-24T00:00:00"/>
    <d v="2025-05-10T00:00:00"/>
    <n v="6824.09"/>
    <n v="-235"/>
    <n v="6824.09"/>
    <n v="0"/>
    <n v="0"/>
    <n v="0"/>
    <n v="0"/>
    <n v="0"/>
    <n v="0"/>
    <x v="180"/>
    <n v="0"/>
    <n v="0"/>
    <n v="0"/>
    <n v="0"/>
    <n v="0"/>
    <n v="0"/>
  </r>
  <r>
    <x v="34"/>
    <s v="000047198"/>
    <d v="2025-02-24T00:00:00"/>
    <d v="2025-05-10T00:00:00"/>
    <n v="17069.54"/>
    <n v="-235"/>
    <n v="17069.54"/>
    <n v="0"/>
    <n v="0"/>
    <n v="0"/>
    <n v="0"/>
    <n v="0"/>
    <n v="0"/>
    <x v="181"/>
    <n v="0"/>
    <n v="0"/>
    <n v="0"/>
    <n v="0"/>
    <n v="0"/>
    <n v="0"/>
  </r>
  <r>
    <x v="34"/>
    <s v="000005208"/>
    <d v="2025-02-24T00:00:00"/>
    <d v="2025-05-10T00:00:00"/>
    <n v="24816.83"/>
    <n v="-235"/>
    <n v="24816.83"/>
    <n v="0"/>
    <n v="0"/>
    <n v="0"/>
    <n v="0"/>
    <n v="0"/>
    <n v="0"/>
    <x v="182"/>
    <n v="0"/>
    <n v="0"/>
    <n v="0"/>
    <n v="0"/>
    <n v="0"/>
    <n v="0"/>
  </r>
  <r>
    <x v="38"/>
    <s v="000005209"/>
    <d v="2024-12-04T00:00:00"/>
    <d v="2025-05-16T00:00:00"/>
    <n v="24260"/>
    <n v="-229"/>
    <n v="24260"/>
    <n v="0"/>
    <n v="0"/>
    <n v="0"/>
    <n v="0"/>
    <n v="0"/>
    <n v="0"/>
    <x v="152"/>
    <n v="0"/>
    <n v="0"/>
    <n v="0"/>
    <n v="0"/>
    <n v="0"/>
    <n v="0"/>
  </r>
  <r>
    <x v="49"/>
    <s v="000059975"/>
    <d v="2025-04-17T00:00:00"/>
    <d v="2025-05-17T00:00:00"/>
    <n v="2603.15"/>
    <n v="-228"/>
    <n v="2603.15"/>
    <n v="0"/>
    <n v="0"/>
    <n v="0"/>
    <n v="0"/>
    <n v="0"/>
    <n v="0"/>
    <x v="183"/>
    <n v="0"/>
    <n v="0"/>
    <n v="0"/>
    <n v="0"/>
    <n v="0"/>
    <n v="0"/>
  </r>
  <r>
    <x v="49"/>
    <s v="000059978"/>
    <d v="2025-04-17T00:00:00"/>
    <d v="2025-05-17T00:00:00"/>
    <n v="22081.88"/>
    <n v="-228"/>
    <n v="22081.88"/>
    <n v="0"/>
    <n v="0"/>
    <n v="0"/>
    <n v="0"/>
    <n v="0"/>
    <n v="0"/>
    <x v="184"/>
    <n v="0"/>
    <n v="0"/>
    <n v="0"/>
    <n v="0"/>
    <n v="0"/>
    <n v="0"/>
  </r>
  <r>
    <x v="42"/>
    <s v="000009485"/>
    <d v="2025-02-12T00:00:00"/>
    <d v="2025-05-23T00:00:00"/>
    <n v="43886.67"/>
    <n v="-222"/>
    <n v="43886.67"/>
    <n v="0"/>
    <n v="0"/>
    <n v="0"/>
    <n v="0"/>
    <n v="0"/>
    <n v="0"/>
    <x v="170"/>
    <n v="0"/>
    <n v="0"/>
    <n v="0"/>
    <n v="0"/>
    <n v="0"/>
    <n v="0"/>
  </r>
  <r>
    <x v="50"/>
    <s v="000055588"/>
    <d v="2024-10-30T00:00:00"/>
    <d v="2025-05-25T00:00:00"/>
    <n v="88600"/>
    <n v="-220"/>
    <n v="88600"/>
    <n v="0"/>
    <n v="0"/>
    <n v="0"/>
    <n v="0"/>
    <n v="0"/>
    <n v="0"/>
    <x v="185"/>
    <n v="0"/>
    <n v="0"/>
    <n v="0"/>
    <n v="0"/>
    <n v="0"/>
    <n v="0"/>
  </r>
  <r>
    <x v="42"/>
    <s v="000009665"/>
    <d v="2025-03-14T00:00:00"/>
    <d v="2025-05-27T00:00:00"/>
    <n v="45833.33"/>
    <n v="-218"/>
    <n v="45833.33"/>
    <n v="0"/>
    <n v="0"/>
    <n v="0"/>
    <n v="0"/>
    <n v="0"/>
    <n v="0"/>
    <x v="186"/>
    <n v="0"/>
    <n v="0"/>
    <n v="0"/>
    <n v="0"/>
    <n v="0"/>
    <n v="0"/>
  </r>
  <r>
    <x v="42"/>
    <s v="000009666"/>
    <d v="2025-03-14T00:00:00"/>
    <d v="2025-05-27T00:00:00"/>
    <n v="39303.33"/>
    <n v="-218"/>
    <n v="39303.33"/>
    <n v="0"/>
    <n v="0"/>
    <n v="0"/>
    <n v="0"/>
    <n v="0"/>
    <n v="0"/>
    <x v="187"/>
    <n v="0"/>
    <n v="0"/>
    <n v="0"/>
    <n v="0"/>
    <n v="0"/>
    <n v="0"/>
  </r>
  <r>
    <x v="42"/>
    <s v="000009668"/>
    <d v="2025-03-14T00:00:00"/>
    <d v="2025-05-27T00:00:00"/>
    <n v="46790"/>
    <n v="-218"/>
    <n v="46790"/>
    <n v="0"/>
    <n v="0"/>
    <n v="0"/>
    <n v="0"/>
    <n v="0"/>
    <n v="0"/>
    <x v="175"/>
    <n v="0"/>
    <n v="0"/>
    <n v="0"/>
    <n v="0"/>
    <n v="0"/>
    <n v="0"/>
  </r>
  <r>
    <x v="42"/>
    <s v="000009671"/>
    <d v="2025-03-14T00:00:00"/>
    <d v="2025-05-27T00:00:00"/>
    <n v="59833.33"/>
    <n v="-218"/>
    <n v="59833.33"/>
    <n v="0"/>
    <n v="0"/>
    <n v="0"/>
    <n v="0"/>
    <n v="0"/>
    <n v="0"/>
    <x v="188"/>
    <n v="0"/>
    <n v="0"/>
    <n v="0"/>
    <n v="0"/>
    <n v="0"/>
    <n v="0"/>
  </r>
  <r>
    <x v="51"/>
    <s v="000055380"/>
    <d v="2025-04-01T00:00:00"/>
    <d v="2025-06-01T00:00:00"/>
    <n v="5340"/>
    <n v="-213"/>
    <n v="5340"/>
    <n v="0"/>
    <n v="0"/>
    <n v="0"/>
    <n v="0"/>
    <n v="0"/>
    <n v="0"/>
    <x v="189"/>
    <n v="0"/>
    <n v="0"/>
    <n v="0"/>
    <n v="0"/>
    <n v="0"/>
    <n v="0"/>
  </r>
  <r>
    <x v="42"/>
    <s v="000009533"/>
    <d v="2025-02-20T00:00:00"/>
    <d v="2025-06-04T00:00:00"/>
    <n v="41866.660000000003"/>
    <n v="-210"/>
    <n v="41866.660000000003"/>
    <n v="0"/>
    <n v="0"/>
    <n v="0"/>
    <n v="0"/>
    <n v="0"/>
    <n v="0"/>
    <x v="178"/>
    <n v="0"/>
    <n v="0"/>
    <n v="0"/>
    <n v="0"/>
    <n v="0"/>
    <n v="0"/>
  </r>
  <r>
    <x v="48"/>
    <s v="048398"/>
    <d v="2025-02-24T00:00:00"/>
    <d v="2025-06-10T00:00:00"/>
    <n v="4057.02"/>
    <n v="-204"/>
    <n v="4057.02"/>
    <n v="0"/>
    <n v="0"/>
    <n v="0"/>
    <n v="0"/>
    <n v="0"/>
    <n v="0"/>
    <x v="179"/>
    <n v="0"/>
    <n v="0"/>
    <n v="0"/>
    <n v="0"/>
    <n v="0"/>
    <n v="0"/>
  </r>
  <r>
    <x v="48"/>
    <s v="054077"/>
    <d v="2025-02-24T00:00:00"/>
    <d v="2025-06-10T00:00:00"/>
    <n v="6824.09"/>
    <n v="-204"/>
    <n v="6824.09"/>
    <n v="0"/>
    <n v="0"/>
    <n v="0"/>
    <n v="0"/>
    <n v="0"/>
    <n v="0"/>
    <x v="180"/>
    <n v="0"/>
    <n v="0"/>
    <n v="0"/>
    <n v="0"/>
    <n v="0"/>
    <n v="0"/>
  </r>
  <r>
    <x v="49"/>
    <s v="000059975"/>
    <d v="2025-04-17T00:00:00"/>
    <d v="2025-06-16T00:00:00"/>
    <n v="2603.15"/>
    <n v="-198"/>
    <n v="2603.15"/>
    <n v="0"/>
    <n v="0"/>
    <n v="0"/>
    <n v="0"/>
    <n v="0"/>
    <n v="0"/>
    <x v="183"/>
    <n v="0"/>
    <n v="0"/>
    <n v="0"/>
    <n v="0"/>
    <n v="0"/>
    <n v="0"/>
  </r>
  <r>
    <x v="49"/>
    <s v="000059978"/>
    <d v="2025-04-17T00:00:00"/>
    <d v="2025-06-16T00:00:00"/>
    <n v="22081.88"/>
    <n v="-198"/>
    <n v="22081.88"/>
    <n v="0"/>
    <n v="0"/>
    <n v="0"/>
    <n v="0"/>
    <n v="0"/>
    <n v="0"/>
    <x v="184"/>
    <n v="0"/>
    <n v="0"/>
    <n v="0"/>
    <n v="0"/>
    <n v="0"/>
    <n v="0"/>
  </r>
  <r>
    <x v="38"/>
    <s v="000005209"/>
    <d v="2024-12-04T00:00:00"/>
    <d v="2025-06-16T00:00:00"/>
    <n v="24260"/>
    <n v="-198"/>
    <n v="24260"/>
    <n v="0"/>
    <n v="0"/>
    <n v="0"/>
    <n v="0"/>
    <n v="0"/>
    <n v="0"/>
    <x v="152"/>
    <n v="0"/>
    <n v="0"/>
    <n v="0"/>
    <n v="0"/>
    <n v="0"/>
    <n v="0"/>
  </r>
  <r>
    <x v="45"/>
    <s v="000060511"/>
    <d v="2025-05-06T00:00:00"/>
    <d v="2025-06-20T00:00:00"/>
    <n v="43508.800000000003"/>
    <n v="-194"/>
    <n v="43508.800000000003"/>
    <n v="0"/>
    <n v="0"/>
    <n v="0"/>
    <n v="0"/>
    <n v="0"/>
    <n v="0"/>
    <x v="190"/>
    <n v="0"/>
    <n v="0"/>
    <n v="0"/>
    <n v="0"/>
    <n v="0"/>
    <n v="0"/>
  </r>
  <r>
    <x v="42"/>
    <s v="000010225"/>
    <d v="2025-05-09T00:00:00"/>
    <d v="2025-06-23T00:00:00"/>
    <n v="125410"/>
    <n v="-191"/>
    <n v="125410"/>
    <n v="0"/>
    <n v="0"/>
    <n v="0"/>
    <n v="0"/>
    <n v="0"/>
    <n v="0"/>
    <x v="191"/>
    <n v="0"/>
    <n v="0"/>
    <n v="0"/>
    <n v="0"/>
    <n v="0"/>
    <n v="0"/>
  </r>
  <r>
    <x v="52"/>
    <s v="000061164"/>
    <d v="2025-05-26T00:00:00"/>
    <d v="2025-06-25T00:00:00"/>
    <n v="33232.080000000002"/>
    <n v="-189"/>
    <n v="33232.080000000002"/>
    <n v="0"/>
    <n v="0"/>
    <n v="0"/>
    <n v="0"/>
    <n v="0"/>
    <n v="0"/>
    <x v="192"/>
    <n v="0"/>
    <n v="0"/>
    <n v="0"/>
    <n v="0"/>
    <n v="0"/>
    <n v="0"/>
  </r>
  <r>
    <x v="45"/>
    <s v="000060639"/>
    <d v="2025-05-12T00:00:00"/>
    <d v="2025-06-26T00:00:00"/>
    <n v="49317.9"/>
    <n v="-188"/>
    <n v="49317.9"/>
    <n v="0"/>
    <n v="0"/>
    <n v="0"/>
    <n v="0"/>
    <n v="0"/>
    <n v="0"/>
    <x v="193"/>
    <n v="0"/>
    <n v="0"/>
    <n v="0"/>
    <n v="0"/>
    <n v="0"/>
    <n v="0"/>
  </r>
  <r>
    <x v="42"/>
    <s v="000009665"/>
    <d v="2025-03-14T00:00:00"/>
    <d v="2025-06-26T00:00:00"/>
    <n v="45833.33"/>
    <n v="-188"/>
    <n v="45833.33"/>
    <n v="0"/>
    <n v="0"/>
    <n v="0"/>
    <n v="0"/>
    <n v="0"/>
    <n v="0"/>
    <x v="186"/>
    <n v="0"/>
    <n v="0"/>
    <n v="0"/>
    <n v="0"/>
    <n v="0"/>
    <n v="0"/>
  </r>
  <r>
    <x v="42"/>
    <s v="000009666"/>
    <d v="2025-03-14T00:00:00"/>
    <d v="2025-06-26T00:00:00"/>
    <n v="39303.33"/>
    <n v="-188"/>
    <n v="39303.33"/>
    <n v="0"/>
    <n v="0"/>
    <n v="0"/>
    <n v="0"/>
    <n v="0"/>
    <n v="0"/>
    <x v="187"/>
    <n v="0"/>
    <n v="0"/>
    <n v="0"/>
    <n v="0"/>
    <n v="0"/>
    <n v="0"/>
  </r>
  <r>
    <x v="42"/>
    <s v="000009668"/>
    <d v="2025-03-14T00:00:00"/>
    <d v="2025-06-26T00:00:00"/>
    <n v="46790"/>
    <n v="-188"/>
    <n v="46790"/>
    <n v="0"/>
    <n v="0"/>
    <n v="0"/>
    <n v="0"/>
    <n v="0"/>
    <n v="0"/>
    <x v="175"/>
    <n v="0"/>
    <n v="0"/>
    <n v="0"/>
    <n v="0"/>
    <n v="0"/>
    <n v="0"/>
  </r>
  <r>
    <x v="42"/>
    <s v="000009671"/>
    <d v="2025-03-14T00:00:00"/>
    <d v="2025-06-26T00:00:00"/>
    <n v="59833.33"/>
    <n v="-188"/>
    <n v="59833.33"/>
    <n v="0"/>
    <n v="0"/>
    <n v="0"/>
    <n v="0"/>
    <n v="0"/>
    <n v="0"/>
    <x v="188"/>
    <n v="0"/>
    <n v="0"/>
    <n v="0"/>
    <n v="0"/>
    <n v="0"/>
    <n v="0"/>
  </r>
  <r>
    <x v="51"/>
    <s v="000055380"/>
    <d v="2025-04-01T00:00:00"/>
    <d v="2025-07-01T00:00:00"/>
    <n v="5340"/>
    <n v="-183"/>
    <n v="5340"/>
    <n v="0"/>
    <n v="0"/>
    <n v="0"/>
    <n v="0"/>
    <n v="0"/>
    <n v="0"/>
    <x v="189"/>
    <n v="0"/>
    <n v="0"/>
    <n v="0"/>
    <n v="0"/>
    <n v="0"/>
    <n v="0"/>
  </r>
  <r>
    <x v="53"/>
    <s v="000061804"/>
    <d v="2025-06-06T00:00:00"/>
    <d v="2025-07-06T00:00:00"/>
    <n v="10542.88"/>
    <n v="-178"/>
    <n v="0"/>
    <n v="10542.88"/>
    <n v="0"/>
    <n v="0"/>
    <n v="0"/>
    <n v="0"/>
    <n v="0"/>
    <x v="194"/>
    <n v="0"/>
    <n v="0"/>
    <n v="0"/>
    <n v="0"/>
    <n v="0"/>
    <n v="0"/>
  </r>
  <r>
    <x v="48"/>
    <s v="048398"/>
    <d v="2025-02-24T00:00:00"/>
    <d v="2025-07-10T00:00:00"/>
    <n v="4057.02"/>
    <n v="-174"/>
    <n v="0"/>
    <n v="4057.02"/>
    <n v="0"/>
    <n v="0"/>
    <n v="0"/>
    <n v="0"/>
    <n v="0"/>
    <x v="179"/>
    <n v="0"/>
    <n v="0"/>
    <n v="0"/>
    <n v="0"/>
    <n v="0"/>
    <n v="0"/>
  </r>
  <r>
    <x v="48"/>
    <s v="054077"/>
    <d v="2025-02-24T00:00:00"/>
    <d v="2025-07-10T00:00:00"/>
    <n v="6824.09"/>
    <n v="-174"/>
    <n v="0"/>
    <n v="6824.09"/>
    <n v="0"/>
    <n v="0"/>
    <n v="0"/>
    <n v="0"/>
    <n v="0"/>
    <x v="180"/>
    <n v="0"/>
    <n v="0"/>
    <n v="0"/>
    <n v="0"/>
    <n v="0"/>
    <n v="0"/>
  </r>
  <r>
    <x v="42"/>
    <s v="000010402"/>
    <d v="2025-05-29T00:00:00"/>
    <d v="2025-07-13T00:00:00"/>
    <n v="28167.43"/>
    <n v="-171"/>
    <n v="0"/>
    <n v="28167.43"/>
    <n v="0"/>
    <n v="0"/>
    <n v="0"/>
    <n v="0"/>
    <n v="0"/>
    <x v="195"/>
    <n v="0"/>
    <n v="0"/>
    <n v="0"/>
    <n v="0"/>
    <n v="0"/>
    <n v="0"/>
  </r>
  <r>
    <x v="35"/>
    <s v="000060000"/>
    <d v="2025-04-17T00:00:00"/>
    <d v="2025-07-16T00:00:00"/>
    <n v="12000"/>
    <n v="-168"/>
    <n v="0"/>
    <n v="12000"/>
    <n v="0"/>
    <n v="0"/>
    <n v="0"/>
    <n v="0"/>
    <n v="0"/>
    <x v="196"/>
    <n v="0"/>
    <n v="0"/>
    <n v="0"/>
    <n v="0"/>
    <n v="0"/>
    <n v="0"/>
  </r>
  <r>
    <x v="49"/>
    <s v="000059975"/>
    <d v="2025-04-17T00:00:00"/>
    <d v="2025-07-16T00:00:00"/>
    <n v="2603.15"/>
    <n v="-168"/>
    <n v="0"/>
    <n v="2603.15"/>
    <n v="0"/>
    <n v="0"/>
    <n v="0"/>
    <n v="0"/>
    <n v="0"/>
    <x v="183"/>
    <n v="0"/>
    <n v="0"/>
    <n v="0"/>
    <n v="0"/>
    <n v="0"/>
    <n v="0"/>
  </r>
  <r>
    <x v="49"/>
    <s v="000059978"/>
    <d v="2025-04-17T00:00:00"/>
    <d v="2025-07-16T00:00:00"/>
    <n v="22081.88"/>
    <n v="-168"/>
    <n v="0"/>
    <n v="22081.88"/>
    <n v="0"/>
    <n v="0"/>
    <n v="0"/>
    <n v="0"/>
    <n v="0"/>
    <x v="184"/>
    <n v="0"/>
    <n v="0"/>
    <n v="0"/>
    <n v="0"/>
    <n v="0"/>
    <n v="0"/>
  </r>
  <r>
    <x v="38"/>
    <s v="000005209"/>
    <d v="2024-12-04T00:00:00"/>
    <d v="2025-07-16T00:00:00"/>
    <n v="24260"/>
    <n v="-168"/>
    <n v="0"/>
    <n v="24260"/>
    <n v="0"/>
    <n v="0"/>
    <n v="0"/>
    <n v="0"/>
    <n v="0"/>
    <x v="152"/>
    <n v="0"/>
    <n v="0"/>
    <n v="0"/>
    <n v="0"/>
    <n v="0"/>
    <n v="0"/>
  </r>
  <r>
    <x v="45"/>
    <s v="000061764"/>
    <d v="2025-06-06T00:00:00"/>
    <d v="2025-07-21T00:00:00"/>
    <n v="44799.47"/>
    <n v="-163"/>
    <n v="0"/>
    <n v="44799.47"/>
    <n v="0"/>
    <n v="0"/>
    <n v="0"/>
    <n v="0"/>
    <n v="0"/>
    <x v="197"/>
    <n v="0"/>
    <n v="0"/>
    <n v="0"/>
    <n v="0"/>
    <n v="0"/>
    <n v="0"/>
  </r>
  <r>
    <x v="54"/>
    <s v="000009790"/>
    <d v="2025-03-26T00:00:00"/>
    <d v="2025-07-24T00:00:00"/>
    <n v="3190"/>
    <n v="-160"/>
    <n v="0"/>
    <n v="3190"/>
    <n v="0"/>
    <n v="0"/>
    <n v="0"/>
    <n v="0"/>
    <n v="0"/>
    <x v="198"/>
    <n v="0"/>
    <n v="0"/>
    <n v="0"/>
    <n v="0"/>
    <n v="0"/>
    <n v="0"/>
  </r>
  <r>
    <x v="55"/>
    <s v="000059357"/>
    <d v="2025-03-27T00:00:00"/>
    <d v="2025-07-25T00:00:00"/>
    <n v="172560"/>
    <n v="-159"/>
    <n v="0"/>
    <n v="172560"/>
    <n v="0"/>
    <n v="0"/>
    <n v="0"/>
    <n v="0"/>
    <n v="0"/>
    <x v="199"/>
    <n v="0"/>
    <n v="0"/>
    <n v="0"/>
    <n v="0"/>
    <n v="0"/>
    <n v="0"/>
  </r>
  <r>
    <x v="55"/>
    <s v="000010401"/>
    <d v="2025-05-29T00:00:00"/>
    <d v="2025-07-28T00:00:00"/>
    <n v="80450"/>
    <n v="-156"/>
    <n v="0"/>
    <n v="80450"/>
    <n v="0"/>
    <n v="0"/>
    <n v="0"/>
    <n v="0"/>
    <n v="0"/>
    <x v="200"/>
    <n v="0"/>
    <n v="0"/>
    <n v="0"/>
    <n v="0"/>
    <n v="0"/>
    <n v="0"/>
  </r>
  <r>
    <x v="56"/>
    <s v="000060314"/>
    <d v="2025-04-30T00:00:00"/>
    <d v="2025-07-29T00:00:00"/>
    <n v="141827"/>
    <n v="-155"/>
    <n v="0"/>
    <n v="141827"/>
    <n v="0"/>
    <n v="0"/>
    <n v="0"/>
    <n v="0"/>
    <n v="0"/>
    <x v="201"/>
    <n v="0"/>
    <n v="0"/>
    <n v="0"/>
    <n v="0"/>
    <n v="0"/>
    <n v="0"/>
  </r>
  <r>
    <x v="57"/>
    <s v="000061939"/>
    <d v="2025-06-12T00:00:00"/>
    <d v="2025-07-30T00:00:00"/>
    <n v="1100"/>
    <n v="-154"/>
    <n v="0"/>
    <n v="1100"/>
    <n v="0"/>
    <n v="0"/>
    <n v="0"/>
    <n v="0"/>
    <n v="0"/>
    <x v="202"/>
    <n v="0"/>
    <n v="0"/>
    <n v="0"/>
    <n v="0"/>
    <n v="0"/>
    <n v="0"/>
  </r>
  <r>
    <x v="51"/>
    <s v="000055380"/>
    <d v="2025-04-01T00:00:00"/>
    <d v="2025-08-01T00:00:00"/>
    <n v="5340"/>
    <n v="-152"/>
    <n v="0"/>
    <n v="5340"/>
    <n v="0"/>
    <n v="0"/>
    <n v="0"/>
    <n v="0"/>
    <n v="0"/>
    <x v="189"/>
    <n v="0"/>
    <n v="0"/>
    <n v="0"/>
    <n v="0"/>
    <n v="0"/>
    <n v="0"/>
  </r>
  <r>
    <x v="55"/>
    <s v="000059621"/>
    <d v="2025-04-04T00:00:00"/>
    <d v="2025-08-02T00:00:00"/>
    <n v="42308.56"/>
    <n v="-151"/>
    <n v="0"/>
    <n v="42308.56"/>
    <n v="0"/>
    <n v="0"/>
    <n v="0"/>
    <n v="0"/>
    <n v="0"/>
    <x v="203"/>
    <n v="0"/>
    <n v="0"/>
    <n v="0"/>
    <n v="0"/>
    <n v="0"/>
    <n v="0"/>
  </r>
  <r>
    <x v="53"/>
    <s v="000061804"/>
    <d v="2025-06-06T00:00:00"/>
    <d v="2025-08-05T00:00:00"/>
    <n v="10542.88"/>
    <n v="-148"/>
    <n v="0"/>
    <n v="0"/>
    <n v="10542.88"/>
    <n v="0"/>
    <n v="0"/>
    <n v="0"/>
    <n v="0"/>
    <x v="194"/>
    <n v="0"/>
    <n v="0"/>
    <n v="0"/>
    <n v="0"/>
    <n v="0"/>
    <n v="0"/>
  </r>
  <r>
    <x v="58"/>
    <s v="000061760"/>
    <d v="2025-06-06T00:00:00"/>
    <d v="2025-08-05T00:00:00"/>
    <n v="12535.65"/>
    <n v="-148"/>
    <n v="0"/>
    <n v="0"/>
    <n v="12535.65"/>
    <n v="0"/>
    <n v="0"/>
    <n v="0"/>
    <n v="0"/>
    <x v="204"/>
    <n v="0"/>
    <n v="0"/>
    <n v="0"/>
    <n v="0"/>
    <n v="0"/>
    <n v="0"/>
  </r>
  <r>
    <x v="59"/>
    <s v="000202233"/>
    <d v="2022-06-09T00:00:00"/>
    <d v="2025-08-10T00:00:00"/>
    <n v="8102"/>
    <n v="-143"/>
    <n v="0"/>
    <n v="0"/>
    <n v="8102"/>
    <n v="0"/>
    <n v="0"/>
    <n v="0"/>
    <n v="0"/>
    <x v="205"/>
    <n v="0"/>
    <n v="0"/>
    <n v="0"/>
    <n v="0"/>
    <n v="0"/>
    <n v="0"/>
  </r>
  <r>
    <x v="48"/>
    <s v="048398"/>
    <d v="2025-02-24T00:00:00"/>
    <d v="2025-08-10T00:00:00"/>
    <n v="4057.02"/>
    <n v="-143"/>
    <n v="0"/>
    <n v="0"/>
    <n v="4057.02"/>
    <n v="0"/>
    <n v="0"/>
    <n v="0"/>
    <n v="0"/>
    <x v="179"/>
    <n v="0"/>
    <n v="0"/>
    <n v="0"/>
    <n v="0"/>
    <n v="0"/>
    <n v="0"/>
  </r>
  <r>
    <x v="48"/>
    <s v="054077"/>
    <d v="2025-02-24T00:00:00"/>
    <d v="2025-08-10T00:00:00"/>
    <n v="6824.09"/>
    <n v="-143"/>
    <n v="0"/>
    <n v="0"/>
    <n v="6824.09"/>
    <n v="0"/>
    <n v="0"/>
    <n v="0"/>
    <n v="0"/>
    <x v="180"/>
    <n v="0"/>
    <n v="0"/>
    <n v="0"/>
    <n v="0"/>
    <n v="0"/>
    <n v="0"/>
  </r>
  <r>
    <x v="60"/>
    <s v="000061712"/>
    <d v="2025-06-05T00:00:00"/>
    <d v="2025-08-15T00:00:00"/>
    <n v="12515"/>
    <n v="-138"/>
    <n v="0"/>
    <n v="0"/>
    <n v="12515"/>
    <n v="0"/>
    <n v="0"/>
    <n v="0"/>
    <n v="0"/>
    <x v="206"/>
    <n v="0"/>
    <n v="0"/>
    <n v="0"/>
    <n v="0"/>
    <n v="0"/>
    <n v="0"/>
  </r>
  <r>
    <x v="49"/>
    <s v="000059975"/>
    <d v="2025-04-17T00:00:00"/>
    <d v="2025-08-15T00:00:00"/>
    <n v="2603.15"/>
    <n v="-138"/>
    <n v="0"/>
    <n v="0"/>
    <n v="2603.15"/>
    <n v="0"/>
    <n v="0"/>
    <n v="0"/>
    <n v="0"/>
    <x v="183"/>
    <n v="0"/>
    <n v="0"/>
    <n v="0"/>
    <n v="0"/>
    <n v="0"/>
    <n v="0"/>
  </r>
  <r>
    <x v="49"/>
    <s v="000059978"/>
    <d v="2025-04-17T00:00:00"/>
    <d v="2025-08-15T00:00:00"/>
    <n v="22081.86"/>
    <n v="-138"/>
    <n v="0"/>
    <n v="0"/>
    <n v="22081.86"/>
    <n v="0"/>
    <n v="0"/>
    <n v="0"/>
    <n v="0"/>
    <x v="207"/>
    <n v="0"/>
    <n v="0"/>
    <n v="0"/>
    <n v="0"/>
    <n v="0"/>
    <n v="0"/>
  </r>
  <r>
    <x v="61"/>
    <s v="000005317"/>
    <d v="2024-12-16T00:00:00"/>
    <d v="2025-08-16T00:00:00"/>
    <n v="21923.5"/>
    <n v="-137"/>
    <n v="0"/>
    <n v="0"/>
    <n v="21923.5"/>
    <n v="0"/>
    <n v="0"/>
    <n v="0"/>
    <n v="0"/>
    <x v="208"/>
    <n v="0"/>
    <n v="0"/>
    <n v="0"/>
    <n v="0"/>
    <n v="0"/>
    <n v="0"/>
  </r>
  <r>
    <x v="38"/>
    <s v="000005209"/>
    <d v="2024-12-04T00:00:00"/>
    <d v="2025-08-16T00:00:00"/>
    <n v="24260"/>
    <n v="-137"/>
    <n v="0"/>
    <n v="0"/>
    <n v="24260"/>
    <n v="0"/>
    <n v="0"/>
    <n v="0"/>
    <n v="0"/>
    <x v="152"/>
    <n v="0"/>
    <n v="0"/>
    <n v="0"/>
    <n v="0"/>
    <n v="0"/>
    <n v="0"/>
  </r>
  <r>
    <x v="62"/>
    <s v="000063086"/>
    <d v="2025-07-18T00:00:00"/>
    <d v="2025-08-17T00:00:00"/>
    <n v="192200"/>
    <n v="-136"/>
    <n v="0"/>
    <n v="0"/>
    <n v="192200"/>
    <n v="0"/>
    <n v="0"/>
    <n v="0"/>
    <n v="0"/>
    <x v="209"/>
    <n v="0"/>
    <n v="0"/>
    <n v="0"/>
    <n v="0"/>
    <n v="0"/>
    <n v="0"/>
  </r>
  <r>
    <x v="63"/>
    <s v="000056098"/>
    <d v="2025-07-21T00:00:00"/>
    <d v="2025-08-20T00:00:00"/>
    <n v="20000"/>
    <n v="-133"/>
    <n v="0"/>
    <n v="0"/>
    <n v="20000"/>
    <n v="0"/>
    <n v="0"/>
    <n v="0"/>
    <n v="0"/>
    <x v="210"/>
    <n v="0"/>
    <n v="0"/>
    <n v="0"/>
    <n v="0"/>
    <n v="0"/>
    <n v="0"/>
  </r>
  <r>
    <x v="64"/>
    <s v="000062145"/>
    <d v="2025-06-18T00:00:00"/>
    <d v="2025-08-20T00:00:00"/>
    <n v="93525"/>
    <n v="-133"/>
    <n v="0"/>
    <n v="0"/>
    <n v="93525"/>
    <n v="0"/>
    <n v="0"/>
    <n v="0"/>
    <n v="0"/>
    <x v="211"/>
    <n v="0"/>
    <n v="0"/>
    <n v="0"/>
    <n v="0"/>
    <n v="0"/>
    <n v="0"/>
  </r>
  <r>
    <x v="60"/>
    <s v="000061712"/>
    <d v="2025-06-05T00:00:00"/>
    <d v="2025-08-29T00:00:00"/>
    <n v="12515"/>
    <n v="-124"/>
    <n v="0"/>
    <n v="0"/>
    <n v="12515"/>
    <n v="0"/>
    <n v="0"/>
    <n v="0"/>
    <n v="0"/>
    <x v="206"/>
    <n v="0"/>
    <n v="0"/>
    <n v="0"/>
    <n v="0"/>
    <n v="0"/>
    <n v="0"/>
  </r>
  <r>
    <x v="45"/>
    <s v="000063003"/>
    <d v="2025-07-16T00:00:00"/>
    <d v="2025-08-30T00:00:00"/>
    <n v="44319.31"/>
    <n v="-123"/>
    <n v="0"/>
    <n v="0"/>
    <n v="44319.31"/>
    <n v="0"/>
    <n v="0"/>
    <n v="0"/>
    <n v="0"/>
    <x v="212"/>
    <n v="0"/>
    <n v="0"/>
    <n v="0"/>
    <n v="0"/>
    <n v="0"/>
    <n v="0"/>
  </r>
  <r>
    <x v="42"/>
    <s v="000010584"/>
    <d v="2025-06-04T00:00:00"/>
    <d v="2025-08-31T00:00:00"/>
    <n v="38470"/>
    <n v="-122"/>
    <n v="0"/>
    <n v="0"/>
    <n v="38470"/>
    <n v="0"/>
    <n v="0"/>
    <n v="0"/>
    <n v="0"/>
    <x v="213"/>
    <n v="0"/>
    <n v="0"/>
    <n v="0"/>
    <n v="0"/>
    <n v="0"/>
    <n v="0"/>
  </r>
  <r>
    <x v="42"/>
    <s v="000010585"/>
    <d v="2025-06-04T00:00:00"/>
    <d v="2025-08-31T00:00:00"/>
    <n v="57700"/>
    <n v="-122"/>
    <n v="0"/>
    <n v="0"/>
    <n v="57700"/>
    <n v="0"/>
    <n v="0"/>
    <n v="0"/>
    <n v="0"/>
    <x v="214"/>
    <n v="0"/>
    <n v="0"/>
    <n v="0"/>
    <n v="0"/>
    <n v="0"/>
    <n v="0"/>
  </r>
  <r>
    <x v="42"/>
    <s v="000010669"/>
    <d v="2025-06-11T00:00:00"/>
    <d v="2025-09-03T00:00:00"/>
    <n v="56271.67"/>
    <n v="-119"/>
    <n v="0"/>
    <n v="0"/>
    <n v="0"/>
    <n v="56271.67"/>
    <n v="0"/>
    <n v="0"/>
    <n v="0"/>
    <x v="215"/>
    <n v="0"/>
    <n v="0"/>
    <n v="0"/>
    <n v="0"/>
    <n v="0"/>
    <n v="0"/>
  </r>
  <r>
    <x v="53"/>
    <s v="000061804"/>
    <d v="2025-06-06T00:00:00"/>
    <d v="2025-09-04T00:00:00"/>
    <n v="10542.88"/>
    <n v="-118"/>
    <n v="0"/>
    <n v="0"/>
    <n v="0"/>
    <n v="10542.88"/>
    <n v="0"/>
    <n v="0"/>
    <n v="0"/>
    <x v="194"/>
    <n v="0"/>
    <n v="0"/>
    <n v="0"/>
    <n v="0"/>
    <n v="0"/>
    <n v="0"/>
  </r>
  <r>
    <x v="51"/>
    <s v="000062766"/>
    <d v="2025-07-07T00:00:00"/>
    <d v="2025-09-05T00:00:00"/>
    <n v="2866"/>
    <n v="-117"/>
    <n v="0"/>
    <n v="0"/>
    <n v="0"/>
    <n v="2866"/>
    <n v="0"/>
    <n v="0"/>
    <n v="0"/>
    <x v="216"/>
    <n v="0"/>
    <n v="0"/>
    <n v="0"/>
    <n v="0"/>
    <n v="0"/>
    <n v="0"/>
  </r>
  <r>
    <x v="65"/>
    <s v="000063219"/>
    <d v="2025-07-22T00:00:00"/>
    <d v="2025-09-05T00:00:00"/>
    <n v="195840"/>
    <n v="-117"/>
    <n v="0"/>
    <n v="0"/>
    <n v="0"/>
    <n v="195840"/>
    <n v="0"/>
    <n v="0"/>
    <n v="0"/>
    <x v="217"/>
    <n v="0"/>
    <n v="0"/>
    <n v="0"/>
    <n v="0"/>
    <n v="0"/>
    <n v="0"/>
  </r>
  <r>
    <x v="42"/>
    <s v="000010690"/>
    <d v="2025-06-11T00:00:00"/>
    <d v="2025-09-09T00:00:00"/>
    <n v="38136.68"/>
    <n v="-113"/>
    <n v="0"/>
    <n v="0"/>
    <n v="0"/>
    <n v="38136.68"/>
    <n v="0"/>
    <n v="0"/>
    <n v="0"/>
    <x v="218"/>
    <n v="0"/>
    <n v="0"/>
    <n v="0"/>
    <n v="0"/>
    <n v="0"/>
    <n v="0"/>
  </r>
  <r>
    <x v="59"/>
    <s v="000202234"/>
    <d v="2022-06-09T00:00:00"/>
    <d v="2025-09-10T00:00:00"/>
    <n v="8102"/>
    <n v="-112"/>
    <n v="0"/>
    <n v="0"/>
    <n v="0"/>
    <n v="8102"/>
    <n v="0"/>
    <n v="0"/>
    <n v="0"/>
    <x v="205"/>
    <n v="0"/>
    <n v="0"/>
    <n v="0"/>
    <n v="0"/>
    <n v="0"/>
    <n v="0"/>
  </r>
  <r>
    <x v="48"/>
    <s v="048398"/>
    <d v="2025-02-24T00:00:00"/>
    <d v="2025-09-10T00:00:00"/>
    <n v="4057.02"/>
    <n v="-112"/>
    <n v="0"/>
    <n v="0"/>
    <n v="0"/>
    <n v="4057.02"/>
    <n v="0"/>
    <n v="0"/>
    <n v="0"/>
    <x v="179"/>
    <n v="0"/>
    <n v="0"/>
    <n v="0"/>
    <n v="0"/>
    <n v="0"/>
    <n v="0"/>
  </r>
  <r>
    <x v="48"/>
    <s v="054077"/>
    <d v="2025-02-24T00:00:00"/>
    <d v="2025-09-10T00:00:00"/>
    <n v="6824.09"/>
    <n v="-112"/>
    <n v="0"/>
    <n v="0"/>
    <n v="0"/>
    <n v="6824.09"/>
    <n v="0"/>
    <n v="0"/>
    <n v="0"/>
    <x v="180"/>
    <n v="0"/>
    <n v="0"/>
    <n v="0"/>
    <n v="0"/>
    <n v="0"/>
    <n v="0"/>
  </r>
  <r>
    <x v="50"/>
    <s v="260620241"/>
    <d v="2024-07-23T00:00:00"/>
    <d v="2025-09-10T00:00:00"/>
    <n v="58705.33"/>
    <n v="-112"/>
    <n v="0"/>
    <n v="0"/>
    <n v="0"/>
    <n v="58705.33"/>
    <n v="0"/>
    <n v="0"/>
    <n v="0"/>
    <x v="219"/>
    <n v="0"/>
    <n v="0"/>
    <n v="0"/>
    <n v="0"/>
    <n v="0"/>
    <n v="0"/>
  </r>
  <r>
    <x v="66"/>
    <s v="000011037"/>
    <d v="2025-07-14T00:00:00"/>
    <d v="2025-09-12T00:00:00"/>
    <n v="1593.46"/>
    <n v="-110"/>
    <n v="0"/>
    <n v="0"/>
    <n v="0"/>
    <n v="1593.46"/>
    <n v="0"/>
    <n v="0"/>
    <n v="0"/>
    <x v="220"/>
    <n v="0"/>
    <n v="0"/>
    <n v="0"/>
    <n v="0"/>
    <n v="0"/>
    <n v="0"/>
  </r>
  <r>
    <x v="60"/>
    <s v="000061712"/>
    <d v="2025-06-05T00:00:00"/>
    <d v="2025-09-15T00:00:00"/>
    <n v="12515"/>
    <n v="-107"/>
    <n v="0"/>
    <n v="0"/>
    <n v="0"/>
    <n v="12515"/>
    <n v="0"/>
    <n v="0"/>
    <n v="0"/>
    <x v="206"/>
    <n v="0"/>
    <n v="0"/>
    <n v="0"/>
    <n v="0"/>
    <n v="0"/>
    <n v="0"/>
  </r>
  <r>
    <x v="60"/>
    <s v="000064284"/>
    <d v="2025-08-22T00:00:00"/>
    <d v="2025-09-15T00:00:00"/>
    <n v="14300"/>
    <n v="-107"/>
    <n v="0"/>
    <n v="0"/>
    <n v="0"/>
    <n v="14300"/>
    <n v="0"/>
    <n v="0"/>
    <n v="0"/>
    <x v="221"/>
    <n v="0"/>
    <n v="0"/>
    <n v="0"/>
    <n v="0"/>
    <n v="0"/>
    <n v="0"/>
  </r>
  <r>
    <x v="46"/>
    <s v="000062132"/>
    <d v="2025-06-18T00:00:00"/>
    <d v="2025-09-16T00:00:00"/>
    <n v="240.38"/>
    <n v="-106"/>
    <n v="0"/>
    <n v="0"/>
    <n v="0"/>
    <n v="240.38"/>
    <n v="0"/>
    <n v="0"/>
    <n v="0"/>
    <x v="222"/>
    <n v="0"/>
    <n v="0"/>
    <n v="0"/>
    <n v="0"/>
    <n v="0"/>
    <n v="0"/>
  </r>
  <r>
    <x v="67"/>
    <s v="000010750"/>
    <d v="2025-06-18T00:00:00"/>
    <d v="2025-09-16T00:00:00"/>
    <n v="6000"/>
    <n v="-106"/>
    <n v="0"/>
    <n v="0"/>
    <n v="0"/>
    <n v="6000"/>
    <n v="0"/>
    <n v="0"/>
    <n v="0"/>
    <x v="223"/>
    <n v="0"/>
    <n v="0"/>
    <n v="0"/>
    <n v="0"/>
    <n v="0"/>
    <n v="0"/>
  </r>
  <r>
    <x v="67"/>
    <s v="000010751"/>
    <d v="2025-06-18T00:00:00"/>
    <d v="2025-09-16T00:00:00"/>
    <n v="5910"/>
    <n v="-106"/>
    <n v="0"/>
    <n v="0"/>
    <n v="0"/>
    <n v="5910"/>
    <n v="0"/>
    <n v="0"/>
    <n v="0"/>
    <x v="224"/>
    <n v="0"/>
    <n v="0"/>
    <n v="0"/>
    <n v="0"/>
    <n v="0"/>
    <n v="0"/>
  </r>
  <r>
    <x v="67"/>
    <s v="000010752"/>
    <d v="2025-06-18T00:00:00"/>
    <d v="2025-09-16T00:00:00"/>
    <n v="300"/>
    <n v="-106"/>
    <n v="0"/>
    <n v="0"/>
    <n v="0"/>
    <n v="300"/>
    <n v="0"/>
    <n v="0"/>
    <n v="0"/>
    <x v="145"/>
    <n v="0"/>
    <n v="0"/>
    <n v="0"/>
    <n v="0"/>
    <n v="0"/>
    <n v="0"/>
  </r>
  <r>
    <x v="67"/>
    <s v="000010753"/>
    <d v="2025-06-18T00:00:00"/>
    <d v="2025-09-16T00:00:00"/>
    <n v="4100"/>
    <n v="-106"/>
    <n v="0"/>
    <n v="0"/>
    <n v="0"/>
    <n v="4100"/>
    <n v="0"/>
    <n v="0"/>
    <n v="0"/>
    <x v="225"/>
    <n v="0"/>
    <n v="0"/>
    <n v="0"/>
    <n v="0"/>
    <n v="0"/>
    <n v="0"/>
  </r>
  <r>
    <x v="67"/>
    <s v="000010755"/>
    <d v="2025-06-18T00:00:00"/>
    <d v="2025-09-16T00:00:00"/>
    <n v="4100"/>
    <n v="-106"/>
    <n v="0"/>
    <n v="0"/>
    <n v="0"/>
    <n v="4100"/>
    <n v="0"/>
    <n v="0"/>
    <n v="0"/>
    <x v="225"/>
    <n v="0"/>
    <n v="0"/>
    <n v="0"/>
    <n v="0"/>
    <n v="0"/>
    <n v="0"/>
  </r>
  <r>
    <x v="67"/>
    <s v="000010757"/>
    <d v="2025-06-18T00:00:00"/>
    <d v="2025-09-16T00:00:00"/>
    <n v="300"/>
    <n v="-106"/>
    <n v="0"/>
    <n v="0"/>
    <n v="0"/>
    <n v="300"/>
    <n v="0"/>
    <n v="0"/>
    <n v="0"/>
    <x v="145"/>
    <n v="0"/>
    <n v="0"/>
    <n v="0"/>
    <n v="0"/>
    <n v="0"/>
    <n v="0"/>
  </r>
  <r>
    <x v="67"/>
    <s v="000010758"/>
    <d v="2025-06-18T00:00:00"/>
    <d v="2025-09-16T00:00:00"/>
    <n v="4100"/>
    <n v="-106"/>
    <n v="0"/>
    <n v="0"/>
    <n v="0"/>
    <n v="4100"/>
    <n v="0"/>
    <n v="0"/>
    <n v="0"/>
    <x v="225"/>
    <n v="0"/>
    <n v="0"/>
    <n v="0"/>
    <n v="0"/>
    <n v="0"/>
    <n v="0"/>
  </r>
  <r>
    <x v="67"/>
    <s v="000010761"/>
    <d v="2025-06-18T00:00:00"/>
    <d v="2025-09-16T00:00:00"/>
    <n v="4100"/>
    <n v="-106"/>
    <n v="0"/>
    <n v="0"/>
    <n v="0"/>
    <n v="4100"/>
    <n v="0"/>
    <n v="0"/>
    <n v="0"/>
    <x v="225"/>
    <n v="0"/>
    <n v="0"/>
    <n v="0"/>
    <n v="0"/>
    <n v="0"/>
    <n v="0"/>
  </r>
  <r>
    <x v="67"/>
    <s v="000010762"/>
    <d v="2025-06-18T00:00:00"/>
    <d v="2025-09-16T00:00:00"/>
    <n v="300"/>
    <n v="-106"/>
    <n v="0"/>
    <n v="0"/>
    <n v="0"/>
    <n v="300"/>
    <n v="0"/>
    <n v="0"/>
    <n v="0"/>
    <x v="145"/>
    <n v="0"/>
    <n v="0"/>
    <n v="0"/>
    <n v="0"/>
    <n v="0"/>
    <n v="0"/>
  </r>
  <r>
    <x v="61"/>
    <s v="000005317"/>
    <d v="2024-12-16T00:00:00"/>
    <d v="2025-09-16T00:00:00"/>
    <n v="21923.5"/>
    <n v="-106"/>
    <n v="0"/>
    <n v="0"/>
    <n v="0"/>
    <n v="21923.5"/>
    <n v="0"/>
    <n v="0"/>
    <n v="0"/>
    <x v="208"/>
    <n v="0"/>
    <n v="0"/>
    <n v="0"/>
    <n v="0"/>
    <n v="0"/>
    <n v="0"/>
  </r>
  <r>
    <x v="38"/>
    <s v="000005209"/>
    <d v="2024-12-04T00:00:00"/>
    <d v="2025-09-16T00:00:00"/>
    <n v="24260"/>
    <n v="-106"/>
    <n v="0"/>
    <n v="0"/>
    <n v="0"/>
    <n v="24260"/>
    <n v="0"/>
    <n v="0"/>
    <n v="0"/>
    <x v="152"/>
    <n v="0"/>
    <n v="0"/>
    <n v="0"/>
    <n v="0"/>
    <n v="0"/>
    <n v="0"/>
  </r>
  <r>
    <x v="63"/>
    <s v="000056098"/>
    <d v="2025-07-21T00:00:00"/>
    <d v="2025-09-20T00:00:00"/>
    <n v="41545"/>
    <n v="-102"/>
    <n v="0"/>
    <n v="0"/>
    <n v="0"/>
    <n v="41545"/>
    <n v="0"/>
    <n v="0"/>
    <n v="0"/>
    <x v="226"/>
    <n v="0"/>
    <n v="0"/>
    <n v="0"/>
    <n v="0"/>
    <n v="0"/>
    <n v="0"/>
  </r>
  <r>
    <x v="45"/>
    <s v="000063702"/>
    <d v="2025-08-06T00:00:00"/>
    <d v="2025-09-20T00:00:00"/>
    <n v="43598.66"/>
    <n v="-102"/>
    <n v="0"/>
    <n v="0"/>
    <n v="0"/>
    <n v="43598.66"/>
    <n v="0"/>
    <n v="0"/>
    <n v="0"/>
    <x v="227"/>
    <n v="0"/>
    <n v="0"/>
    <n v="0"/>
    <n v="0"/>
    <n v="0"/>
    <n v="0"/>
  </r>
  <r>
    <x v="68"/>
    <s v="000064243"/>
    <d v="2025-08-21T00:00:00"/>
    <d v="2025-09-20T00:00:00"/>
    <n v="48750"/>
    <n v="-102"/>
    <n v="0"/>
    <n v="0"/>
    <n v="0"/>
    <n v="48750"/>
    <n v="0"/>
    <n v="0"/>
    <n v="0"/>
    <x v="228"/>
    <n v="0"/>
    <n v="0"/>
    <n v="0"/>
    <n v="0"/>
    <n v="0"/>
    <n v="0"/>
  </r>
  <r>
    <x v="69"/>
    <s v="000061116"/>
    <d v="2025-05-23T00:00:00"/>
    <d v="2025-09-20T00:00:00"/>
    <n v="4600"/>
    <n v="-102"/>
    <n v="0"/>
    <n v="0"/>
    <n v="0"/>
    <n v="4600"/>
    <n v="0"/>
    <n v="0"/>
    <n v="0"/>
    <x v="229"/>
    <n v="0"/>
    <n v="0"/>
    <n v="0"/>
    <n v="0"/>
    <n v="0"/>
    <n v="0"/>
  </r>
  <r>
    <x v="42"/>
    <s v="000010838"/>
    <d v="2025-06-25T00:00:00"/>
    <d v="2025-09-21T00:00:00"/>
    <n v="38175"/>
    <n v="-101"/>
    <n v="0"/>
    <n v="0"/>
    <n v="0"/>
    <n v="38175"/>
    <n v="0"/>
    <n v="0"/>
    <n v="0"/>
    <x v="230"/>
    <n v="0"/>
    <n v="0"/>
    <n v="0"/>
    <n v="0"/>
    <n v="0"/>
    <n v="0"/>
  </r>
  <r>
    <x v="67"/>
    <s v="000010841"/>
    <d v="2025-06-25T00:00:00"/>
    <d v="2025-09-23T00:00:00"/>
    <n v="4100"/>
    <n v="-99"/>
    <n v="0"/>
    <n v="0"/>
    <n v="0"/>
    <n v="4100"/>
    <n v="0"/>
    <n v="0"/>
    <n v="0"/>
    <x v="225"/>
    <n v="0"/>
    <n v="0"/>
    <n v="0"/>
    <n v="0"/>
    <n v="0"/>
    <n v="0"/>
  </r>
  <r>
    <x v="67"/>
    <s v="000010842"/>
    <d v="2025-06-25T00:00:00"/>
    <d v="2025-09-23T00:00:00"/>
    <n v="4100"/>
    <n v="-99"/>
    <n v="0"/>
    <n v="0"/>
    <n v="0"/>
    <n v="4100"/>
    <n v="0"/>
    <n v="0"/>
    <n v="0"/>
    <x v="225"/>
    <n v="0"/>
    <n v="0"/>
    <n v="0"/>
    <n v="0"/>
    <n v="0"/>
    <n v="0"/>
  </r>
  <r>
    <x v="67"/>
    <s v="000010843"/>
    <d v="2025-06-25T00:00:00"/>
    <d v="2025-09-23T00:00:00"/>
    <n v="4100"/>
    <n v="-99"/>
    <n v="0"/>
    <n v="0"/>
    <n v="0"/>
    <n v="4100"/>
    <n v="0"/>
    <n v="0"/>
    <n v="0"/>
    <x v="225"/>
    <n v="0"/>
    <n v="0"/>
    <n v="0"/>
    <n v="0"/>
    <n v="0"/>
    <n v="0"/>
  </r>
  <r>
    <x v="67"/>
    <s v="000010844"/>
    <d v="2025-06-25T00:00:00"/>
    <d v="2025-09-23T00:00:00"/>
    <n v="4100"/>
    <n v="-99"/>
    <n v="0"/>
    <n v="0"/>
    <n v="0"/>
    <n v="4100"/>
    <n v="0"/>
    <n v="0"/>
    <n v="0"/>
    <x v="225"/>
    <n v="0"/>
    <n v="0"/>
    <n v="0"/>
    <n v="0"/>
    <n v="0"/>
    <n v="0"/>
  </r>
  <r>
    <x v="67"/>
    <s v="000010845"/>
    <d v="2025-06-25T00:00:00"/>
    <d v="2025-09-23T00:00:00"/>
    <n v="4100"/>
    <n v="-99"/>
    <n v="0"/>
    <n v="0"/>
    <n v="0"/>
    <n v="4100"/>
    <n v="0"/>
    <n v="0"/>
    <n v="0"/>
    <x v="225"/>
    <n v="0"/>
    <n v="0"/>
    <n v="0"/>
    <n v="0"/>
    <n v="0"/>
    <n v="0"/>
  </r>
  <r>
    <x v="70"/>
    <s v="000064491"/>
    <d v="2025-08-27T00:00:00"/>
    <d v="2025-09-25T00:00:00"/>
    <n v="73500"/>
    <n v="-97"/>
    <n v="0"/>
    <n v="0"/>
    <n v="0"/>
    <n v="73500"/>
    <n v="0"/>
    <n v="0"/>
    <n v="0"/>
    <x v="231"/>
    <n v="0"/>
    <n v="0"/>
    <n v="0"/>
    <n v="0"/>
    <n v="0"/>
    <n v="0"/>
  </r>
  <r>
    <x v="66"/>
    <s v="000011037"/>
    <d v="2025-07-14T00:00:00"/>
    <d v="2025-09-27T00:00:00"/>
    <n v="1593.46"/>
    <n v="-95"/>
    <n v="0"/>
    <n v="0"/>
    <n v="0"/>
    <n v="1593.46"/>
    <n v="0"/>
    <n v="0"/>
    <n v="0"/>
    <x v="220"/>
    <n v="0"/>
    <n v="0"/>
    <n v="0"/>
    <n v="0"/>
    <n v="0"/>
    <n v="0"/>
  </r>
  <r>
    <x v="60"/>
    <s v="000061712"/>
    <d v="2025-06-05T00:00:00"/>
    <d v="2025-09-30T00:00:00"/>
    <n v="12515"/>
    <n v="-92"/>
    <n v="0"/>
    <n v="0"/>
    <n v="0"/>
    <n v="12515"/>
    <n v="0"/>
    <n v="0"/>
    <n v="0"/>
    <x v="206"/>
    <n v="0"/>
    <n v="0"/>
    <n v="0"/>
    <n v="0"/>
    <n v="0"/>
    <n v="0"/>
  </r>
  <r>
    <x v="60"/>
    <s v="000064284"/>
    <d v="2025-08-22T00:00:00"/>
    <d v="2025-09-30T00:00:00"/>
    <n v="14300"/>
    <n v="-92"/>
    <n v="0"/>
    <n v="0"/>
    <n v="0"/>
    <n v="14300"/>
    <n v="0"/>
    <n v="0"/>
    <n v="0"/>
    <x v="221"/>
    <n v="0"/>
    <n v="0"/>
    <n v="0"/>
    <n v="0"/>
    <n v="0"/>
    <n v="0"/>
  </r>
  <r>
    <x v="42"/>
    <s v="000010584"/>
    <d v="2025-06-04T00:00:00"/>
    <d v="2025-09-30T00:00:00"/>
    <n v="38470"/>
    <n v="-92"/>
    <n v="0"/>
    <n v="0"/>
    <n v="0"/>
    <n v="38470"/>
    <n v="0"/>
    <n v="0"/>
    <n v="0"/>
    <x v="213"/>
    <n v="0"/>
    <n v="0"/>
    <n v="0"/>
    <n v="0"/>
    <n v="0"/>
    <n v="0"/>
  </r>
  <r>
    <x v="42"/>
    <s v="000010585"/>
    <d v="2025-06-04T00:00:00"/>
    <d v="2025-09-30T00:00:00"/>
    <n v="57700"/>
    <n v="-92"/>
    <n v="0"/>
    <n v="0"/>
    <n v="0"/>
    <n v="57700"/>
    <n v="0"/>
    <n v="0"/>
    <n v="0"/>
    <x v="214"/>
    <n v="0"/>
    <n v="0"/>
    <n v="0"/>
    <n v="0"/>
    <n v="0"/>
    <n v="0"/>
  </r>
  <r>
    <x v="67"/>
    <s v="000010922"/>
    <d v="2025-07-03T00:00:00"/>
    <d v="2025-10-01T00:00:00"/>
    <n v="10380"/>
    <n v="-91"/>
    <n v="0"/>
    <n v="0"/>
    <n v="0"/>
    <n v="10380"/>
    <n v="0"/>
    <n v="0"/>
    <n v="0"/>
    <x v="232"/>
    <n v="0"/>
    <n v="0"/>
    <n v="0"/>
    <n v="0"/>
    <n v="0"/>
    <n v="0"/>
  </r>
  <r>
    <x v="67"/>
    <s v="000010927"/>
    <d v="2025-07-04T00:00:00"/>
    <d v="2025-10-02T00:00:00"/>
    <n v="5800"/>
    <n v="-90"/>
    <n v="0"/>
    <n v="0"/>
    <n v="0"/>
    <n v="0"/>
    <n v="5800"/>
    <n v="0"/>
    <n v="0"/>
    <x v="233"/>
    <n v="0"/>
    <n v="0"/>
    <n v="0"/>
    <n v="0"/>
    <n v="0"/>
    <n v="0"/>
  </r>
  <r>
    <x v="67"/>
    <s v="000010928"/>
    <d v="2025-07-04T00:00:00"/>
    <d v="2025-10-02T00:00:00"/>
    <n v="8880"/>
    <n v="-90"/>
    <n v="0"/>
    <n v="0"/>
    <n v="0"/>
    <n v="0"/>
    <n v="8880"/>
    <n v="0"/>
    <n v="0"/>
    <x v="234"/>
    <n v="0"/>
    <n v="0"/>
    <n v="0"/>
    <n v="0"/>
    <n v="0"/>
    <n v="0"/>
  </r>
  <r>
    <x v="67"/>
    <s v="000010929"/>
    <d v="2025-07-04T00:00:00"/>
    <d v="2025-10-02T00:00:00"/>
    <n v="5800"/>
    <n v="-90"/>
    <n v="0"/>
    <n v="0"/>
    <n v="0"/>
    <n v="0"/>
    <n v="5800"/>
    <n v="0"/>
    <n v="0"/>
    <x v="233"/>
    <n v="0"/>
    <n v="0"/>
    <n v="0"/>
    <n v="0"/>
    <n v="0"/>
    <n v="0"/>
  </r>
  <r>
    <x v="67"/>
    <s v="000010930"/>
    <d v="2025-07-04T00:00:00"/>
    <d v="2025-10-02T00:00:00"/>
    <n v="5800"/>
    <n v="-90"/>
    <n v="0"/>
    <n v="0"/>
    <n v="0"/>
    <n v="0"/>
    <n v="5800"/>
    <n v="0"/>
    <n v="0"/>
    <x v="233"/>
    <n v="0"/>
    <n v="0"/>
    <n v="0"/>
    <n v="0"/>
    <n v="0"/>
    <n v="0"/>
  </r>
  <r>
    <x v="67"/>
    <s v="000010931"/>
    <d v="2025-07-04T00:00:00"/>
    <d v="2025-10-02T00:00:00"/>
    <n v="6000"/>
    <n v="-90"/>
    <n v="0"/>
    <n v="0"/>
    <n v="0"/>
    <n v="0"/>
    <n v="6000"/>
    <n v="0"/>
    <n v="0"/>
    <x v="223"/>
    <n v="0"/>
    <n v="0"/>
    <n v="0"/>
    <n v="0"/>
    <n v="0"/>
    <n v="0"/>
  </r>
  <r>
    <x v="71"/>
    <s v="000063641"/>
    <d v="2025-08-04T00:00:00"/>
    <d v="2025-10-03T00:00:00"/>
    <n v="15214.8"/>
    <n v="-89"/>
    <n v="0"/>
    <n v="0"/>
    <n v="0"/>
    <n v="0"/>
    <n v="15214.8"/>
    <n v="0"/>
    <n v="0"/>
    <x v="235"/>
    <n v="0"/>
    <n v="0"/>
    <n v="0"/>
    <n v="0"/>
    <n v="0"/>
    <n v="0"/>
  </r>
  <r>
    <x v="72"/>
    <s v="000063638"/>
    <d v="2025-08-04T00:00:00"/>
    <d v="2025-10-03T00:00:00"/>
    <n v="41033.33"/>
    <n v="-89"/>
    <n v="0"/>
    <n v="0"/>
    <n v="0"/>
    <n v="0"/>
    <n v="41033.33"/>
    <n v="0"/>
    <n v="0"/>
    <x v="236"/>
    <n v="0"/>
    <n v="0"/>
    <n v="0"/>
    <n v="0"/>
    <n v="0"/>
    <n v="0"/>
  </r>
  <r>
    <x v="42"/>
    <s v="000010669"/>
    <d v="2025-06-11T00:00:00"/>
    <d v="2025-10-03T00:00:00"/>
    <n v="56271.67"/>
    <n v="-89"/>
    <n v="0"/>
    <n v="0"/>
    <n v="0"/>
    <n v="0"/>
    <n v="56271.67"/>
    <n v="0"/>
    <n v="0"/>
    <x v="215"/>
    <n v="0"/>
    <n v="0"/>
    <n v="0"/>
    <n v="0"/>
    <n v="0"/>
    <n v="0"/>
  </r>
  <r>
    <x v="73"/>
    <s v="000011505"/>
    <d v="2025-08-20T00:00:00"/>
    <d v="2025-10-04T00:00:00"/>
    <n v="32990"/>
    <n v="-88"/>
    <n v="0"/>
    <n v="0"/>
    <n v="0"/>
    <n v="0"/>
    <n v="32990"/>
    <n v="0"/>
    <n v="0"/>
    <x v="237"/>
    <n v="0"/>
    <n v="0"/>
    <n v="0"/>
    <n v="0"/>
    <n v="0"/>
    <n v="0"/>
  </r>
  <r>
    <x v="73"/>
    <s v="000011506"/>
    <d v="2025-08-20T00:00:00"/>
    <d v="2025-10-04T00:00:00"/>
    <n v="3840"/>
    <n v="-88"/>
    <n v="0"/>
    <n v="0"/>
    <n v="0"/>
    <n v="0"/>
    <n v="3840"/>
    <n v="0"/>
    <n v="0"/>
    <x v="238"/>
    <n v="0"/>
    <n v="0"/>
    <n v="0"/>
    <n v="0"/>
    <n v="0"/>
    <n v="0"/>
  </r>
  <r>
    <x v="73"/>
    <s v="000011507"/>
    <d v="2025-08-20T00:00:00"/>
    <d v="2025-10-04T00:00:00"/>
    <n v="3840"/>
    <n v="-88"/>
    <n v="0"/>
    <n v="0"/>
    <n v="0"/>
    <n v="0"/>
    <n v="3840"/>
    <n v="0"/>
    <n v="0"/>
    <x v="238"/>
    <n v="0"/>
    <n v="0"/>
    <n v="0"/>
    <n v="0"/>
    <n v="0"/>
    <n v="0"/>
  </r>
  <r>
    <x v="73"/>
    <s v="000011508"/>
    <d v="2025-08-20T00:00:00"/>
    <d v="2025-10-04T00:00:00"/>
    <n v="3840"/>
    <n v="-88"/>
    <n v="0"/>
    <n v="0"/>
    <n v="0"/>
    <n v="0"/>
    <n v="3840"/>
    <n v="0"/>
    <n v="0"/>
    <x v="238"/>
    <n v="0"/>
    <n v="0"/>
    <n v="0"/>
    <n v="0"/>
    <n v="0"/>
    <n v="0"/>
  </r>
  <r>
    <x v="73"/>
    <s v="000011509"/>
    <d v="2025-08-20T00:00:00"/>
    <d v="2025-10-04T00:00:00"/>
    <n v="32990"/>
    <n v="-88"/>
    <n v="0"/>
    <n v="0"/>
    <n v="0"/>
    <n v="0"/>
    <n v="32990"/>
    <n v="0"/>
    <n v="0"/>
    <x v="237"/>
    <n v="0"/>
    <n v="0"/>
    <n v="0"/>
    <n v="0"/>
    <n v="0"/>
    <n v="0"/>
  </r>
  <r>
    <x v="53"/>
    <s v="000061804"/>
    <d v="2025-06-06T00:00:00"/>
    <d v="2025-10-04T00:00:00"/>
    <n v="10542.86"/>
    <n v="-88"/>
    <n v="0"/>
    <n v="0"/>
    <n v="0"/>
    <n v="0"/>
    <n v="10542.86"/>
    <n v="0"/>
    <n v="0"/>
    <x v="239"/>
    <n v="0"/>
    <n v="0"/>
    <n v="0"/>
    <n v="0"/>
    <n v="0"/>
    <n v="0"/>
  </r>
  <r>
    <x v="28"/>
    <s v="000062726"/>
    <d v="2025-07-07T00:00:00"/>
    <d v="2025-10-05T00:00:00"/>
    <n v="11200"/>
    <n v="-87"/>
    <n v="0"/>
    <n v="0"/>
    <n v="0"/>
    <n v="0"/>
    <n v="11200"/>
    <n v="0"/>
    <n v="0"/>
    <x v="240"/>
    <n v="0"/>
    <n v="0"/>
    <n v="0"/>
    <n v="0"/>
    <n v="0"/>
    <n v="0"/>
  </r>
  <r>
    <x v="74"/>
    <s v="000011357"/>
    <d v="2025-08-08T00:00:00"/>
    <d v="2025-10-07T00:00:00"/>
    <n v="5120"/>
    <n v="-85"/>
    <n v="0"/>
    <n v="0"/>
    <n v="0"/>
    <n v="0"/>
    <n v="5120"/>
    <n v="0"/>
    <n v="0"/>
    <x v="241"/>
    <n v="0"/>
    <n v="0"/>
    <n v="0"/>
    <n v="0"/>
    <n v="0"/>
    <n v="0"/>
  </r>
  <r>
    <x v="75"/>
    <s v="000011348"/>
    <d v="2025-08-08T00:00:00"/>
    <d v="2025-10-07T00:00:00"/>
    <n v="43844.68"/>
    <n v="-85"/>
    <n v="0"/>
    <n v="0"/>
    <n v="0"/>
    <n v="0"/>
    <n v="43844.68"/>
    <n v="0"/>
    <n v="0"/>
    <x v="242"/>
    <n v="0"/>
    <n v="0"/>
    <n v="0"/>
    <n v="0"/>
    <n v="0"/>
    <n v="0"/>
  </r>
  <r>
    <x v="54"/>
    <s v="000010679"/>
    <d v="2025-06-11T00:00:00"/>
    <d v="2025-10-09T00:00:00"/>
    <n v="32815.199999999997"/>
    <n v="-83"/>
    <n v="0"/>
    <n v="0"/>
    <n v="0"/>
    <n v="0"/>
    <n v="32815.199999999997"/>
    <n v="0"/>
    <n v="0"/>
    <x v="243"/>
    <n v="0"/>
    <n v="0"/>
    <n v="0"/>
    <n v="0"/>
    <n v="0"/>
    <n v="0"/>
  </r>
  <r>
    <x v="42"/>
    <s v="000010690"/>
    <d v="2025-06-11T00:00:00"/>
    <d v="2025-10-09T00:00:00"/>
    <n v="38136.660000000003"/>
    <n v="-83"/>
    <n v="0"/>
    <n v="0"/>
    <n v="0"/>
    <n v="0"/>
    <n v="38136.660000000003"/>
    <n v="0"/>
    <n v="0"/>
    <x v="244"/>
    <n v="0"/>
    <n v="0"/>
    <n v="0"/>
    <n v="0"/>
    <n v="0"/>
    <n v="0"/>
  </r>
  <r>
    <x v="59"/>
    <s v="000202235"/>
    <d v="2022-06-09T00:00:00"/>
    <d v="2025-10-10T00:00:00"/>
    <n v="8102"/>
    <n v="-82"/>
    <n v="0"/>
    <n v="0"/>
    <n v="0"/>
    <n v="0"/>
    <n v="8102"/>
    <n v="0"/>
    <n v="0"/>
    <x v="205"/>
    <n v="0"/>
    <n v="0"/>
    <n v="0"/>
    <n v="0"/>
    <n v="0"/>
    <n v="0"/>
  </r>
  <r>
    <x v="48"/>
    <s v="048398"/>
    <d v="2025-02-24T00:00:00"/>
    <d v="2025-10-10T00:00:00"/>
    <n v="4057.02"/>
    <n v="-82"/>
    <n v="0"/>
    <n v="0"/>
    <n v="0"/>
    <n v="0"/>
    <n v="4057.02"/>
    <n v="0"/>
    <n v="0"/>
    <x v="179"/>
    <n v="0"/>
    <n v="0"/>
    <n v="0"/>
    <n v="0"/>
    <n v="0"/>
    <n v="0"/>
  </r>
  <r>
    <x v="48"/>
    <s v="054077"/>
    <d v="2025-02-24T00:00:00"/>
    <d v="2025-10-10T00:00:00"/>
    <n v="6824.09"/>
    <n v="-82"/>
    <n v="0"/>
    <n v="0"/>
    <n v="0"/>
    <n v="0"/>
    <n v="6824.09"/>
    <n v="0"/>
    <n v="0"/>
    <x v="180"/>
    <n v="0"/>
    <n v="0"/>
    <n v="0"/>
    <n v="0"/>
    <n v="0"/>
    <n v="0"/>
  </r>
  <r>
    <x v="66"/>
    <s v="000011037"/>
    <d v="2025-07-14T00:00:00"/>
    <d v="2025-10-12T00:00:00"/>
    <n v="1593.46"/>
    <n v="-80"/>
    <n v="0"/>
    <n v="0"/>
    <n v="0"/>
    <n v="0"/>
    <n v="1593.46"/>
    <n v="0"/>
    <n v="0"/>
    <x v="220"/>
    <n v="0"/>
    <n v="0"/>
    <n v="0"/>
    <n v="0"/>
    <n v="0"/>
    <n v="0"/>
  </r>
  <r>
    <x v="60"/>
    <s v="000064284"/>
    <d v="2025-08-22T00:00:00"/>
    <d v="2025-10-15T00:00:00"/>
    <n v="14300"/>
    <n v="-77"/>
    <n v="0"/>
    <n v="0"/>
    <n v="0"/>
    <n v="0"/>
    <n v="14300"/>
    <n v="0"/>
    <n v="0"/>
    <x v="221"/>
    <n v="0"/>
    <n v="0"/>
    <n v="0"/>
    <n v="0"/>
    <n v="0"/>
    <n v="0"/>
  </r>
  <r>
    <x v="45"/>
    <s v="000064726"/>
    <d v="2025-09-01T00:00:00"/>
    <d v="2025-10-16T00:00:00"/>
    <n v="43741.07"/>
    <n v="-76"/>
    <n v="0"/>
    <n v="0"/>
    <n v="0"/>
    <n v="0"/>
    <n v="43741.07"/>
    <n v="0"/>
    <n v="0"/>
    <x v="245"/>
    <n v="0"/>
    <n v="0"/>
    <n v="0"/>
    <n v="0"/>
    <n v="0"/>
    <n v="0"/>
  </r>
  <r>
    <x v="67"/>
    <s v="000011115"/>
    <d v="2025-07-18T00:00:00"/>
    <d v="2025-10-16T00:00:00"/>
    <n v="5910"/>
    <n v="-76"/>
    <n v="0"/>
    <n v="0"/>
    <n v="0"/>
    <n v="0"/>
    <n v="5910"/>
    <n v="0"/>
    <n v="0"/>
    <x v="224"/>
    <n v="0"/>
    <n v="0"/>
    <n v="0"/>
    <n v="0"/>
    <n v="0"/>
    <n v="0"/>
  </r>
  <r>
    <x v="67"/>
    <s v="000011116"/>
    <d v="2025-07-18T00:00:00"/>
    <d v="2025-10-16T00:00:00"/>
    <n v="5910"/>
    <n v="-76"/>
    <n v="0"/>
    <n v="0"/>
    <n v="0"/>
    <n v="0"/>
    <n v="5910"/>
    <n v="0"/>
    <n v="0"/>
    <x v="224"/>
    <n v="0"/>
    <n v="0"/>
    <n v="0"/>
    <n v="0"/>
    <n v="0"/>
    <n v="0"/>
  </r>
  <r>
    <x v="67"/>
    <s v="000011117"/>
    <d v="2025-07-18T00:00:00"/>
    <d v="2025-10-16T00:00:00"/>
    <n v="4100"/>
    <n v="-76"/>
    <n v="0"/>
    <n v="0"/>
    <n v="0"/>
    <n v="0"/>
    <n v="4100"/>
    <n v="0"/>
    <n v="0"/>
    <x v="225"/>
    <n v="0"/>
    <n v="0"/>
    <n v="0"/>
    <n v="0"/>
    <n v="0"/>
    <n v="0"/>
  </r>
  <r>
    <x v="67"/>
    <s v="000011118"/>
    <d v="2025-07-18T00:00:00"/>
    <d v="2025-10-16T00:00:00"/>
    <n v="10380"/>
    <n v="-76"/>
    <n v="0"/>
    <n v="0"/>
    <n v="0"/>
    <n v="0"/>
    <n v="10380"/>
    <n v="0"/>
    <n v="0"/>
    <x v="232"/>
    <n v="0"/>
    <n v="0"/>
    <n v="0"/>
    <n v="0"/>
    <n v="0"/>
    <n v="0"/>
  </r>
  <r>
    <x v="67"/>
    <s v="000011119"/>
    <d v="2025-07-18T00:00:00"/>
    <d v="2025-10-16T00:00:00"/>
    <n v="7000"/>
    <n v="-76"/>
    <n v="0"/>
    <n v="0"/>
    <n v="0"/>
    <n v="0"/>
    <n v="7000"/>
    <n v="0"/>
    <n v="0"/>
    <x v="35"/>
    <n v="0"/>
    <n v="0"/>
    <n v="0"/>
    <n v="0"/>
    <n v="0"/>
    <n v="0"/>
  </r>
  <r>
    <x v="67"/>
    <s v="000011120"/>
    <d v="2025-07-18T00:00:00"/>
    <d v="2025-10-16T00:00:00"/>
    <n v="9700"/>
    <n v="-76"/>
    <n v="0"/>
    <n v="0"/>
    <n v="0"/>
    <n v="0"/>
    <n v="9700"/>
    <n v="0"/>
    <n v="0"/>
    <x v="246"/>
    <n v="0"/>
    <n v="0"/>
    <n v="0"/>
    <n v="0"/>
    <n v="0"/>
    <n v="0"/>
  </r>
  <r>
    <x v="67"/>
    <s v="000011121"/>
    <d v="2025-07-18T00:00:00"/>
    <d v="2025-10-16T00:00:00"/>
    <n v="4100"/>
    <n v="-76"/>
    <n v="0"/>
    <n v="0"/>
    <n v="0"/>
    <n v="0"/>
    <n v="4100"/>
    <n v="0"/>
    <n v="0"/>
    <x v="225"/>
    <n v="0"/>
    <n v="0"/>
    <n v="0"/>
    <n v="0"/>
    <n v="0"/>
    <n v="0"/>
  </r>
  <r>
    <x v="67"/>
    <s v="000011122"/>
    <d v="2025-07-18T00:00:00"/>
    <d v="2025-10-16T00:00:00"/>
    <n v="5910"/>
    <n v="-76"/>
    <n v="0"/>
    <n v="0"/>
    <n v="0"/>
    <n v="0"/>
    <n v="5910"/>
    <n v="0"/>
    <n v="0"/>
    <x v="224"/>
    <n v="0"/>
    <n v="0"/>
    <n v="0"/>
    <n v="0"/>
    <n v="0"/>
    <n v="0"/>
  </r>
  <r>
    <x v="67"/>
    <s v="000011123"/>
    <d v="2025-07-18T00:00:00"/>
    <d v="2025-10-16T00:00:00"/>
    <n v="4100"/>
    <n v="-76"/>
    <n v="0"/>
    <n v="0"/>
    <n v="0"/>
    <n v="0"/>
    <n v="4100"/>
    <n v="0"/>
    <n v="0"/>
    <x v="225"/>
    <n v="0"/>
    <n v="0"/>
    <n v="0"/>
    <n v="0"/>
    <n v="0"/>
    <n v="0"/>
  </r>
  <r>
    <x v="42"/>
    <s v="000011148"/>
    <d v="2025-07-22T00:00:00"/>
    <d v="2025-10-16T00:00:00"/>
    <n v="67533.83"/>
    <n v="-76"/>
    <n v="0"/>
    <n v="0"/>
    <n v="0"/>
    <n v="0"/>
    <n v="67533.83"/>
    <n v="0"/>
    <n v="0"/>
    <x v="247"/>
    <n v="0"/>
    <n v="0"/>
    <n v="0"/>
    <n v="0"/>
    <n v="0"/>
    <n v="0"/>
  </r>
  <r>
    <x v="61"/>
    <s v="000005317"/>
    <d v="2024-12-16T00:00:00"/>
    <d v="2025-10-16T00:00:00"/>
    <n v="21923.5"/>
    <n v="-76"/>
    <n v="0"/>
    <n v="0"/>
    <n v="0"/>
    <n v="0"/>
    <n v="21923.5"/>
    <n v="0"/>
    <n v="0"/>
    <x v="208"/>
    <n v="0"/>
    <n v="0"/>
    <n v="0"/>
    <n v="0"/>
    <n v="0"/>
    <n v="0"/>
  </r>
  <r>
    <x v="38"/>
    <s v="000005209"/>
    <d v="2024-12-04T00:00:00"/>
    <d v="2025-10-16T00:00:00"/>
    <n v="24260"/>
    <n v="-76"/>
    <n v="0"/>
    <n v="0"/>
    <n v="0"/>
    <n v="0"/>
    <n v="24260"/>
    <n v="0"/>
    <n v="0"/>
    <x v="152"/>
    <n v="0"/>
    <n v="0"/>
    <n v="0"/>
    <n v="0"/>
    <n v="0"/>
    <n v="0"/>
  </r>
  <r>
    <x v="76"/>
    <s v="000065364"/>
    <d v="2025-09-18T00:00:00"/>
    <d v="2025-10-18T00:00:00"/>
    <n v="12210"/>
    <n v="-74"/>
    <n v="0"/>
    <n v="0"/>
    <n v="0"/>
    <n v="0"/>
    <n v="12210"/>
    <n v="0"/>
    <n v="0"/>
    <x v="248"/>
    <n v="0"/>
    <n v="0"/>
    <n v="0"/>
    <n v="0"/>
    <n v="0"/>
    <n v="0"/>
  </r>
  <r>
    <x v="77"/>
    <s v="000011126"/>
    <d v="2025-07-21T00:00:00"/>
    <d v="2025-10-19T00:00:00"/>
    <n v="8023"/>
    <n v="-73"/>
    <n v="0"/>
    <n v="0"/>
    <n v="0"/>
    <n v="0"/>
    <n v="8023"/>
    <n v="0"/>
    <n v="0"/>
    <x v="249"/>
    <n v="0"/>
    <n v="0"/>
    <n v="0"/>
    <n v="0"/>
    <n v="0"/>
    <n v="0"/>
  </r>
  <r>
    <x v="75"/>
    <s v="000011471"/>
    <d v="2025-08-20T00:00:00"/>
    <d v="2025-10-19T00:00:00"/>
    <n v="44637.2"/>
    <n v="-73"/>
    <n v="0"/>
    <n v="0"/>
    <n v="0"/>
    <n v="0"/>
    <n v="44637.2"/>
    <n v="0"/>
    <n v="0"/>
    <x v="250"/>
    <n v="0"/>
    <n v="0"/>
    <n v="0"/>
    <n v="0"/>
    <n v="0"/>
    <n v="0"/>
  </r>
  <r>
    <x v="63"/>
    <s v="000056098"/>
    <d v="2025-07-21T00:00:00"/>
    <d v="2025-10-20T00:00:00"/>
    <n v="41545"/>
    <n v="-72"/>
    <n v="0"/>
    <n v="0"/>
    <n v="0"/>
    <n v="0"/>
    <n v="41545"/>
    <n v="0"/>
    <n v="0"/>
    <x v="226"/>
    <n v="0"/>
    <n v="0"/>
    <n v="0"/>
    <n v="0"/>
    <n v="0"/>
    <n v="0"/>
  </r>
  <r>
    <x v="67"/>
    <s v="000011144"/>
    <d v="2025-07-22T00:00:00"/>
    <d v="2025-10-20T00:00:00"/>
    <n v="8700"/>
    <n v="-72"/>
    <n v="0"/>
    <n v="0"/>
    <n v="0"/>
    <n v="0"/>
    <n v="8700"/>
    <n v="0"/>
    <n v="0"/>
    <x v="251"/>
    <n v="0"/>
    <n v="0"/>
    <n v="0"/>
    <n v="0"/>
    <n v="0"/>
    <n v="0"/>
  </r>
  <r>
    <x v="67"/>
    <s v="000011145"/>
    <d v="2025-07-22T00:00:00"/>
    <d v="2025-10-20T00:00:00"/>
    <n v="9080"/>
    <n v="-72"/>
    <n v="0"/>
    <n v="0"/>
    <n v="0"/>
    <n v="0"/>
    <n v="9080"/>
    <n v="0"/>
    <n v="0"/>
    <x v="252"/>
    <n v="0"/>
    <n v="0"/>
    <n v="0"/>
    <n v="0"/>
    <n v="0"/>
    <n v="0"/>
  </r>
  <r>
    <x v="67"/>
    <s v="000011146"/>
    <d v="2025-07-22T00:00:00"/>
    <d v="2025-10-20T00:00:00"/>
    <n v="7000"/>
    <n v="-72"/>
    <n v="0"/>
    <n v="0"/>
    <n v="0"/>
    <n v="0"/>
    <n v="7000"/>
    <n v="0"/>
    <n v="0"/>
    <x v="35"/>
    <n v="0"/>
    <n v="0"/>
    <n v="0"/>
    <n v="0"/>
    <n v="0"/>
    <n v="0"/>
  </r>
  <r>
    <x v="68"/>
    <s v="000064243"/>
    <d v="2025-08-21T00:00:00"/>
    <d v="2025-10-20T00:00:00"/>
    <n v="48750"/>
    <n v="-72"/>
    <n v="0"/>
    <n v="0"/>
    <n v="0"/>
    <n v="0"/>
    <n v="48750"/>
    <n v="0"/>
    <n v="0"/>
    <x v="228"/>
    <n v="0"/>
    <n v="0"/>
    <n v="0"/>
    <n v="0"/>
    <n v="0"/>
    <n v="0"/>
  </r>
  <r>
    <x v="69"/>
    <s v="000061116"/>
    <d v="2025-05-23T00:00:00"/>
    <d v="2025-10-20T00:00:00"/>
    <n v="4600"/>
    <n v="-72"/>
    <n v="0"/>
    <n v="0"/>
    <n v="0"/>
    <n v="0"/>
    <n v="4600"/>
    <n v="0"/>
    <n v="0"/>
    <x v="229"/>
    <n v="0"/>
    <n v="0"/>
    <n v="0"/>
    <n v="0"/>
    <n v="0"/>
    <n v="0"/>
  </r>
  <r>
    <x v="78"/>
    <s v="000062238"/>
    <d v="2025-06-23T00:00:00"/>
    <d v="2025-10-21T00:00:00"/>
    <n v="132300"/>
    <n v="-71"/>
    <n v="0"/>
    <n v="0"/>
    <n v="0"/>
    <n v="0"/>
    <n v="132300"/>
    <n v="0"/>
    <n v="0"/>
    <x v="253"/>
    <n v="0"/>
    <n v="0"/>
    <n v="0"/>
    <n v="0"/>
    <n v="0"/>
    <n v="0"/>
  </r>
  <r>
    <x v="42"/>
    <s v="000010838"/>
    <d v="2025-06-25T00:00:00"/>
    <d v="2025-10-21T00:00:00"/>
    <n v="38175"/>
    <n v="-71"/>
    <n v="0"/>
    <n v="0"/>
    <n v="0"/>
    <n v="0"/>
    <n v="38175"/>
    <n v="0"/>
    <n v="0"/>
    <x v="230"/>
    <n v="0"/>
    <n v="0"/>
    <n v="0"/>
    <n v="0"/>
    <n v="0"/>
    <n v="0"/>
  </r>
  <r>
    <x v="42"/>
    <s v="000011536"/>
    <d v="2025-08-22T00:00:00"/>
    <d v="2025-10-21T00:00:00"/>
    <n v="278460"/>
    <n v="-71"/>
    <n v="0"/>
    <n v="0"/>
    <n v="0"/>
    <n v="0"/>
    <n v="278460"/>
    <n v="0"/>
    <n v="0"/>
    <x v="254"/>
    <n v="0"/>
    <n v="0"/>
    <n v="0"/>
    <n v="0"/>
    <n v="0"/>
    <n v="0"/>
  </r>
  <r>
    <x v="79"/>
    <s v="000063136"/>
    <d v="2025-07-21T00:00:00"/>
    <d v="2025-10-22T00:00:00"/>
    <n v="42845"/>
    <n v="-70"/>
    <n v="0"/>
    <n v="0"/>
    <n v="0"/>
    <n v="0"/>
    <n v="42845"/>
    <n v="0"/>
    <n v="0"/>
    <x v="255"/>
    <n v="0"/>
    <n v="0"/>
    <n v="0"/>
    <n v="0"/>
    <n v="0"/>
    <n v="0"/>
  </r>
  <r>
    <x v="67"/>
    <s v="000011185"/>
    <d v="2025-07-28T00:00:00"/>
    <d v="2025-10-26T00:00:00"/>
    <n v="5990"/>
    <n v="-66"/>
    <n v="0"/>
    <n v="0"/>
    <n v="0"/>
    <n v="0"/>
    <n v="5990"/>
    <n v="0"/>
    <n v="0"/>
    <x v="256"/>
    <n v="0"/>
    <n v="0"/>
    <n v="0"/>
    <n v="0"/>
    <n v="0"/>
    <n v="0"/>
  </r>
  <r>
    <x v="67"/>
    <s v="000011186"/>
    <d v="2025-07-28T00:00:00"/>
    <d v="2025-10-26T00:00:00"/>
    <n v="7150"/>
    <n v="-66"/>
    <n v="0"/>
    <n v="0"/>
    <n v="0"/>
    <n v="0"/>
    <n v="7150"/>
    <n v="0"/>
    <n v="0"/>
    <x v="257"/>
    <n v="0"/>
    <n v="0"/>
    <n v="0"/>
    <n v="0"/>
    <n v="0"/>
    <n v="0"/>
  </r>
  <r>
    <x v="67"/>
    <s v="000011187"/>
    <d v="2025-07-28T00:00:00"/>
    <d v="2025-10-26T00:00:00"/>
    <n v="5910"/>
    <n v="-66"/>
    <n v="0"/>
    <n v="0"/>
    <n v="0"/>
    <n v="0"/>
    <n v="5910"/>
    <n v="0"/>
    <n v="0"/>
    <x v="224"/>
    <n v="0"/>
    <n v="0"/>
    <n v="0"/>
    <n v="0"/>
    <n v="0"/>
    <n v="0"/>
  </r>
  <r>
    <x v="67"/>
    <s v="000011188"/>
    <d v="2025-07-28T00:00:00"/>
    <d v="2025-10-26T00:00:00"/>
    <n v="5910"/>
    <n v="-66"/>
    <n v="0"/>
    <n v="0"/>
    <n v="0"/>
    <n v="0"/>
    <n v="5910"/>
    <n v="0"/>
    <n v="0"/>
    <x v="224"/>
    <n v="0"/>
    <n v="0"/>
    <n v="0"/>
    <n v="0"/>
    <n v="0"/>
    <n v="0"/>
  </r>
  <r>
    <x v="67"/>
    <s v="000011189"/>
    <d v="2025-07-28T00:00:00"/>
    <d v="2025-10-26T00:00:00"/>
    <n v="4100"/>
    <n v="-66"/>
    <n v="0"/>
    <n v="0"/>
    <n v="0"/>
    <n v="0"/>
    <n v="4100"/>
    <n v="0"/>
    <n v="0"/>
    <x v="225"/>
    <n v="0"/>
    <n v="0"/>
    <n v="0"/>
    <n v="0"/>
    <n v="0"/>
    <n v="0"/>
  </r>
  <r>
    <x v="39"/>
    <s v="000011228"/>
    <d v="2025-07-30T00:00:00"/>
    <d v="2025-10-28T00:00:00"/>
    <n v="31519.200000000001"/>
    <n v="-64"/>
    <n v="0"/>
    <n v="0"/>
    <n v="0"/>
    <n v="0"/>
    <n v="31519.200000000001"/>
    <n v="0"/>
    <n v="0"/>
    <x v="258"/>
    <n v="0"/>
    <n v="0"/>
    <n v="0"/>
    <n v="0"/>
    <n v="0"/>
    <n v="0"/>
  </r>
  <r>
    <x v="67"/>
    <s v="000011223"/>
    <d v="2025-07-30T00:00:00"/>
    <d v="2025-10-28T00:00:00"/>
    <n v="30"/>
    <n v="-64"/>
    <n v="0"/>
    <n v="0"/>
    <n v="0"/>
    <n v="0"/>
    <n v="30"/>
    <n v="0"/>
    <n v="0"/>
    <x v="259"/>
    <n v="0"/>
    <n v="0"/>
    <n v="0"/>
    <n v="0"/>
    <n v="0"/>
    <n v="0"/>
  </r>
  <r>
    <x v="67"/>
    <s v="000011225"/>
    <d v="2025-07-30T00:00:00"/>
    <d v="2025-10-28T00:00:00"/>
    <n v="4100"/>
    <n v="-64"/>
    <n v="0"/>
    <n v="0"/>
    <n v="0"/>
    <n v="0"/>
    <n v="4100"/>
    <n v="0"/>
    <n v="0"/>
    <x v="225"/>
    <n v="0"/>
    <n v="0"/>
    <n v="0"/>
    <n v="0"/>
    <n v="0"/>
    <n v="0"/>
  </r>
  <r>
    <x v="67"/>
    <s v="000011226"/>
    <d v="2025-07-30T00:00:00"/>
    <d v="2025-10-28T00:00:00"/>
    <n v="6000"/>
    <n v="-64"/>
    <n v="0"/>
    <n v="0"/>
    <n v="0"/>
    <n v="0"/>
    <n v="6000"/>
    <n v="0"/>
    <n v="0"/>
    <x v="223"/>
    <n v="0"/>
    <n v="0"/>
    <n v="0"/>
    <n v="0"/>
    <n v="0"/>
    <n v="0"/>
  </r>
  <r>
    <x v="67"/>
    <s v="000011227"/>
    <d v="2025-07-30T00:00:00"/>
    <d v="2025-10-28T00:00:00"/>
    <n v="300"/>
    <n v="-64"/>
    <n v="0"/>
    <n v="0"/>
    <n v="0"/>
    <n v="0"/>
    <n v="300"/>
    <n v="0"/>
    <n v="0"/>
    <x v="145"/>
    <n v="0"/>
    <n v="0"/>
    <n v="0"/>
    <n v="0"/>
    <n v="0"/>
    <n v="0"/>
  </r>
  <r>
    <x v="39"/>
    <s v="000011258"/>
    <d v="2025-07-31T00:00:00"/>
    <d v="2025-10-29T00:00:00"/>
    <n v="5668.7"/>
    <n v="-63"/>
    <n v="0"/>
    <n v="0"/>
    <n v="0"/>
    <n v="0"/>
    <n v="5668.7"/>
    <n v="0"/>
    <n v="0"/>
    <x v="260"/>
    <n v="0"/>
    <n v="0"/>
    <n v="0"/>
    <n v="0"/>
    <n v="0"/>
    <n v="0"/>
  </r>
  <r>
    <x v="67"/>
    <s v="000011253"/>
    <d v="2025-07-31T00:00:00"/>
    <d v="2025-10-29T00:00:00"/>
    <n v="5910"/>
    <n v="-63"/>
    <n v="0"/>
    <n v="0"/>
    <n v="0"/>
    <n v="0"/>
    <n v="5910"/>
    <n v="0"/>
    <n v="0"/>
    <x v="224"/>
    <n v="0"/>
    <n v="0"/>
    <n v="0"/>
    <n v="0"/>
    <n v="0"/>
    <n v="0"/>
  </r>
  <r>
    <x v="42"/>
    <s v="000011254"/>
    <d v="2025-07-31T00:00:00"/>
    <d v="2025-10-29T00:00:00"/>
    <n v="64541"/>
    <n v="-63"/>
    <n v="0"/>
    <n v="0"/>
    <n v="0"/>
    <n v="0"/>
    <n v="64541"/>
    <n v="0"/>
    <n v="0"/>
    <x v="261"/>
    <n v="0"/>
    <n v="0"/>
    <n v="0"/>
    <n v="0"/>
    <n v="0"/>
    <n v="0"/>
  </r>
  <r>
    <x v="42"/>
    <s v="000011260"/>
    <d v="2025-07-31T00:00:00"/>
    <d v="2025-10-29T00:00:00"/>
    <n v="5616"/>
    <n v="-63"/>
    <n v="0"/>
    <n v="0"/>
    <n v="0"/>
    <n v="0"/>
    <n v="5616"/>
    <n v="0"/>
    <n v="0"/>
    <x v="262"/>
    <n v="0"/>
    <n v="0"/>
    <n v="0"/>
    <n v="0"/>
    <n v="0"/>
    <n v="0"/>
  </r>
  <r>
    <x v="39"/>
    <s v="000011266"/>
    <d v="2025-08-01T00:00:00"/>
    <d v="2025-10-30T00:00:00"/>
    <n v="22672.36"/>
    <n v="-62"/>
    <n v="0"/>
    <n v="0"/>
    <n v="0"/>
    <n v="0"/>
    <n v="22672.36"/>
    <n v="0"/>
    <n v="0"/>
    <x v="263"/>
    <n v="0"/>
    <n v="0"/>
    <n v="0"/>
    <n v="0"/>
    <n v="0"/>
    <n v="0"/>
  </r>
  <r>
    <x v="39"/>
    <s v="000011267"/>
    <d v="2025-08-01T00:00:00"/>
    <d v="2025-10-30T00:00:00"/>
    <n v="5668.7"/>
    <n v="-62"/>
    <n v="0"/>
    <n v="0"/>
    <n v="0"/>
    <n v="0"/>
    <n v="5668.7"/>
    <n v="0"/>
    <n v="0"/>
    <x v="260"/>
    <n v="0"/>
    <n v="0"/>
    <n v="0"/>
    <n v="0"/>
    <n v="0"/>
    <n v="0"/>
  </r>
  <r>
    <x v="45"/>
    <s v="000065238"/>
    <d v="2025-09-15T00:00:00"/>
    <d v="2025-10-30T00:00:00"/>
    <n v="28240.38"/>
    <n v="-62"/>
    <n v="0"/>
    <n v="0"/>
    <n v="0"/>
    <n v="0"/>
    <n v="28240.38"/>
    <n v="0"/>
    <n v="0"/>
    <x v="264"/>
    <n v="0"/>
    <n v="0"/>
    <n v="0"/>
    <n v="0"/>
    <n v="0"/>
    <n v="0"/>
  </r>
  <r>
    <x v="42"/>
    <s v="000010584"/>
    <d v="2025-06-04T00:00:00"/>
    <d v="2025-10-30T00:00:00"/>
    <n v="38470"/>
    <n v="-62"/>
    <n v="0"/>
    <n v="0"/>
    <n v="0"/>
    <n v="0"/>
    <n v="38470"/>
    <n v="0"/>
    <n v="0"/>
    <x v="213"/>
    <n v="0"/>
    <n v="0"/>
    <n v="0"/>
    <n v="0"/>
    <n v="0"/>
    <n v="0"/>
  </r>
  <r>
    <x v="60"/>
    <s v="000064284"/>
    <d v="2025-08-22T00:00:00"/>
    <d v="2025-10-31T00:00:00"/>
    <n v="14300"/>
    <n v="-61"/>
    <n v="0"/>
    <n v="0"/>
    <n v="0"/>
    <n v="0"/>
    <n v="14300"/>
    <n v="0"/>
    <n v="0"/>
    <x v="221"/>
    <n v="0"/>
    <n v="0"/>
    <n v="0"/>
    <n v="0"/>
    <n v="0"/>
    <n v="0"/>
  </r>
  <r>
    <x v="72"/>
    <s v="000063638"/>
    <d v="2025-08-04T00:00:00"/>
    <d v="2025-11-02T00:00:00"/>
    <n v="41033.339999999997"/>
    <n v="-59"/>
    <n v="0"/>
    <n v="0"/>
    <n v="0"/>
    <n v="0"/>
    <n v="0"/>
    <n v="41033.339999999997"/>
    <n v="0"/>
    <x v="265"/>
    <n v="0"/>
    <n v="0"/>
    <n v="0"/>
    <n v="0"/>
    <n v="0"/>
    <n v="0"/>
  </r>
  <r>
    <x v="42"/>
    <s v="000010669"/>
    <d v="2025-06-11T00:00:00"/>
    <d v="2025-11-02T00:00:00"/>
    <n v="56271.67"/>
    <n v="-59"/>
    <n v="0"/>
    <n v="0"/>
    <n v="0"/>
    <n v="0"/>
    <n v="0"/>
    <n v="56271.67"/>
    <n v="0"/>
    <x v="215"/>
    <n v="0"/>
    <n v="0"/>
    <n v="0"/>
    <n v="0"/>
    <n v="0"/>
    <n v="0"/>
  </r>
  <r>
    <x v="80"/>
    <s v="000012090"/>
    <d v="2025-10-07T00:00:00"/>
    <d v="2025-11-04T00:00:00"/>
    <n v="3040"/>
    <n v="-57"/>
    <n v="0"/>
    <n v="0"/>
    <n v="0"/>
    <n v="0"/>
    <n v="0"/>
    <n v="3040"/>
    <n v="0"/>
    <x v="266"/>
    <n v="0"/>
    <n v="0"/>
    <n v="0"/>
    <n v="0"/>
    <n v="0"/>
    <n v="0"/>
  </r>
  <r>
    <x v="80"/>
    <s v="000012091"/>
    <d v="2025-10-07T00:00:00"/>
    <d v="2025-11-04T00:00:00"/>
    <n v="23125"/>
    <n v="-57"/>
    <n v="0"/>
    <n v="0"/>
    <n v="0"/>
    <n v="0"/>
    <n v="0"/>
    <n v="23125"/>
    <n v="0"/>
    <x v="267"/>
    <n v="0"/>
    <n v="0"/>
    <n v="0"/>
    <n v="0"/>
    <n v="0"/>
    <n v="0"/>
  </r>
  <r>
    <x v="42"/>
    <s v="000011353"/>
    <d v="2025-08-08T00:00:00"/>
    <d v="2025-11-06T00:00:00"/>
    <n v="123101.62"/>
    <n v="-55"/>
    <n v="0"/>
    <n v="0"/>
    <n v="0"/>
    <n v="0"/>
    <n v="0"/>
    <n v="123101.62"/>
    <n v="0"/>
    <x v="268"/>
    <n v="0"/>
    <n v="0"/>
    <n v="0"/>
    <n v="0"/>
    <n v="0"/>
    <n v="0"/>
  </r>
  <r>
    <x v="42"/>
    <s v="000010690"/>
    <d v="2025-06-11T00:00:00"/>
    <d v="2025-11-08T00:00:00"/>
    <n v="38136.660000000003"/>
    <n v="-53"/>
    <n v="0"/>
    <n v="0"/>
    <n v="0"/>
    <n v="0"/>
    <n v="0"/>
    <n v="38136.660000000003"/>
    <n v="0"/>
    <x v="244"/>
    <n v="0"/>
    <n v="0"/>
    <n v="0"/>
    <n v="0"/>
    <n v="0"/>
    <n v="0"/>
  </r>
  <r>
    <x v="42"/>
    <s v="000011417"/>
    <d v="2025-08-14T00:00:00"/>
    <d v="2025-11-09T00:00:00"/>
    <n v="59382.8"/>
    <n v="-52"/>
    <n v="0"/>
    <n v="0"/>
    <n v="0"/>
    <n v="0"/>
    <n v="0"/>
    <n v="59382.8"/>
    <n v="0"/>
    <x v="269"/>
    <n v="0"/>
    <n v="0"/>
    <n v="0"/>
    <n v="0"/>
    <n v="0"/>
    <n v="0"/>
  </r>
  <r>
    <x v="48"/>
    <s v="048398"/>
    <d v="2025-02-24T00:00:00"/>
    <d v="2025-11-10T00:00:00"/>
    <n v="4057.02"/>
    <n v="-51"/>
    <n v="0"/>
    <n v="0"/>
    <n v="0"/>
    <n v="0"/>
    <n v="0"/>
    <n v="4057.02"/>
    <n v="0"/>
    <x v="179"/>
    <n v="0"/>
    <n v="0"/>
    <n v="0"/>
    <n v="0"/>
    <n v="0"/>
    <n v="0"/>
  </r>
  <r>
    <x v="48"/>
    <s v="054077"/>
    <d v="2025-02-24T00:00:00"/>
    <d v="2025-11-10T00:00:00"/>
    <n v="6824.09"/>
    <n v="-51"/>
    <n v="0"/>
    <n v="0"/>
    <n v="0"/>
    <n v="0"/>
    <n v="0"/>
    <n v="6824.09"/>
    <n v="0"/>
    <x v="180"/>
    <n v="0"/>
    <n v="0"/>
    <n v="0"/>
    <n v="0"/>
    <n v="0"/>
    <n v="0"/>
  </r>
  <r>
    <x v="52"/>
    <s v="000063938"/>
    <d v="2025-08-13T00:00:00"/>
    <d v="2025-11-11T00:00:00"/>
    <n v="22873.200000000001"/>
    <n v="-50"/>
    <n v="0"/>
    <n v="0"/>
    <n v="0"/>
    <n v="0"/>
    <n v="0"/>
    <n v="22873.200000000001"/>
    <n v="0"/>
    <x v="270"/>
    <n v="0"/>
    <n v="0"/>
    <n v="0"/>
    <n v="0"/>
    <n v="0"/>
    <n v="0"/>
  </r>
  <r>
    <x v="81"/>
    <s v="000011398"/>
    <d v="2025-08-13T00:00:00"/>
    <d v="2025-11-11T00:00:00"/>
    <n v="9350"/>
    <n v="-50"/>
    <n v="0"/>
    <n v="0"/>
    <n v="0"/>
    <n v="0"/>
    <n v="0"/>
    <n v="9350"/>
    <n v="0"/>
    <x v="271"/>
    <n v="0"/>
    <n v="0"/>
    <n v="0"/>
    <n v="0"/>
    <n v="0"/>
    <n v="0"/>
  </r>
  <r>
    <x v="81"/>
    <s v="000011399"/>
    <d v="2025-08-13T00:00:00"/>
    <d v="2025-11-11T00:00:00"/>
    <n v="9350"/>
    <n v="-50"/>
    <n v="0"/>
    <n v="0"/>
    <n v="0"/>
    <n v="0"/>
    <n v="0"/>
    <n v="9350"/>
    <n v="0"/>
    <x v="271"/>
    <n v="0"/>
    <n v="0"/>
    <n v="0"/>
    <n v="0"/>
    <n v="0"/>
    <n v="0"/>
  </r>
  <r>
    <x v="81"/>
    <s v="000011400"/>
    <d v="2025-08-13T00:00:00"/>
    <d v="2025-11-11T00:00:00"/>
    <n v="24225"/>
    <n v="-50"/>
    <n v="0"/>
    <n v="0"/>
    <n v="0"/>
    <n v="0"/>
    <n v="0"/>
    <n v="24225"/>
    <n v="0"/>
    <x v="272"/>
    <n v="0"/>
    <n v="0"/>
    <n v="0"/>
    <n v="0"/>
    <n v="0"/>
    <n v="0"/>
  </r>
  <r>
    <x v="42"/>
    <s v="000011760"/>
    <d v="2025-09-12T00:00:00"/>
    <d v="2025-11-11T00:00:00"/>
    <n v="5120"/>
    <n v="-50"/>
    <n v="0"/>
    <n v="0"/>
    <n v="0"/>
    <n v="0"/>
    <n v="0"/>
    <n v="5120"/>
    <n v="0"/>
    <x v="241"/>
    <n v="0"/>
    <n v="0"/>
    <n v="0"/>
    <n v="0"/>
    <n v="0"/>
    <n v="0"/>
  </r>
  <r>
    <x v="60"/>
    <s v="000064284"/>
    <d v="2025-08-22T00:00:00"/>
    <d v="2025-11-14T00:00:00"/>
    <n v="14300"/>
    <n v="-47"/>
    <n v="0"/>
    <n v="0"/>
    <n v="0"/>
    <n v="0"/>
    <n v="0"/>
    <n v="14300"/>
    <n v="0"/>
    <x v="221"/>
    <n v="0"/>
    <n v="0"/>
    <n v="0"/>
    <n v="0"/>
    <n v="0"/>
    <n v="0"/>
  </r>
  <r>
    <x v="82"/>
    <s v="000065237"/>
    <d v="2025-09-15T00:00:00"/>
    <d v="2025-11-14T00:00:00"/>
    <n v="189480"/>
    <n v="-47"/>
    <n v="0"/>
    <n v="0"/>
    <n v="0"/>
    <n v="0"/>
    <n v="0"/>
    <n v="189480"/>
    <n v="0"/>
    <x v="273"/>
    <n v="0"/>
    <n v="0"/>
    <n v="0"/>
    <n v="0"/>
    <n v="0"/>
    <n v="0"/>
  </r>
  <r>
    <x v="83"/>
    <s v="000011772"/>
    <d v="2025-09-15T00:00:00"/>
    <d v="2025-11-14T00:00:00"/>
    <n v="39364"/>
    <n v="-47"/>
    <n v="0"/>
    <n v="0"/>
    <n v="0"/>
    <n v="0"/>
    <n v="0"/>
    <n v="39364"/>
    <n v="0"/>
    <x v="274"/>
    <n v="0"/>
    <n v="0"/>
    <n v="0"/>
    <n v="0"/>
    <n v="0"/>
    <n v="0"/>
  </r>
  <r>
    <x v="83"/>
    <s v="000011773"/>
    <d v="2025-09-15T00:00:00"/>
    <d v="2025-11-14T00:00:00"/>
    <n v="39364"/>
    <n v="-47"/>
    <n v="0"/>
    <n v="0"/>
    <n v="0"/>
    <n v="0"/>
    <n v="0"/>
    <n v="39364"/>
    <n v="0"/>
    <x v="274"/>
    <n v="0"/>
    <n v="0"/>
    <n v="0"/>
    <n v="0"/>
    <n v="0"/>
    <n v="0"/>
  </r>
  <r>
    <x v="45"/>
    <s v="000065750"/>
    <d v="2025-10-01T00:00:00"/>
    <d v="2025-11-15T00:00:00"/>
    <n v="43508.800000000003"/>
    <n v="-46"/>
    <n v="0"/>
    <n v="0"/>
    <n v="0"/>
    <n v="0"/>
    <n v="0"/>
    <n v="43508.800000000003"/>
    <n v="0"/>
    <x v="190"/>
    <n v="0"/>
    <n v="0"/>
    <n v="0"/>
    <n v="0"/>
    <n v="0"/>
    <n v="0"/>
  </r>
  <r>
    <x v="45"/>
    <s v="000065761"/>
    <d v="2025-10-01T00:00:00"/>
    <d v="2025-11-15T00:00:00"/>
    <n v="61625.11"/>
    <n v="-46"/>
    <n v="0"/>
    <n v="0"/>
    <n v="0"/>
    <n v="0"/>
    <n v="0"/>
    <n v="61625.11"/>
    <n v="0"/>
    <x v="275"/>
    <n v="0"/>
    <n v="0"/>
    <n v="0"/>
    <n v="0"/>
    <n v="0"/>
    <n v="0"/>
  </r>
  <r>
    <x v="84"/>
    <s v="000066117"/>
    <d v="2025-10-13T00:00:00"/>
    <d v="2025-11-15T00:00:00"/>
    <n v="10800"/>
    <n v="-46"/>
    <n v="0"/>
    <n v="0"/>
    <n v="0"/>
    <n v="0"/>
    <n v="0"/>
    <n v="10800"/>
    <n v="0"/>
    <x v="276"/>
    <n v="0"/>
    <n v="0"/>
    <n v="0"/>
    <n v="0"/>
    <n v="0"/>
    <n v="0"/>
  </r>
  <r>
    <x v="42"/>
    <s v="000011148"/>
    <d v="2025-07-22T00:00:00"/>
    <d v="2025-11-15T00:00:00"/>
    <n v="67533.83"/>
    <n v="-46"/>
    <n v="0"/>
    <n v="0"/>
    <n v="0"/>
    <n v="0"/>
    <n v="0"/>
    <n v="67533.83"/>
    <n v="0"/>
    <x v="247"/>
    <n v="0"/>
    <n v="0"/>
    <n v="0"/>
    <n v="0"/>
    <n v="0"/>
    <n v="0"/>
  </r>
  <r>
    <x v="83"/>
    <s v="000011822"/>
    <d v="2025-09-17T00:00:00"/>
    <d v="2025-11-16T00:00:00"/>
    <n v="40233"/>
    <n v="-45"/>
    <n v="0"/>
    <n v="0"/>
    <n v="0"/>
    <n v="0"/>
    <n v="0"/>
    <n v="40233"/>
    <n v="0"/>
    <x v="277"/>
    <n v="0"/>
    <n v="0"/>
    <n v="0"/>
    <n v="0"/>
    <n v="0"/>
    <n v="0"/>
  </r>
  <r>
    <x v="61"/>
    <s v="000005317"/>
    <d v="2024-12-16T00:00:00"/>
    <d v="2025-11-16T00:00:00"/>
    <n v="21923.5"/>
    <n v="-45"/>
    <n v="0"/>
    <n v="0"/>
    <n v="0"/>
    <n v="0"/>
    <n v="0"/>
    <n v="21923.5"/>
    <n v="0"/>
    <x v="208"/>
    <n v="0"/>
    <n v="0"/>
    <n v="0"/>
    <n v="0"/>
    <n v="0"/>
    <n v="0"/>
  </r>
  <r>
    <x v="38"/>
    <s v="000005209"/>
    <d v="2024-12-04T00:00:00"/>
    <d v="2025-11-16T00:00:00"/>
    <n v="24260"/>
    <n v="-45"/>
    <n v="0"/>
    <n v="0"/>
    <n v="0"/>
    <n v="0"/>
    <n v="0"/>
    <n v="24260"/>
    <n v="0"/>
    <x v="152"/>
    <n v="0"/>
    <n v="0"/>
    <n v="0"/>
    <n v="0"/>
    <n v="0"/>
    <n v="0"/>
  </r>
  <r>
    <x v="73"/>
    <s v="000012034"/>
    <d v="2025-10-03T00:00:00"/>
    <d v="2025-11-17T00:00:00"/>
    <n v="5740"/>
    <n v="-44"/>
    <n v="0"/>
    <n v="0"/>
    <n v="0"/>
    <n v="0"/>
    <n v="0"/>
    <n v="5740"/>
    <n v="0"/>
    <x v="278"/>
    <n v="0"/>
    <n v="0"/>
    <n v="0"/>
    <n v="0"/>
    <n v="0"/>
    <n v="0"/>
  </r>
  <r>
    <x v="73"/>
    <s v="000012035"/>
    <d v="2025-10-03T00:00:00"/>
    <d v="2025-11-17T00:00:00"/>
    <n v="5740"/>
    <n v="-44"/>
    <n v="0"/>
    <n v="0"/>
    <n v="0"/>
    <n v="0"/>
    <n v="0"/>
    <n v="5740"/>
    <n v="0"/>
    <x v="278"/>
    <n v="0"/>
    <n v="0"/>
    <n v="0"/>
    <n v="0"/>
    <n v="0"/>
    <n v="0"/>
  </r>
  <r>
    <x v="73"/>
    <s v="000012036"/>
    <d v="2025-10-03T00:00:00"/>
    <d v="2025-11-17T00:00:00"/>
    <n v="30712.45"/>
    <n v="-44"/>
    <n v="0"/>
    <n v="0"/>
    <n v="0"/>
    <n v="0"/>
    <n v="0"/>
    <n v="30712.45"/>
    <n v="0"/>
    <x v="279"/>
    <n v="0"/>
    <n v="0"/>
    <n v="0"/>
    <n v="0"/>
    <n v="0"/>
    <n v="0"/>
  </r>
  <r>
    <x v="73"/>
    <s v="000012037"/>
    <d v="2025-10-03T00:00:00"/>
    <d v="2025-11-17T00:00:00"/>
    <n v="5240"/>
    <n v="-44"/>
    <n v="0"/>
    <n v="0"/>
    <n v="0"/>
    <n v="0"/>
    <n v="0"/>
    <n v="5240"/>
    <n v="0"/>
    <x v="280"/>
    <n v="0"/>
    <n v="0"/>
    <n v="0"/>
    <n v="0"/>
    <n v="0"/>
    <n v="0"/>
  </r>
  <r>
    <x v="73"/>
    <s v="000012038"/>
    <d v="2025-10-03T00:00:00"/>
    <d v="2025-11-17T00:00:00"/>
    <n v="3840"/>
    <n v="-44"/>
    <n v="0"/>
    <n v="0"/>
    <n v="0"/>
    <n v="0"/>
    <n v="0"/>
    <n v="3840"/>
    <n v="0"/>
    <x v="238"/>
    <n v="0"/>
    <n v="0"/>
    <n v="0"/>
    <n v="0"/>
    <n v="0"/>
    <n v="0"/>
  </r>
  <r>
    <x v="73"/>
    <s v="000012043"/>
    <d v="2025-10-03T00:00:00"/>
    <d v="2025-11-17T00:00:00"/>
    <n v="6920"/>
    <n v="-44"/>
    <n v="0"/>
    <n v="0"/>
    <n v="0"/>
    <n v="0"/>
    <n v="0"/>
    <n v="6920"/>
    <n v="0"/>
    <x v="281"/>
    <n v="0"/>
    <n v="0"/>
    <n v="0"/>
    <n v="0"/>
    <n v="0"/>
    <n v="0"/>
  </r>
  <r>
    <x v="73"/>
    <s v="000012044"/>
    <d v="2025-10-03T00:00:00"/>
    <d v="2025-11-17T00:00:00"/>
    <n v="7100"/>
    <n v="-44"/>
    <n v="0"/>
    <n v="0"/>
    <n v="0"/>
    <n v="0"/>
    <n v="0"/>
    <n v="7100"/>
    <n v="0"/>
    <x v="282"/>
    <n v="0"/>
    <n v="0"/>
    <n v="0"/>
    <n v="0"/>
    <n v="0"/>
    <n v="0"/>
  </r>
  <r>
    <x v="42"/>
    <s v="000011857"/>
    <d v="2025-09-19T00:00:00"/>
    <d v="2025-11-17T00:00:00"/>
    <n v="26967.43"/>
    <n v="-44"/>
    <n v="0"/>
    <n v="0"/>
    <n v="0"/>
    <n v="0"/>
    <n v="0"/>
    <n v="26967.43"/>
    <n v="0"/>
    <x v="283"/>
    <n v="0"/>
    <n v="0"/>
    <n v="0"/>
    <n v="0"/>
    <n v="0"/>
    <n v="0"/>
  </r>
  <r>
    <x v="67"/>
    <s v="000011481"/>
    <d v="2025-08-20T00:00:00"/>
    <d v="2025-11-18T00:00:00"/>
    <n v="180"/>
    <n v="-43"/>
    <n v="0"/>
    <n v="0"/>
    <n v="0"/>
    <n v="0"/>
    <n v="0"/>
    <n v="180"/>
    <n v="0"/>
    <x v="284"/>
    <n v="0"/>
    <n v="0"/>
    <n v="0"/>
    <n v="0"/>
    <n v="0"/>
    <n v="0"/>
  </r>
  <r>
    <x v="67"/>
    <s v="000011482"/>
    <d v="2025-08-20T00:00:00"/>
    <d v="2025-11-18T00:00:00"/>
    <n v="5800"/>
    <n v="-43"/>
    <n v="0"/>
    <n v="0"/>
    <n v="0"/>
    <n v="0"/>
    <n v="0"/>
    <n v="5800"/>
    <n v="0"/>
    <x v="233"/>
    <n v="0"/>
    <n v="0"/>
    <n v="0"/>
    <n v="0"/>
    <n v="0"/>
    <n v="0"/>
  </r>
  <r>
    <x v="67"/>
    <s v="000011483"/>
    <d v="2025-08-20T00:00:00"/>
    <d v="2025-11-18T00:00:00"/>
    <n v="25290"/>
    <n v="-43"/>
    <n v="0"/>
    <n v="0"/>
    <n v="0"/>
    <n v="0"/>
    <n v="0"/>
    <n v="25290"/>
    <n v="0"/>
    <x v="285"/>
    <n v="0"/>
    <n v="0"/>
    <n v="0"/>
    <n v="0"/>
    <n v="0"/>
    <n v="0"/>
  </r>
  <r>
    <x v="67"/>
    <s v="000011484"/>
    <d v="2025-08-20T00:00:00"/>
    <d v="2025-11-18T00:00:00"/>
    <n v="22380"/>
    <n v="-43"/>
    <n v="0"/>
    <n v="0"/>
    <n v="0"/>
    <n v="0"/>
    <n v="0"/>
    <n v="22380"/>
    <n v="0"/>
    <x v="286"/>
    <n v="0"/>
    <n v="0"/>
    <n v="0"/>
    <n v="0"/>
    <n v="0"/>
    <n v="0"/>
  </r>
  <r>
    <x v="67"/>
    <s v="000011486"/>
    <d v="2025-08-20T00:00:00"/>
    <d v="2025-11-18T00:00:00"/>
    <n v="22280"/>
    <n v="-43"/>
    <n v="0"/>
    <n v="0"/>
    <n v="0"/>
    <n v="0"/>
    <n v="0"/>
    <n v="22280"/>
    <n v="0"/>
    <x v="287"/>
    <n v="0"/>
    <n v="0"/>
    <n v="0"/>
    <n v="0"/>
    <n v="0"/>
    <n v="0"/>
  </r>
  <r>
    <x v="67"/>
    <s v="000011488"/>
    <d v="2025-08-20T00:00:00"/>
    <d v="2025-11-18T00:00:00"/>
    <n v="22690"/>
    <n v="-43"/>
    <n v="0"/>
    <n v="0"/>
    <n v="0"/>
    <n v="0"/>
    <n v="0"/>
    <n v="22690"/>
    <n v="0"/>
    <x v="288"/>
    <n v="0"/>
    <n v="0"/>
    <n v="0"/>
    <n v="0"/>
    <n v="0"/>
    <n v="0"/>
  </r>
  <r>
    <x v="42"/>
    <s v="000011854"/>
    <d v="2025-09-19T00:00:00"/>
    <d v="2025-11-18T00:00:00"/>
    <n v="16157.43"/>
    <n v="-43"/>
    <n v="0"/>
    <n v="0"/>
    <n v="0"/>
    <n v="0"/>
    <n v="0"/>
    <n v="16157.43"/>
    <n v="0"/>
    <x v="289"/>
    <n v="0"/>
    <n v="0"/>
    <n v="0"/>
    <n v="0"/>
    <n v="0"/>
    <n v="0"/>
  </r>
  <r>
    <x v="42"/>
    <s v="000011855"/>
    <d v="2025-09-19T00:00:00"/>
    <d v="2025-11-18T00:00:00"/>
    <n v="15157.43"/>
    <n v="-43"/>
    <n v="0"/>
    <n v="0"/>
    <n v="0"/>
    <n v="0"/>
    <n v="0"/>
    <n v="15157.43"/>
    <n v="0"/>
    <x v="290"/>
    <n v="0"/>
    <n v="0"/>
    <n v="0"/>
    <n v="0"/>
    <n v="0"/>
    <n v="0"/>
  </r>
  <r>
    <x v="42"/>
    <s v="000011856"/>
    <d v="2025-09-19T00:00:00"/>
    <d v="2025-11-18T00:00:00"/>
    <n v="21767.43"/>
    <n v="-43"/>
    <n v="0"/>
    <n v="0"/>
    <n v="0"/>
    <n v="0"/>
    <n v="0"/>
    <n v="21767.43"/>
    <n v="0"/>
    <x v="291"/>
    <n v="0"/>
    <n v="0"/>
    <n v="0"/>
    <n v="0"/>
    <n v="0"/>
    <n v="0"/>
  </r>
  <r>
    <x v="42"/>
    <s v="000011878"/>
    <d v="2025-09-22T00:00:00"/>
    <d v="2025-11-18T00:00:00"/>
    <n v="7787.43"/>
    <n v="-43"/>
    <n v="0"/>
    <n v="0"/>
    <n v="0"/>
    <n v="0"/>
    <n v="0"/>
    <n v="7787.43"/>
    <n v="0"/>
    <x v="292"/>
    <n v="0"/>
    <n v="0"/>
    <n v="0"/>
    <n v="0"/>
    <n v="0"/>
    <n v="0"/>
  </r>
  <r>
    <x v="68"/>
    <s v="000064243"/>
    <d v="2025-08-21T00:00:00"/>
    <d v="2025-11-19T00:00:00"/>
    <n v="48750"/>
    <n v="-42"/>
    <n v="0"/>
    <n v="0"/>
    <n v="0"/>
    <n v="0"/>
    <n v="0"/>
    <n v="48750"/>
    <n v="0"/>
    <x v="228"/>
    <n v="0"/>
    <n v="0"/>
    <n v="0"/>
    <n v="0"/>
    <n v="0"/>
    <n v="0"/>
  </r>
  <r>
    <x v="69"/>
    <s v="000061116"/>
    <d v="2025-05-23T00:00:00"/>
    <d v="2025-11-19T00:00:00"/>
    <n v="4600"/>
    <n v="-42"/>
    <n v="0"/>
    <n v="0"/>
    <n v="0"/>
    <n v="0"/>
    <n v="0"/>
    <n v="4600"/>
    <n v="0"/>
    <x v="229"/>
    <n v="0"/>
    <n v="0"/>
    <n v="0"/>
    <n v="0"/>
    <n v="0"/>
    <n v="0"/>
  </r>
  <r>
    <x v="42"/>
    <s v="000011517"/>
    <d v="2025-08-21T00:00:00"/>
    <d v="2025-11-19T00:00:00"/>
    <n v="5120"/>
    <n v="-42"/>
    <n v="0"/>
    <n v="0"/>
    <n v="0"/>
    <n v="0"/>
    <n v="0"/>
    <n v="5120"/>
    <n v="0"/>
    <x v="241"/>
    <n v="0"/>
    <n v="0"/>
    <n v="0"/>
    <n v="0"/>
    <n v="0"/>
    <n v="0"/>
  </r>
  <r>
    <x v="63"/>
    <s v="000056098"/>
    <d v="2025-07-21T00:00:00"/>
    <d v="2025-11-20T00:00:00"/>
    <n v="41545"/>
    <n v="-41"/>
    <n v="0"/>
    <n v="0"/>
    <n v="0"/>
    <n v="0"/>
    <n v="0"/>
    <n v="41545"/>
    <n v="0"/>
    <x v="226"/>
    <n v="0"/>
    <n v="0"/>
    <n v="0"/>
    <n v="0"/>
    <n v="0"/>
    <n v="0"/>
  </r>
  <r>
    <x v="34"/>
    <s v="000063937"/>
    <d v="2025-08-13T00:00:00"/>
    <d v="2025-11-20T00:00:00"/>
    <n v="27483"/>
    <n v="-41"/>
    <n v="0"/>
    <n v="0"/>
    <n v="0"/>
    <n v="0"/>
    <n v="0"/>
    <n v="27483"/>
    <n v="0"/>
    <x v="293"/>
    <n v="0"/>
    <n v="0"/>
    <n v="0"/>
    <n v="0"/>
    <n v="0"/>
    <n v="0"/>
  </r>
  <r>
    <x v="55"/>
    <s v="000063306"/>
    <d v="2025-07-24T00:00:00"/>
    <d v="2025-11-21T00:00:00"/>
    <n v="42922.45"/>
    <n v="-40"/>
    <n v="0"/>
    <n v="0"/>
    <n v="0"/>
    <n v="0"/>
    <n v="0"/>
    <n v="42922.45"/>
    <n v="0"/>
    <x v="294"/>
    <n v="0"/>
    <n v="0"/>
    <n v="0"/>
    <n v="0"/>
    <n v="0"/>
    <n v="0"/>
  </r>
  <r>
    <x v="42"/>
    <s v="000011922"/>
    <d v="2025-09-25T00:00:00"/>
    <d v="2025-11-23T00:00:00"/>
    <n v="10757.43"/>
    <n v="-38"/>
    <n v="0"/>
    <n v="0"/>
    <n v="0"/>
    <n v="0"/>
    <n v="0"/>
    <n v="10757.43"/>
    <n v="0"/>
    <x v="295"/>
    <n v="0"/>
    <n v="0"/>
    <n v="0"/>
    <n v="0"/>
    <n v="0"/>
    <n v="0"/>
  </r>
  <r>
    <x v="67"/>
    <s v="000011595"/>
    <d v="2025-08-28T00:00:00"/>
    <d v="2025-11-26T00:00:00"/>
    <n v="6990"/>
    <n v="-35"/>
    <n v="0"/>
    <n v="0"/>
    <n v="0"/>
    <n v="0"/>
    <n v="0"/>
    <n v="6990"/>
    <n v="0"/>
    <x v="296"/>
    <n v="0"/>
    <n v="0"/>
    <n v="0"/>
    <n v="0"/>
    <n v="0"/>
    <n v="0"/>
  </r>
  <r>
    <x v="67"/>
    <s v="000011597"/>
    <d v="2025-08-28T00:00:00"/>
    <d v="2025-11-26T00:00:00"/>
    <n v="5910"/>
    <n v="-35"/>
    <n v="0"/>
    <n v="0"/>
    <n v="0"/>
    <n v="0"/>
    <n v="0"/>
    <n v="5910"/>
    <n v="0"/>
    <x v="224"/>
    <n v="0"/>
    <n v="0"/>
    <n v="0"/>
    <n v="0"/>
    <n v="0"/>
    <n v="0"/>
  </r>
  <r>
    <x v="67"/>
    <s v="000011598"/>
    <d v="2025-08-28T00:00:00"/>
    <d v="2025-11-26T00:00:00"/>
    <n v="5190"/>
    <n v="-35"/>
    <n v="0"/>
    <n v="0"/>
    <n v="0"/>
    <n v="0"/>
    <n v="0"/>
    <n v="5190"/>
    <n v="0"/>
    <x v="297"/>
    <n v="0"/>
    <n v="0"/>
    <n v="0"/>
    <n v="0"/>
    <n v="0"/>
    <n v="0"/>
  </r>
  <r>
    <x v="67"/>
    <s v="000011599"/>
    <d v="2025-08-28T00:00:00"/>
    <d v="2025-11-26T00:00:00"/>
    <n v="4100"/>
    <n v="-35"/>
    <n v="0"/>
    <n v="0"/>
    <n v="0"/>
    <n v="0"/>
    <n v="0"/>
    <n v="4100"/>
    <n v="0"/>
    <x v="225"/>
    <n v="0"/>
    <n v="0"/>
    <n v="0"/>
    <n v="0"/>
    <n v="0"/>
    <n v="0"/>
  </r>
  <r>
    <x v="67"/>
    <s v="000011600"/>
    <d v="2025-08-28T00:00:00"/>
    <d v="2025-11-26T00:00:00"/>
    <n v="300"/>
    <n v="-35"/>
    <n v="0"/>
    <n v="0"/>
    <n v="0"/>
    <n v="0"/>
    <n v="0"/>
    <n v="300"/>
    <n v="0"/>
    <x v="145"/>
    <n v="0"/>
    <n v="0"/>
    <n v="0"/>
    <n v="0"/>
    <n v="0"/>
    <n v="0"/>
  </r>
  <r>
    <x v="67"/>
    <s v="000011601"/>
    <d v="2025-08-28T00:00:00"/>
    <d v="2025-11-26T00:00:00"/>
    <n v="5910"/>
    <n v="-35"/>
    <n v="0"/>
    <n v="0"/>
    <n v="0"/>
    <n v="0"/>
    <n v="0"/>
    <n v="5910"/>
    <n v="0"/>
    <x v="224"/>
    <n v="0"/>
    <n v="0"/>
    <n v="0"/>
    <n v="0"/>
    <n v="0"/>
    <n v="0"/>
  </r>
  <r>
    <x v="67"/>
    <s v="000011602"/>
    <d v="2025-08-28T00:00:00"/>
    <d v="2025-11-26T00:00:00"/>
    <n v="6000"/>
    <n v="-35"/>
    <n v="0"/>
    <n v="0"/>
    <n v="0"/>
    <n v="0"/>
    <n v="0"/>
    <n v="6000"/>
    <n v="0"/>
    <x v="223"/>
    <n v="0"/>
    <n v="0"/>
    <n v="0"/>
    <n v="0"/>
    <n v="0"/>
    <n v="0"/>
  </r>
  <r>
    <x v="67"/>
    <s v="000011603"/>
    <d v="2025-08-28T00:00:00"/>
    <d v="2025-11-26T00:00:00"/>
    <n v="4100"/>
    <n v="-35"/>
    <n v="0"/>
    <n v="0"/>
    <n v="0"/>
    <n v="0"/>
    <n v="0"/>
    <n v="4100"/>
    <n v="0"/>
    <x v="225"/>
    <n v="0"/>
    <n v="0"/>
    <n v="0"/>
    <n v="0"/>
    <n v="0"/>
    <n v="0"/>
  </r>
  <r>
    <x v="67"/>
    <s v="000011604"/>
    <d v="2025-08-28T00:00:00"/>
    <d v="2025-11-26T00:00:00"/>
    <n v="4100"/>
    <n v="-35"/>
    <n v="0"/>
    <n v="0"/>
    <n v="0"/>
    <n v="0"/>
    <n v="0"/>
    <n v="4100"/>
    <n v="0"/>
    <x v="225"/>
    <n v="0"/>
    <n v="0"/>
    <n v="0"/>
    <n v="0"/>
    <n v="0"/>
    <n v="0"/>
  </r>
  <r>
    <x v="55"/>
    <s v="000063491"/>
    <d v="2025-07-31T00:00:00"/>
    <d v="2025-11-28T00:00:00"/>
    <n v="42308.56"/>
    <n v="-33"/>
    <n v="0"/>
    <n v="0"/>
    <n v="0"/>
    <n v="0"/>
    <n v="0"/>
    <n v="42308.56"/>
    <n v="0"/>
    <x v="203"/>
    <n v="0"/>
    <n v="0"/>
    <n v="0"/>
    <n v="0"/>
    <n v="0"/>
    <n v="0"/>
  </r>
  <r>
    <x v="42"/>
    <s v="000011254"/>
    <d v="2025-07-31T00:00:00"/>
    <d v="2025-11-28T00:00:00"/>
    <n v="64541"/>
    <n v="-33"/>
    <n v="0"/>
    <n v="0"/>
    <n v="0"/>
    <n v="0"/>
    <n v="0"/>
    <n v="64541"/>
    <n v="0"/>
    <x v="261"/>
    <n v="0"/>
    <n v="0"/>
    <n v="0"/>
    <n v="0"/>
    <n v="0"/>
    <n v="0"/>
  </r>
  <r>
    <x v="85"/>
    <s v="000065691"/>
    <d v="2025-09-30T00:00:00"/>
    <d v="2025-11-29T00:00:00"/>
    <n v="55467.43"/>
    <n v="-32"/>
    <n v="0"/>
    <n v="0"/>
    <n v="0"/>
    <n v="0"/>
    <n v="0"/>
    <n v="55467.43"/>
    <n v="0"/>
    <x v="127"/>
    <n v="0"/>
    <n v="0"/>
    <n v="0"/>
    <n v="0"/>
    <n v="0"/>
    <n v="0"/>
  </r>
  <r>
    <x v="86"/>
    <s v="000066729"/>
    <d v="2025-10-31T00:00:00"/>
    <d v="2025-11-30T00:00:00"/>
    <n v="18415"/>
    <n v="-31"/>
    <n v="0"/>
    <n v="0"/>
    <n v="0"/>
    <n v="0"/>
    <n v="0"/>
    <n v="18415"/>
    <n v="0"/>
    <x v="298"/>
    <n v="0"/>
    <n v="0"/>
    <n v="0"/>
    <n v="0"/>
    <n v="0"/>
    <n v="0"/>
  </r>
  <r>
    <x v="87"/>
    <s v="000011641"/>
    <d v="2025-09-01T00:00:00"/>
    <d v="2025-11-30T00:00:00"/>
    <n v="90000"/>
    <n v="-31"/>
    <n v="0"/>
    <n v="0"/>
    <n v="0"/>
    <n v="0"/>
    <n v="0"/>
    <n v="90000"/>
    <n v="0"/>
    <x v="299"/>
    <n v="0"/>
    <n v="0"/>
    <n v="0"/>
    <n v="0"/>
    <n v="0"/>
    <n v="0"/>
  </r>
  <r>
    <x v="88"/>
    <s v="000060741"/>
    <d v="2025-10-15T00:00:00"/>
    <d v="2025-11-30T00:00:00"/>
    <n v="14976.58"/>
    <n v="-31"/>
    <n v="0"/>
    <n v="0"/>
    <n v="0"/>
    <n v="0"/>
    <n v="0"/>
    <n v="14976.58"/>
    <n v="0"/>
    <x v="300"/>
    <n v="0"/>
    <n v="0"/>
    <n v="0"/>
    <n v="0"/>
    <n v="0"/>
    <n v="0"/>
  </r>
  <r>
    <x v="84"/>
    <s v="000066117"/>
    <d v="2025-10-13T00:00:00"/>
    <d v="2025-11-30T00:00:00"/>
    <n v="10800"/>
    <n v="-31"/>
    <n v="0"/>
    <n v="0"/>
    <n v="0"/>
    <n v="0"/>
    <n v="0"/>
    <n v="10800"/>
    <n v="0"/>
    <x v="276"/>
    <n v="0"/>
    <n v="0"/>
    <n v="0"/>
    <n v="0"/>
    <n v="0"/>
    <n v="0"/>
  </r>
  <r>
    <x v="42"/>
    <s v="000010585"/>
    <d v="2025-06-04T00:00:00"/>
    <d v="2025-11-30T00:00:00"/>
    <n v="57700"/>
    <n v="-31"/>
    <n v="0"/>
    <n v="0"/>
    <n v="0"/>
    <n v="0"/>
    <n v="0"/>
    <n v="57700"/>
    <n v="0"/>
    <x v="214"/>
    <n v="0"/>
    <n v="0"/>
    <n v="0"/>
    <n v="0"/>
    <n v="0"/>
    <n v="0"/>
  </r>
  <r>
    <x v="89"/>
    <s v="000064792"/>
    <d v="2025-09-02T00:00:00"/>
    <d v="2025-12-01T00:00:00"/>
    <n v="15570"/>
    <n v="-30"/>
    <n v="0"/>
    <n v="0"/>
    <n v="0"/>
    <n v="0"/>
    <n v="0"/>
    <n v="0"/>
    <n v="15570"/>
    <x v="301"/>
    <n v="0"/>
    <n v="0"/>
    <n v="0"/>
    <n v="0"/>
    <n v="0"/>
    <n v="0"/>
  </r>
  <r>
    <x v="89"/>
    <s v="000064793"/>
    <d v="2025-09-02T00:00:00"/>
    <d v="2025-12-01T00:00:00"/>
    <n v="69100"/>
    <n v="-30"/>
    <n v="0"/>
    <n v="0"/>
    <n v="0"/>
    <n v="0"/>
    <n v="0"/>
    <n v="0"/>
    <n v="69100"/>
    <x v="302"/>
    <n v="0"/>
    <n v="0"/>
    <n v="0"/>
    <n v="0"/>
    <n v="0"/>
    <n v="0"/>
  </r>
  <r>
    <x v="85"/>
    <s v="000065805"/>
    <d v="2025-10-02T00:00:00"/>
    <d v="2025-12-01T00:00:00"/>
    <n v="42922.54"/>
    <n v="-30"/>
    <n v="0"/>
    <n v="0"/>
    <n v="0"/>
    <n v="0"/>
    <n v="0"/>
    <n v="0"/>
    <n v="42922.54"/>
    <x v="303"/>
    <n v="0"/>
    <n v="0"/>
    <n v="0"/>
    <n v="0"/>
    <n v="0"/>
    <n v="0"/>
  </r>
  <r>
    <x v="81"/>
    <s v="000011644"/>
    <d v="2025-09-02T00:00:00"/>
    <d v="2025-12-01T00:00:00"/>
    <n v="36337.5"/>
    <n v="-30"/>
    <n v="0"/>
    <n v="0"/>
    <n v="0"/>
    <n v="0"/>
    <n v="0"/>
    <n v="0"/>
    <n v="36337.5"/>
    <x v="304"/>
    <n v="0"/>
    <n v="0"/>
    <n v="0"/>
    <n v="0"/>
    <n v="0"/>
    <n v="0"/>
  </r>
  <r>
    <x v="81"/>
    <s v="000011646"/>
    <d v="2025-09-02T00:00:00"/>
    <d v="2025-12-01T00:00:00"/>
    <n v="28237.5"/>
    <n v="-30"/>
    <n v="0"/>
    <n v="0"/>
    <n v="0"/>
    <n v="0"/>
    <n v="0"/>
    <n v="0"/>
    <n v="28237.5"/>
    <x v="305"/>
    <n v="0"/>
    <n v="0"/>
    <n v="0"/>
    <n v="0"/>
    <n v="0"/>
    <n v="0"/>
  </r>
  <r>
    <x v="81"/>
    <s v="000011647"/>
    <d v="2025-09-02T00:00:00"/>
    <d v="2025-12-01T00:00:00"/>
    <n v="43350"/>
    <n v="-30"/>
    <n v="0"/>
    <n v="0"/>
    <n v="0"/>
    <n v="0"/>
    <n v="0"/>
    <n v="0"/>
    <n v="43350"/>
    <x v="306"/>
    <n v="0"/>
    <n v="0"/>
    <n v="0"/>
    <n v="0"/>
    <n v="0"/>
    <n v="0"/>
  </r>
  <r>
    <x v="42"/>
    <s v="000012011"/>
    <d v="2025-10-02T00:00:00"/>
    <d v="2025-12-01T00:00:00"/>
    <n v="8810"/>
    <n v="-30"/>
    <n v="0"/>
    <n v="0"/>
    <n v="0"/>
    <n v="0"/>
    <n v="0"/>
    <n v="0"/>
    <n v="8810"/>
    <x v="307"/>
    <n v="0"/>
    <n v="0"/>
    <n v="0"/>
    <n v="0"/>
    <n v="0"/>
    <n v="0"/>
  </r>
  <r>
    <x v="42"/>
    <s v="000012014"/>
    <d v="2025-10-02T00:00:00"/>
    <d v="2025-12-01T00:00:00"/>
    <n v="12457.43"/>
    <n v="-30"/>
    <n v="0"/>
    <n v="0"/>
    <n v="0"/>
    <n v="0"/>
    <n v="0"/>
    <n v="0"/>
    <n v="12457.43"/>
    <x v="308"/>
    <n v="0"/>
    <n v="0"/>
    <n v="0"/>
    <n v="0"/>
    <n v="0"/>
    <n v="0"/>
  </r>
  <r>
    <x v="83"/>
    <s v="000012028"/>
    <d v="2025-10-03T00:00:00"/>
    <d v="2025-12-02T00:00:00"/>
    <n v="23154"/>
    <n v="-29"/>
    <n v="0"/>
    <n v="0"/>
    <n v="0"/>
    <n v="0"/>
    <n v="0"/>
    <n v="0"/>
    <n v="23154"/>
    <x v="309"/>
    <n v="0"/>
    <n v="0"/>
    <n v="0"/>
    <n v="0"/>
    <n v="0"/>
    <n v="0"/>
  </r>
  <r>
    <x v="83"/>
    <s v="000012029"/>
    <d v="2025-10-03T00:00:00"/>
    <d v="2025-12-02T00:00:00"/>
    <n v="24104"/>
    <n v="-29"/>
    <n v="0"/>
    <n v="0"/>
    <n v="0"/>
    <n v="0"/>
    <n v="0"/>
    <n v="0"/>
    <n v="24104"/>
    <x v="310"/>
    <n v="0"/>
    <n v="0"/>
    <n v="0"/>
    <n v="0"/>
    <n v="0"/>
    <n v="0"/>
  </r>
  <r>
    <x v="83"/>
    <s v="000012030"/>
    <d v="2025-10-03T00:00:00"/>
    <d v="2025-12-02T00:00:00"/>
    <n v="5968"/>
    <n v="-29"/>
    <n v="0"/>
    <n v="0"/>
    <n v="0"/>
    <n v="0"/>
    <n v="0"/>
    <n v="0"/>
    <n v="5968"/>
    <x v="311"/>
    <n v="0"/>
    <n v="0"/>
    <n v="0"/>
    <n v="0"/>
    <n v="0"/>
    <n v="0"/>
  </r>
  <r>
    <x v="83"/>
    <s v="000012031"/>
    <d v="2025-10-03T00:00:00"/>
    <d v="2025-12-02T00:00:00"/>
    <n v="37399"/>
    <n v="-29"/>
    <n v="0"/>
    <n v="0"/>
    <n v="0"/>
    <n v="0"/>
    <n v="0"/>
    <n v="0"/>
    <n v="37399"/>
    <x v="312"/>
    <n v="0"/>
    <n v="0"/>
    <n v="0"/>
    <n v="0"/>
    <n v="0"/>
    <n v="0"/>
  </r>
  <r>
    <x v="83"/>
    <s v="000012032"/>
    <d v="2025-10-03T00:00:00"/>
    <d v="2025-12-02T00:00:00"/>
    <n v="40033"/>
    <n v="-29"/>
    <n v="0"/>
    <n v="0"/>
    <n v="0"/>
    <n v="0"/>
    <n v="0"/>
    <n v="0"/>
    <n v="40033"/>
    <x v="313"/>
    <n v="0"/>
    <n v="0"/>
    <n v="0"/>
    <n v="0"/>
    <n v="0"/>
    <n v="0"/>
  </r>
  <r>
    <x v="83"/>
    <s v="000012033"/>
    <d v="2025-10-03T00:00:00"/>
    <d v="2025-12-02T00:00:00"/>
    <n v="22818"/>
    <n v="-29"/>
    <n v="0"/>
    <n v="0"/>
    <n v="0"/>
    <n v="0"/>
    <n v="0"/>
    <n v="0"/>
    <n v="22818"/>
    <x v="314"/>
    <n v="0"/>
    <n v="0"/>
    <n v="0"/>
    <n v="0"/>
    <n v="0"/>
    <n v="0"/>
  </r>
  <r>
    <x v="83"/>
    <s v="000012045"/>
    <d v="2025-10-03T00:00:00"/>
    <d v="2025-12-02T00:00:00"/>
    <n v="25458"/>
    <n v="-29"/>
    <n v="0"/>
    <n v="0"/>
    <n v="0"/>
    <n v="0"/>
    <n v="0"/>
    <n v="0"/>
    <n v="25458"/>
    <x v="315"/>
    <n v="0"/>
    <n v="0"/>
    <n v="0"/>
    <n v="0"/>
    <n v="0"/>
    <n v="0"/>
  </r>
  <r>
    <x v="83"/>
    <s v="000012046"/>
    <d v="2025-10-03T00:00:00"/>
    <d v="2025-12-02T00:00:00"/>
    <n v="35783"/>
    <n v="-29"/>
    <n v="0"/>
    <n v="0"/>
    <n v="0"/>
    <n v="0"/>
    <n v="0"/>
    <n v="0"/>
    <n v="35783"/>
    <x v="316"/>
    <n v="0"/>
    <n v="0"/>
    <n v="0"/>
    <n v="0"/>
    <n v="0"/>
    <n v="0"/>
  </r>
  <r>
    <x v="83"/>
    <s v="000012047"/>
    <d v="2025-10-03T00:00:00"/>
    <d v="2025-12-02T00:00:00"/>
    <n v="39364"/>
    <n v="-29"/>
    <n v="0"/>
    <n v="0"/>
    <n v="0"/>
    <n v="0"/>
    <n v="0"/>
    <n v="0"/>
    <n v="39364"/>
    <x v="274"/>
    <n v="0"/>
    <n v="0"/>
    <n v="0"/>
    <n v="0"/>
    <n v="0"/>
    <n v="0"/>
  </r>
  <r>
    <x v="83"/>
    <s v="000012049"/>
    <d v="2025-10-03T00:00:00"/>
    <d v="2025-12-02T00:00:00"/>
    <n v="31539"/>
    <n v="-29"/>
    <n v="0"/>
    <n v="0"/>
    <n v="0"/>
    <n v="0"/>
    <n v="0"/>
    <n v="0"/>
    <n v="31539"/>
    <x v="317"/>
    <n v="0"/>
    <n v="0"/>
    <n v="0"/>
    <n v="0"/>
    <n v="0"/>
    <n v="0"/>
  </r>
  <r>
    <x v="83"/>
    <s v="000012051"/>
    <d v="2025-10-03T00:00:00"/>
    <d v="2025-12-02T00:00:00"/>
    <n v="32208"/>
    <n v="-29"/>
    <n v="0"/>
    <n v="0"/>
    <n v="0"/>
    <n v="0"/>
    <n v="0"/>
    <n v="0"/>
    <n v="32208"/>
    <x v="318"/>
    <n v="0"/>
    <n v="0"/>
    <n v="0"/>
    <n v="0"/>
    <n v="0"/>
    <n v="0"/>
  </r>
  <r>
    <x v="83"/>
    <s v="000012052"/>
    <d v="2025-10-03T00:00:00"/>
    <d v="2025-12-02T00:00:00"/>
    <n v="35783"/>
    <n v="-29"/>
    <n v="0"/>
    <n v="0"/>
    <n v="0"/>
    <n v="0"/>
    <n v="0"/>
    <n v="0"/>
    <n v="35783"/>
    <x v="316"/>
    <n v="0"/>
    <n v="0"/>
    <n v="0"/>
    <n v="0"/>
    <n v="0"/>
    <n v="0"/>
  </r>
  <r>
    <x v="90"/>
    <s v="000063630"/>
    <d v="2025-08-04T00:00:00"/>
    <d v="2025-12-02T00:00:00"/>
    <n v="115314.53"/>
    <n v="-29"/>
    <n v="0"/>
    <n v="0"/>
    <n v="0"/>
    <n v="0"/>
    <n v="0"/>
    <n v="0"/>
    <n v="115314.53"/>
    <x v="319"/>
    <n v="0"/>
    <n v="0"/>
    <n v="0"/>
    <n v="0"/>
    <n v="0"/>
    <n v="0"/>
  </r>
  <r>
    <x v="81"/>
    <s v="000065869"/>
    <d v="2025-10-03T00:00:00"/>
    <d v="2025-12-02T00:00:00"/>
    <n v="43598.66"/>
    <n v="-29"/>
    <n v="0"/>
    <n v="0"/>
    <n v="0"/>
    <n v="0"/>
    <n v="0"/>
    <n v="0"/>
    <n v="43598.66"/>
    <x v="227"/>
    <n v="0"/>
    <n v="0"/>
    <n v="0"/>
    <n v="0"/>
    <n v="0"/>
    <n v="0"/>
  </r>
  <r>
    <x v="42"/>
    <s v="000010669"/>
    <d v="2025-06-11T00:00:00"/>
    <d v="2025-12-02T00:00:00"/>
    <n v="56271.67"/>
    <n v="-29"/>
    <n v="0"/>
    <n v="0"/>
    <n v="0"/>
    <n v="0"/>
    <n v="0"/>
    <n v="0"/>
    <n v="56271.67"/>
    <x v="215"/>
    <n v="0"/>
    <n v="0"/>
    <n v="0"/>
    <n v="0"/>
    <n v="0"/>
    <n v="0"/>
  </r>
  <r>
    <x v="42"/>
    <s v="000011678"/>
    <d v="2025-09-05T00:00:00"/>
    <d v="2025-12-02T00:00:00"/>
    <n v="49707.5"/>
    <n v="-29"/>
    <n v="0"/>
    <n v="0"/>
    <n v="0"/>
    <n v="0"/>
    <n v="0"/>
    <n v="0"/>
    <n v="49707.5"/>
    <x v="320"/>
    <n v="0"/>
    <n v="0"/>
    <n v="0"/>
    <n v="0"/>
    <n v="0"/>
    <n v="0"/>
  </r>
  <r>
    <x v="42"/>
    <s v="000011679"/>
    <d v="2025-09-05T00:00:00"/>
    <d v="2025-12-02T00:00:00"/>
    <n v="45480.44"/>
    <n v="-29"/>
    <n v="0"/>
    <n v="0"/>
    <n v="0"/>
    <n v="0"/>
    <n v="0"/>
    <n v="0"/>
    <n v="45480.44"/>
    <x v="321"/>
    <n v="0"/>
    <n v="0"/>
    <n v="0"/>
    <n v="0"/>
    <n v="0"/>
    <n v="0"/>
  </r>
  <r>
    <x v="67"/>
    <s v="000011672"/>
    <d v="2025-09-05T00:00:00"/>
    <d v="2025-12-04T00:00:00"/>
    <n v="8680"/>
    <n v="-27"/>
    <n v="0"/>
    <n v="0"/>
    <n v="0"/>
    <n v="0"/>
    <n v="0"/>
    <n v="0"/>
    <n v="8680"/>
    <x v="322"/>
    <n v="0"/>
    <n v="0"/>
    <n v="0"/>
    <n v="0"/>
    <n v="0"/>
    <n v="0"/>
  </r>
  <r>
    <x v="67"/>
    <s v="000011673"/>
    <d v="2025-09-05T00:00:00"/>
    <d v="2025-12-04T00:00:00"/>
    <n v="4100"/>
    <n v="-27"/>
    <n v="0"/>
    <n v="0"/>
    <n v="0"/>
    <n v="0"/>
    <n v="0"/>
    <n v="0"/>
    <n v="4100"/>
    <x v="225"/>
    <n v="0"/>
    <n v="0"/>
    <n v="0"/>
    <n v="0"/>
    <n v="0"/>
    <n v="0"/>
  </r>
  <r>
    <x v="67"/>
    <s v="000011674"/>
    <d v="2025-09-05T00:00:00"/>
    <d v="2025-12-04T00:00:00"/>
    <n v="4100"/>
    <n v="-27"/>
    <n v="0"/>
    <n v="0"/>
    <n v="0"/>
    <n v="0"/>
    <n v="0"/>
    <n v="0"/>
    <n v="4100"/>
    <x v="225"/>
    <n v="0"/>
    <n v="0"/>
    <n v="0"/>
    <n v="0"/>
    <n v="0"/>
    <n v="0"/>
  </r>
  <r>
    <x v="67"/>
    <s v="000011676"/>
    <d v="2025-09-05T00:00:00"/>
    <d v="2025-12-04T00:00:00"/>
    <n v="5910"/>
    <n v="-27"/>
    <n v="0"/>
    <n v="0"/>
    <n v="0"/>
    <n v="0"/>
    <n v="0"/>
    <n v="0"/>
    <n v="5910"/>
    <x v="224"/>
    <n v="0"/>
    <n v="0"/>
    <n v="0"/>
    <n v="0"/>
    <n v="0"/>
    <n v="0"/>
  </r>
  <r>
    <x v="67"/>
    <s v="000011677"/>
    <d v="2025-09-05T00:00:00"/>
    <d v="2025-12-04T00:00:00"/>
    <n v="4100"/>
    <n v="-27"/>
    <n v="0"/>
    <n v="0"/>
    <n v="0"/>
    <n v="0"/>
    <n v="0"/>
    <n v="0"/>
    <n v="4100"/>
    <x v="225"/>
    <n v="0"/>
    <n v="0"/>
    <n v="0"/>
    <n v="0"/>
    <n v="0"/>
    <n v="0"/>
  </r>
  <r>
    <x v="90"/>
    <s v="000063712"/>
    <d v="2025-08-06T00:00:00"/>
    <d v="2025-12-04T00:00:00"/>
    <n v="113314.53"/>
    <n v="-27"/>
    <n v="0"/>
    <n v="0"/>
    <n v="0"/>
    <n v="0"/>
    <n v="0"/>
    <n v="0"/>
    <n v="113314.53"/>
    <x v="323"/>
    <n v="0"/>
    <n v="0"/>
    <n v="0"/>
    <n v="0"/>
    <n v="0"/>
    <n v="0"/>
  </r>
  <r>
    <x v="90"/>
    <s v="000063713"/>
    <d v="2025-08-06T00:00:00"/>
    <d v="2025-12-04T00:00:00"/>
    <n v="113874.03"/>
    <n v="-27"/>
    <n v="0"/>
    <n v="0"/>
    <n v="0"/>
    <n v="0"/>
    <n v="0"/>
    <n v="0"/>
    <n v="113874.03"/>
    <x v="324"/>
    <n v="0"/>
    <n v="0"/>
    <n v="0"/>
    <n v="0"/>
    <n v="0"/>
    <n v="0"/>
  </r>
  <r>
    <x v="90"/>
    <s v="000063720"/>
    <d v="2025-08-06T00:00:00"/>
    <d v="2025-12-04T00:00:00"/>
    <n v="107858.53"/>
    <n v="-27"/>
    <n v="0"/>
    <n v="0"/>
    <n v="0"/>
    <n v="0"/>
    <n v="0"/>
    <n v="0"/>
    <n v="107858.53"/>
    <x v="325"/>
    <n v="0"/>
    <n v="0"/>
    <n v="0"/>
    <n v="0"/>
    <n v="0"/>
    <n v="0"/>
  </r>
  <r>
    <x v="36"/>
    <s v="000012061"/>
    <d v="2025-10-06T00:00:00"/>
    <d v="2025-12-05T00:00:00"/>
    <n v="16704.54"/>
    <n v="-26"/>
    <n v="0"/>
    <n v="0"/>
    <n v="0"/>
    <n v="0"/>
    <n v="0"/>
    <n v="0"/>
    <n v="16704.54"/>
    <x v="326"/>
    <n v="0"/>
    <n v="0"/>
    <n v="0"/>
    <n v="0"/>
    <n v="0"/>
    <n v="0"/>
  </r>
  <r>
    <x v="36"/>
    <s v="000012065"/>
    <d v="2025-10-06T00:00:00"/>
    <d v="2025-12-05T00:00:00"/>
    <n v="30078.91"/>
    <n v="-26"/>
    <n v="0"/>
    <n v="0"/>
    <n v="0"/>
    <n v="0"/>
    <n v="0"/>
    <n v="0"/>
    <n v="30078.91"/>
    <x v="327"/>
    <n v="0"/>
    <n v="0"/>
    <n v="0"/>
    <n v="0"/>
    <n v="0"/>
    <n v="0"/>
  </r>
  <r>
    <x v="36"/>
    <s v="000012067"/>
    <d v="2025-10-06T00:00:00"/>
    <d v="2025-12-05T00:00:00"/>
    <n v="32796.46"/>
    <n v="-26"/>
    <n v="0"/>
    <n v="0"/>
    <n v="0"/>
    <n v="0"/>
    <n v="0"/>
    <n v="0"/>
    <n v="32796.46"/>
    <x v="328"/>
    <n v="0"/>
    <n v="0"/>
    <n v="0"/>
    <n v="0"/>
    <n v="0"/>
    <n v="0"/>
  </r>
  <r>
    <x v="42"/>
    <s v="000012095"/>
    <d v="2025-10-08T00:00:00"/>
    <d v="2025-12-05T00:00:00"/>
    <n v="13457.43"/>
    <n v="-26"/>
    <n v="0"/>
    <n v="0"/>
    <n v="0"/>
    <n v="0"/>
    <n v="0"/>
    <n v="0"/>
    <n v="13457.43"/>
    <x v="329"/>
    <n v="0"/>
    <n v="0"/>
    <n v="0"/>
    <n v="0"/>
    <n v="0"/>
    <n v="0"/>
  </r>
  <r>
    <x v="36"/>
    <s v="000012076"/>
    <d v="2025-10-07T00:00:00"/>
    <d v="2025-12-06T00:00:00"/>
    <n v="34142.54"/>
    <n v="-25"/>
    <n v="0"/>
    <n v="0"/>
    <n v="0"/>
    <n v="0"/>
    <n v="0"/>
    <n v="0"/>
    <n v="34142.54"/>
    <x v="330"/>
    <n v="0"/>
    <n v="0"/>
    <n v="0"/>
    <n v="0"/>
    <n v="0"/>
    <n v="0"/>
  </r>
  <r>
    <x v="91"/>
    <s v="000067011"/>
    <d v="2025-11-06T00:00:00"/>
    <d v="2025-12-06T00:00:00"/>
    <n v="31613.34"/>
    <n v="-25"/>
    <n v="0"/>
    <n v="0"/>
    <n v="0"/>
    <n v="0"/>
    <n v="0"/>
    <n v="0"/>
    <n v="31613.34"/>
    <x v="331"/>
    <n v="0"/>
    <n v="0"/>
    <n v="0"/>
    <n v="0"/>
    <n v="0"/>
    <n v="0"/>
  </r>
  <r>
    <x v="83"/>
    <s v="000012109"/>
    <d v="2025-10-08T00:00:00"/>
    <d v="2025-12-07T00:00:00"/>
    <n v="6637"/>
    <n v="-24"/>
    <n v="0"/>
    <n v="0"/>
    <n v="0"/>
    <n v="0"/>
    <n v="0"/>
    <n v="0"/>
    <n v="6637"/>
    <x v="332"/>
    <n v="0"/>
    <n v="0"/>
    <n v="0"/>
    <n v="0"/>
    <n v="0"/>
    <n v="0"/>
  </r>
  <r>
    <x v="51"/>
    <s v="000067075"/>
    <d v="2025-11-10T00:00:00"/>
    <d v="2025-12-09T00:00:00"/>
    <n v="11450"/>
    <n v="-22"/>
    <n v="0"/>
    <n v="0"/>
    <n v="0"/>
    <n v="0"/>
    <n v="0"/>
    <n v="0"/>
    <n v="11450"/>
    <x v="333"/>
    <n v="0"/>
    <n v="0"/>
    <n v="0"/>
    <n v="0"/>
    <n v="0"/>
    <n v="0"/>
  </r>
  <r>
    <x v="42"/>
    <s v="000011417"/>
    <d v="2025-08-14T00:00:00"/>
    <d v="2025-12-09T00:00:00"/>
    <n v="59382.8"/>
    <n v="-22"/>
    <n v="0"/>
    <n v="0"/>
    <n v="0"/>
    <n v="0"/>
    <n v="0"/>
    <n v="0"/>
    <n v="59382.8"/>
    <x v="269"/>
    <n v="0"/>
    <n v="0"/>
    <n v="0"/>
    <n v="0"/>
    <n v="0"/>
    <n v="0"/>
  </r>
  <r>
    <x v="59"/>
    <s v="000202237"/>
    <d v="2022-06-09T00:00:00"/>
    <d v="2025-12-10T00:00:00"/>
    <n v="8102"/>
    <n v="-21"/>
    <n v="0"/>
    <n v="0"/>
    <n v="0"/>
    <n v="0"/>
    <n v="0"/>
    <n v="0"/>
    <n v="8102"/>
    <x v="205"/>
    <n v="0"/>
    <n v="0"/>
    <n v="0"/>
    <n v="0"/>
    <n v="0"/>
    <n v="0"/>
  </r>
  <r>
    <x v="92"/>
    <s v="000065150"/>
    <d v="2025-09-11T00:00:00"/>
    <d v="2025-12-10T00:00:00"/>
    <n v="97675"/>
    <n v="-21"/>
    <n v="0"/>
    <n v="0"/>
    <n v="0"/>
    <n v="0"/>
    <n v="0"/>
    <n v="0"/>
    <n v="97675"/>
    <x v="334"/>
    <n v="0"/>
    <n v="0"/>
    <n v="0"/>
    <n v="0"/>
    <n v="0"/>
    <n v="0"/>
  </r>
  <r>
    <x v="93"/>
    <s v="000065170"/>
    <d v="2025-09-11T00:00:00"/>
    <d v="2025-12-10T00:00:00"/>
    <n v="118600"/>
    <n v="-21"/>
    <n v="0"/>
    <n v="0"/>
    <n v="0"/>
    <n v="0"/>
    <n v="0"/>
    <n v="0"/>
    <n v="118600"/>
    <x v="335"/>
    <n v="0"/>
    <n v="0"/>
    <n v="0"/>
    <n v="0"/>
    <n v="0"/>
    <n v="0"/>
  </r>
  <r>
    <x v="48"/>
    <s v="048398"/>
    <d v="2025-02-24T00:00:00"/>
    <d v="2025-12-10T00:00:00"/>
    <n v="4057.02"/>
    <n v="-21"/>
    <n v="0"/>
    <n v="0"/>
    <n v="0"/>
    <n v="0"/>
    <n v="0"/>
    <n v="0"/>
    <n v="4057.02"/>
    <x v="179"/>
    <n v="0"/>
    <n v="0"/>
    <n v="0"/>
    <n v="0"/>
    <n v="0"/>
    <n v="0"/>
  </r>
  <r>
    <x v="48"/>
    <s v="054077"/>
    <d v="2025-02-24T00:00:00"/>
    <d v="2025-12-10T00:00:00"/>
    <n v="6824.09"/>
    <n v="-21"/>
    <n v="0"/>
    <n v="0"/>
    <n v="0"/>
    <n v="0"/>
    <n v="0"/>
    <n v="0"/>
    <n v="6824.09"/>
    <x v="180"/>
    <n v="0"/>
    <n v="0"/>
    <n v="0"/>
    <n v="0"/>
    <n v="0"/>
    <n v="0"/>
  </r>
  <r>
    <x v="18"/>
    <s v="000065204"/>
    <d v="2025-09-12T00:00:00"/>
    <d v="2025-12-11T00:00:00"/>
    <n v="14000"/>
    <n v="-20"/>
    <n v="0"/>
    <n v="0"/>
    <n v="0"/>
    <n v="0"/>
    <n v="0"/>
    <n v="0"/>
    <n v="14000"/>
    <x v="71"/>
    <n v="0"/>
    <n v="0"/>
    <n v="0"/>
    <n v="0"/>
    <n v="0"/>
    <n v="0"/>
  </r>
  <r>
    <x v="18"/>
    <s v="000065207"/>
    <d v="2025-09-12T00:00:00"/>
    <d v="2025-12-11T00:00:00"/>
    <n v="55200"/>
    <n v="-20"/>
    <n v="0"/>
    <n v="0"/>
    <n v="0"/>
    <n v="0"/>
    <n v="0"/>
    <n v="0"/>
    <n v="55200"/>
    <x v="336"/>
    <n v="0"/>
    <n v="0"/>
    <n v="0"/>
    <n v="0"/>
    <n v="0"/>
    <n v="0"/>
  </r>
  <r>
    <x v="73"/>
    <s v="000012327"/>
    <d v="2025-10-30T00:00:00"/>
    <d v="2025-12-14T00:00:00"/>
    <n v="3840"/>
    <n v="-17"/>
    <n v="0"/>
    <n v="0"/>
    <n v="0"/>
    <n v="0"/>
    <n v="0"/>
    <n v="0"/>
    <n v="3840"/>
    <x v="238"/>
    <n v="0"/>
    <n v="0"/>
    <n v="0"/>
    <n v="0"/>
    <n v="0"/>
    <n v="0"/>
  </r>
  <r>
    <x v="73"/>
    <s v="000012328"/>
    <d v="2025-10-30T00:00:00"/>
    <d v="2025-12-14T00:00:00"/>
    <n v="3840"/>
    <n v="-17"/>
    <n v="0"/>
    <n v="0"/>
    <n v="0"/>
    <n v="0"/>
    <n v="0"/>
    <n v="0"/>
    <n v="3840"/>
    <x v="238"/>
    <n v="0"/>
    <n v="0"/>
    <n v="0"/>
    <n v="0"/>
    <n v="0"/>
    <n v="0"/>
  </r>
  <r>
    <x v="73"/>
    <s v="000012329"/>
    <d v="2025-10-30T00:00:00"/>
    <d v="2025-12-14T00:00:00"/>
    <n v="32990"/>
    <n v="-17"/>
    <n v="0"/>
    <n v="0"/>
    <n v="0"/>
    <n v="0"/>
    <n v="0"/>
    <n v="0"/>
    <n v="32990"/>
    <x v="237"/>
    <n v="0"/>
    <n v="0"/>
    <n v="0"/>
    <n v="0"/>
    <n v="0"/>
    <n v="0"/>
  </r>
  <r>
    <x v="73"/>
    <s v="000012330"/>
    <d v="2025-10-30T00:00:00"/>
    <d v="2025-12-14T00:00:00"/>
    <n v="3840"/>
    <n v="-17"/>
    <n v="0"/>
    <n v="0"/>
    <n v="0"/>
    <n v="0"/>
    <n v="0"/>
    <n v="0"/>
    <n v="3840"/>
    <x v="238"/>
    <n v="0"/>
    <n v="0"/>
    <n v="0"/>
    <n v="0"/>
    <n v="0"/>
    <n v="0"/>
  </r>
  <r>
    <x v="73"/>
    <s v="000012331"/>
    <d v="2025-10-30T00:00:00"/>
    <d v="2025-12-14T00:00:00"/>
    <n v="6920"/>
    <n v="-17"/>
    <n v="0"/>
    <n v="0"/>
    <n v="0"/>
    <n v="0"/>
    <n v="0"/>
    <n v="0"/>
    <n v="6920"/>
    <x v="281"/>
    <n v="0"/>
    <n v="0"/>
    <n v="0"/>
    <n v="0"/>
    <n v="0"/>
    <n v="0"/>
  </r>
  <r>
    <x v="73"/>
    <s v="000012332"/>
    <d v="2025-10-30T00:00:00"/>
    <d v="2025-12-14T00:00:00"/>
    <n v="16840"/>
    <n v="-17"/>
    <n v="0"/>
    <n v="0"/>
    <n v="0"/>
    <n v="0"/>
    <n v="0"/>
    <n v="0"/>
    <n v="16840"/>
    <x v="337"/>
    <n v="0"/>
    <n v="0"/>
    <n v="0"/>
    <n v="0"/>
    <n v="0"/>
    <n v="0"/>
  </r>
  <r>
    <x v="73"/>
    <s v="000012333"/>
    <d v="2025-10-30T00:00:00"/>
    <d v="2025-12-14T00:00:00"/>
    <n v="12620"/>
    <n v="-17"/>
    <n v="0"/>
    <n v="0"/>
    <n v="0"/>
    <n v="0"/>
    <n v="0"/>
    <n v="0"/>
    <n v="12620"/>
    <x v="338"/>
    <n v="0"/>
    <n v="0"/>
    <n v="0"/>
    <n v="0"/>
    <n v="0"/>
    <n v="0"/>
  </r>
  <r>
    <x v="73"/>
    <s v="000012334"/>
    <d v="2025-10-30T00:00:00"/>
    <d v="2025-12-14T00:00:00"/>
    <n v="5740"/>
    <n v="-17"/>
    <n v="0"/>
    <n v="0"/>
    <n v="0"/>
    <n v="0"/>
    <n v="0"/>
    <n v="0"/>
    <n v="5740"/>
    <x v="278"/>
    <n v="0"/>
    <n v="0"/>
    <n v="0"/>
    <n v="0"/>
    <n v="0"/>
    <n v="0"/>
  </r>
  <r>
    <x v="84"/>
    <s v="000066117"/>
    <d v="2025-10-13T00:00:00"/>
    <d v="2025-12-15T00:00:00"/>
    <n v="10800"/>
    <n v="-16"/>
    <n v="0"/>
    <n v="0"/>
    <n v="0"/>
    <n v="0"/>
    <n v="0"/>
    <n v="0"/>
    <n v="10800"/>
    <x v="276"/>
    <n v="0"/>
    <n v="0"/>
    <n v="0"/>
    <n v="0"/>
    <n v="0"/>
    <n v="0"/>
  </r>
  <r>
    <x v="42"/>
    <s v="000011148"/>
    <d v="2025-07-22T00:00:00"/>
    <d v="2025-12-15T00:00:00"/>
    <n v="67533.83"/>
    <n v="-16"/>
    <n v="0"/>
    <n v="0"/>
    <n v="0"/>
    <n v="0"/>
    <n v="0"/>
    <n v="0"/>
    <n v="67533.83"/>
    <x v="247"/>
    <n v="0"/>
    <n v="0"/>
    <n v="0"/>
    <n v="0"/>
    <n v="0"/>
    <n v="0"/>
  </r>
  <r>
    <x v="67"/>
    <s v="000011811"/>
    <d v="2025-09-17T00:00:00"/>
    <d v="2025-12-16T00:00:00"/>
    <n v="4100"/>
    <n v="-15"/>
    <n v="0"/>
    <n v="0"/>
    <n v="0"/>
    <n v="0"/>
    <n v="0"/>
    <n v="0"/>
    <n v="4100"/>
    <x v="225"/>
    <n v="0"/>
    <n v="0"/>
    <n v="0"/>
    <n v="0"/>
    <n v="0"/>
    <n v="0"/>
  </r>
  <r>
    <x v="67"/>
    <s v="000011813"/>
    <d v="2025-09-17T00:00:00"/>
    <d v="2025-12-16T00:00:00"/>
    <n v="4100"/>
    <n v="-15"/>
    <n v="0"/>
    <n v="0"/>
    <n v="0"/>
    <n v="0"/>
    <n v="0"/>
    <n v="0"/>
    <n v="4100"/>
    <x v="225"/>
    <n v="0"/>
    <n v="0"/>
    <n v="0"/>
    <n v="0"/>
    <n v="0"/>
    <n v="0"/>
  </r>
  <r>
    <x v="67"/>
    <s v="000011814"/>
    <d v="2025-09-17T00:00:00"/>
    <d v="2025-12-16T00:00:00"/>
    <n v="4100"/>
    <n v="-15"/>
    <n v="0"/>
    <n v="0"/>
    <n v="0"/>
    <n v="0"/>
    <n v="0"/>
    <n v="0"/>
    <n v="4100"/>
    <x v="225"/>
    <n v="0"/>
    <n v="0"/>
    <n v="0"/>
    <n v="0"/>
    <n v="0"/>
    <n v="0"/>
  </r>
  <r>
    <x v="67"/>
    <s v="000011815"/>
    <d v="2025-09-17T00:00:00"/>
    <d v="2025-12-16T00:00:00"/>
    <n v="300"/>
    <n v="-15"/>
    <n v="0"/>
    <n v="0"/>
    <n v="0"/>
    <n v="0"/>
    <n v="0"/>
    <n v="0"/>
    <n v="300"/>
    <x v="145"/>
    <n v="0"/>
    <n v="0"/>
    <n v="0"/>
    <n v="0"/>
    <n v="0"/>
    <n v="0"/>
  </r>
  <r>
    <x v="67"/>
    <s v="000011816"/>
    <d v="2025-09-17T00:00:00"/>
    <d v="2025-12-16T00:00:00"/>
    <n v="4100"/>
    <n v="-15"/>
    <n v="0"/>
    <n v="0"/>
    <n v="0"/>
    <n v="0"/>
    <n v="0"/>
    <n v="0"/>
    <n v="4100"/>
    <x v="225"/>
    <n v="0"/>
    <n v="0"/>
    <n v="0"/>
    <n v="0"/>
    <n v="0"/>
    <n v="0"/>
  </r>
  <r>
    <x v="67"/>
    <s v="000011817"/>
    <d v="2025-09-17T00:00:00"/>
    <d v="2025-12-16T00:00:00"/>
    <n v="4100"/>
    <n v="-15"/>
    <n v="0"/>
    <n v="0"/>
    <n v="0"/>
    <n v="0"/>
    <n v="0"/>
    <n v="0"/>
    <n v="4100"/>
    <x v="225"/>
    <n v="0"/>
    <n v="0"/>
    <n v="0"/>
    <n v="0"/>
    <n v="0"/>
    <n v="0"/>
  </r>
  <r>
    <x v="67"/>
    <s v="000011818"/>
    <d v="2025-09-17T00:00:00"/>
    <d v="2025-12-16T00:00:00"/>
    <n v="4100"/>
    <n v="-15"/>
    <n v="0"/>
    <n v="0"/>
    <n v="0"/>
    <n v="0"/>
    <n v="0"/>
    <n v="0"/>
    <n v="4100"/>
    <x v="225"/>
    <n v="0"/>
    <n v="0"/>
    <n v="0"/>
    <n v="0"/>
    <n v="0"/>
    <n v="0"/>
  </r>
  <r>
    <x v="67"/>
    <s v="000011819"/>
    <d v="2025-09-17T00:00:00"/>
    <d v="2025-12-16T00:00:00"/>
    <n v="300"/>
    <n v="-15"/>
    <n v="0"/>
    <n v="0"/>
    <n v="0"/>
    <n v="0"/>
    <n v="0"/>
    <n v="0"/>
    <n v="300"/>
    <x v="145"/>
    <n v="0"/>
    <n v="0"/>
    <n v="0"/>
    <n v="0"/>
    <n v="0"/>
    <n v="0"/>
  </r>
  <r>
    <x v="67"/>
    <s v="000011820"/>
    <d v="2025-09-17T00:00:00"/>
    <d v="2025-12-16T00:00:00"/>
    <n v="4100"/>
    <n v="-15"/>
    <n v="0"/>
    <n v="0"/>
    <n v="0"/>
    <n v="0"/>
    <n v="0"/>
    <n v="0"/>
    <n v="4100"/>
    <x v="225"/>
    <n v="0"/>
    <n v="0"/>
    <n v="0"/>
    <n v="0"/>
    <n v="0"/>
    <n v="0"/>
  </r>
  <r>
    <x v="67"/>
    <s v="000011821"/>
    <d v="2025-09-17T00:00:00"/>
    <d v="2025-12-16T00:00:00"/>
    <n v="300"/>
    <n v="-15"/>
    <n v="0"/>
    <n v="0"/>
    <n v="0"/>
    <n v="0"/>
    <n v="0"/>
    <n v="0"/>
    <n v="300"/>
    <x v="145"/>
    <n v="0"/>
    <n v="0"/>
    <n v="0"/>
    <n v="0"/>
    <n v="0"/>
    <n v="0"/>
  </r>
  <r>
    <x v="61"/>
    <s v="000005317"/>
    <d v="2024-12-16T00:00:00"/>
    <d v="2025-12-16T00:00:00"/>
    <n v="21923.5"/>
    <n v="-15"/>
    <n v="0"/>
    <n v="0"/>
    <n v="0"/>
    <n v="0"/>
    <n v="0"/>
    <n v="0"/>
    <n v="21923.5"/>
    <x v="208"/>
    <n v="0"/>
    <n v="0"/>
    <n v="0"/>
    <n v="0"/>
    <n v="0"/>
    <n v="0"/>
  </r>
  <r>
    <x v="90"/>
    <s v="000064191"/>
    <d v="2025-08-20T00:00:00"/>
    <d v="2025-12-18T00:00:00"/>
    <n v="3100"/>
    <n v="-13"/>
    <n v="0"/>
    <n v="0"/>
    <n v="0"/>
    <n v="0"/>
    <n v="0"/>
    <n v="0"/>
    <n v="3100"/>
    <x v="339"/>
    <n v="0"/>
    <n v="0"/>
    <n v="0"/>
    <n v="0"/>
    <n v="0"/>
    <n v="0"/>
  </r>
  <r>
    <x v="90"/>
    <s v="000064231"/>
    <d v="2025-08-20T00:00:00"/>
    <d v="2025-12-18T00:00:00"/>
    <n v="41446.050000000003"/>
    <n v="-13"/>
    <n v="0"/>
    <n v="0"/>
    <n v="0"/>
    <n v="0"/>
    <n v="0"/>
    <n v="0"/>
    <n v="41446.050000000003"/>
    <x v="340"/>
    <n v="0"/>
    <n v="0"/>
    <n v="0"/>
    <n v="0"/>
    <n v="0"/>
    <n v="0"/>
  </r>
  <r>
    <x v="90"/>
    <s v="000064232"/>
    <d v="2025-08-20T00:00:00"/>
    <d v="2025-12-18T00:00:00"/>
    <n v="31267"/>
    <n v="-13"/>
    <n v="0"/>
    <n v="0"/>
    <n v="0"/>
    <n v="0"/>
    <n v="0"/>
    <n v="0"/>
    <n v="31267"/>
    <x v="341"/>
    <n v="0"/>
    <n v="0"/>
    <n v="0"/>
    <n v="0"/>
    <n v="0"/>
    <n v="0"/>
  </r>
  <r>
    <x v="90"/>
    <s v="000064234"/>
    <d v="2025-08-20T00:00:00"/>
    <d v="2025-12-18T00:00:00"/>
    <n v="43988"/>
    <n v="-13"/>
    <n v="0"/>
    <n v="0"/>
    <n v="0"/>
    <n v="0"/>
    <n v="0"/>
    <n v="0"/>
    <n v="43988"/>
    <x v="342"/>
    <n v="0"/>
    <n v="0"/>
    <n v="0"/>
    <n v="0"/>
    <n v="0"/>
    <n v="0"/>
  </r>
  <r>
    <x v="90"/>
    <s v="000064210"/>
    <d v="2025-08-20T00:00:00"/>
    <d v="2025-12-18T00:00:00"/>
    <n v="928"/>
    <n v="-13"/>
    <n v="0"/>
    <n v="0"/>
    <n v="0"/>
    <n v="0"/>
    <n v="0"/>
    <n v="0"/>
    <n v="928"/>
    <x v="343"/>
    <n v="0"/>
    <n v="0"/>
    <n v="0"/>
    <n v="0"/>
    <n v="0"/>
    <n v="0"/>
  </r>
  <r>
    <x v="90"/>
    <s v="000064240"/>
    <d v="2025-08-20T00:00:00"/>
    <d v="2025-12-18T00:00:00"/>
    <n v="142859.13"/>
    <n v="-13"/>
    <n v="0"/>
    <n v="0"/>
    <n v="0"/>
    <n v="0"/>
    <n v="0"/>
    <n v="0"/>
    <n v="142859.13"/>
    <x v="344"/>
    <n v="0"/>
    <n v="0"/>
    <n v="0"/>
    <n v="0"/>
    <n v="0"/>
    <n v="0"/>
  </r>
  <r>
    <x v="94"/>
    <s v="000064196"/>
    <d v="2025-08-20T00:00:00"/>
    <d v="2025-12-18T00:00:00"/>
    <n v="32860"/>
    <n v="-13"/>
    <n v="0"/>
    <n v="0"/>
    <n v="0"/>
    <n v="0"/>
    <n v="0"/>
    <n v="0"/>
    <n v="32860"/>
    <x v="345"/>
    <n v="0"/>
    <n v="0"/>
    <n v="0"/>
    <n v="0"/>
    <n v="0"/>
    <n v="0"/>
  </r>
  <r>
    <x v="90"/>
    <s v="000064246"/>
    <d v="2025-08-21T00:00:00"/>
    <d v="2025-12-19T00:00:00"/>
    <n v="89466.15"/>
    <n v="-12"/>
    <n v="0"/>
    <n v="0"/>
    <n v="0"/>
    <n v="0"/>
    <n v="0"/>
    <n v="0"/>
    <n v="89466.15"/>
    <x v="346"/>
    <n v="0"/>
    <n v="0"/>
    <n v="0"/>
    <n v="0"/>
    <n v="0"/>
    <n v="0"/>
  </r>
  <r>
    <x v="68"/>
    <s v="000064243"/>
    <d v="2025-08-21T00:00:00"/>
    <d v="2025-12-19T00:00:00"/>
    <n v="48750"/>
    <n v="-12"/>
    <n v="0"/>
    <n v="0"/>
    <n v="0"/>
    <n v="0"/>
    <n v="0"/>
    <n v="0"/>
    <n v="48750"/>
    <x v="228"/>
    <n v="0"/>
    <n v="0"/>
    <n v="0"/>
    <n v="0"/>
    <n v="0"/>
    <n v="0"/>
  </r>
  <r>
    <x v="69"/>
    <s v="000061116"/>
    <d v="2025-05-23T00:00:00"/>
    <d v="2025-12-19T00:00:00"/>
    <n v="4600"/>
    <n v="-12"/>
    <n v="0"/>
    <n v="0"/>
    <n v="0"/>
    <n v="0"/>
    <n v="0"/>
    <n v="0"/>
    <n v="4600"/>
    <x v="229"/>
    <n v="0"/>
    <n v="0"/>
    <n v="0"/>
    <n v="0"/>
    <n v="0"/>
    <n v="0"/>
  </r>
  <r>
    <x v="63"/>
    <s v="000056098"/>
    <d v="2025-07-21T00:00:00"/>
    <d v="2025-12-20T00:00:00"/>
    <n v="41545"/>
    <n v="-11"/>
    <n v="0"/>
    <n v="0"/>
    <n v="0"/>
    <n v="0"/>
    <n v="0"/>
    <n v="0"/>
    <n v="41545"/>
    <x v="226"/>
    <n v="0"/>
    <n v="0"/>
    <n v="0"/>
    <n v="0"/>
    <n v="0"/>
    <n v="0"/>
  </r>
  <r>
    <x v="42"/>
    <s v="000012339"/>
    <d v="2025-10-30T00:00:00"/>
    <d v="2025-12-20T00:00:00"/>
    <n v="32629.88"/>
    <n v="-11"/>
    <n v="0"/>
    <n v="0"/>
    <n v="0"/>
    <n v="0"/>
    <n v="0"/>
    <n v="0"/>
    <n v="32629.88"/>
    <x v="347"/>
    <n v="0"/>
    <n v="0"/>
    <n v="0"/>
    <n v="0"/>
    <n v="0"/>
    <n v="0"/>
  </r>
  <r>
    <x v="42"/>
    <s v="000012340"/>
    <d v="2025-10-30T00:00:00"/>
    <d v="2025-12-20T00:00:00"/>
    <n v="41827.43"/>
    <n v="-11"/>
    <n v="0"/>
    <n v="0"/>
    <n v="0"/>
    <n v="0"/>
    <n v="0"/>
    <n v="0"/>
    <n v="41827.43"/>
    <x v="348"/>
    <n v="0"/>
    <n v="0"/>
    <n v="0"/>
    <n v="0"/>
    <n v="0"/>
    <n v="0"/>
  </r>
  <r>
    <x v="42"/>
    <s v="000012350"/>
    <d v="2025-10-31T00:00:00"/>
    <d v="2025-12-20T00:00:00"/>
    <n v="11710"/>
    <n v="-11"/>
    <n v="0"/>
    <n v="0"/>
    <n v="0"/>
    <n v="0"/>
    <n v="0"/>
    <n v="0"/>
    <n v="11710"/>
    <x v="349"/>
    <n v="0"/>
    <n v="0"/>
    <n v="0"/>
    <n v="0"/>
    <n v="0"/>
    <n v="0"/>
  </r>
  <r>
    <x v="42"/>
    <s v="000012351"/>
    <d v="2025-10-31T00:00:00"/>
    <d v="2025-12-20T00:00:00"/>
    <n v="39029.879999999997"/>
    <n v="-11"/>
    <n v="0"/>
    <n v="0"/>
    <n v="0"/>
    <n v="0"/>
    <n v="0"/>
    <n v="0"/>
    <n v="39029.879999999997"/>
    <x v="350"/>
    <n v="0"/>
    <n v="0"/>
    <n v="0"/>
    <n v="0"/>
    <n v="0"/>
    <n v="0"/>
  </r>
  <r>
    <x v="42"/>
    <s v="000012352"/>
    <d v="2025-10-31T00:00:00"/>
    <d v="2025-12-20T00:00:00"/>
    <n v="2530"/>
    <n v="-11"/>
    <n v="0"/>
    <n v="0"/>
    <n v="0"/>
    <n v="0"/>
    <n v="0"/>
    <n v="0"/>
    <n v="2530"/>
    <x v="351"/>
    <n v="0"/>
    <n v="0"/>
    <n v="0"/>
    <n v="0"/>
    <n v="0"/>
    <n v="0"/>
  </r>
  <r>
    <x v="55"/>
    <s v="000065443"/>
    <d v="2025-09-22T00:00:00"/>
    <d v="2025-12-21T00:00:00"/>
    <n v="32050"/>
    <n v="-10"/>
    <n v="0"/>
    <n v="0"/>
    <n v="0"/>
    <n v="0"/>
    <n v="0"/>
    <n v="0"/>
    <n v="32050"/>
    <x v="352"/>
    <n v="0"/>
    <n v="0"/>
    <n v="0"/>
    <n v="0"/>
    <n v="0"/>
    <n v="0"/>
  </r>
  <r>
    <x v="95"/>
    <s v="000012256"/>
    <d v="2025-10-22T00:00:00"/>
    <d v="2025-12-21T00:00:00"/>
    <n v="5244"/>
    <n v="-10"/>
    <n v="0"/>
    <n v="0"/>
    <n v="0"/>
    <n v="0"/>
    <n v="0"/>
    <n v="0"/>
    <n v="5244"/>
    <x v="353"/>
    <n v="0"/>
    <n v="0"/>
    <n v="0"/>
    <n v="0"/>
    <n v="0"/>
    <n v="0"/>
  </r>
  <r>
    <x v="96"/>
    <s v="000012604"/>
    <d v="2025-11-24T00:00:00"/>
    <d v="2025-12-24T00:00:00"/>
    <n v="156100"/>
    <n v="-7"/>
    <n v="0"/>
    <n v="0"/>
    <n v="0"/>
    <n v="0"/>
    <n v="0"/>
    <n v="0"/>
    <n v="156100"/>
    <x v="354"/>
    <n v="0"/>
    <n v="0"/>
    <n v="0"/>
    <n v="0"/>
    <n v="0"/>
    <n v="0"/>
  </r>
  <r>
    <x v="67"/>
    <s v="000011938"/>
    <d v="2025-09-25T00:00:00"/>
    <d v="2025-12-24T00:00:00"/>
    <n v="6000"/>
    <n v="-7"/>
    <n v="0"/>
    <n v="0"/>
    <n v="0"/>
    <n v="0"/>
    <n v="0"/>
    <n v="0"/>
    <n v="6000"/>
    <x v="223"/>
    <n v="0"/>
    <n v="0"/>
    <n v="0"/>
    <n v="0"/>
    <n v="0"/>
    <n v="0"/>
  </r>
  <r>
    <x v="67"/>
    <s v="000011940"/>
    <d v="2025-09-25T00:00:00"/>
    <d v="2025-12-24T00:00:00"/>
    <n v="6540"/>
    <n v="-7"/>
    <n v="0"/>
    <n v="0"/>
    <n v="0"/>
    <n v="0"/>
    <n v="0"/>
    <n v="0"/>
    <n v="6540"/>
    <x v="355"/>
    <n v="0"/>
    <n v="0"/>
    <n v="0"/>
    <n v="0"/>
    <n v="0"/>
    <n v="0"/>
  </r>
  <r>
    <x v="67"/>
    <s v="000011941"/>
    <d v="2025-09-25T00:00:00"/>
    <d v="2025-12-24T00:00:00"/>
    <n v="5100"/>
    <n v="-7"/>
    <n v="0"/>
    <n v="0"/>
    <n v="0"/>
    <n v="0"/>
    <n v="0"/>
    <n v="0"/>
    <n v="5100"/>
    <x v="356"/>
    <n v="0"/>
    <n v="0"/>
    <n v="0"/>
    <n v="0"/>
    <n v="0"/>
    <n v="0"/>
  </r>
  <r>
    <x v="67"/>
    <s v="000011942"/>
    <d v="2025-09-25T00:00:00"/>
    <d v="2025-12-24T00:00:00"/>
    <n v="7180"/>
    <n v="-7"/>
    <n v="0"/>
    <n v="0"/>
    <n v="0"/>
    <n v="0"/>
    <n v="0"/>
    <n v="0"/>
    <n v="7180"/>
    <x v="357"/>
    <n v="0"/>
    <n v="0"/>
    <n v="0"/>
    <n v="0"/>
    <n v="0"/>
    <n v="0"/>
  </r>
  <r>
    <x v="51"/>
    <s v="000067075"/>
    <d v="2025-11-10T00:00:00"/>
    <d v="2025-12-24T00:00:00"/>
    <n v="11450"/>
    <n v="-7"/>
    <n v="0"/>
    <n v="0"/>
    <n v="0"/>
    <n v="0"/>
    <n v="0"/>
    <n v="0"/>
    <n v="11450"/>
    <x v="333"/>
    <n v="0"/>
    <n v="0"/>
    <n v="0"/>
    <n v="0"/>
    <n v="0"/>
    <n v="0"/>
  </r>
  <r>
    <x v="90"/>
    <s v="000064405"/>
    <d v="2025-08-26T00:00:00"/>
    <d v="2025-12-24T00:00:00"/>
    <n v="47154.5"/>
    <n v="-7"/>
    <n v="0"/>
    <n v="0"/>
    <n v="0"/>
    <n v="0"/>
    <n v="0"/>
    <n v="0"/>
    <n v="47154.5"/>
    <x v="358"/>
    <n v="0"/>
    <n v="0"/>
    <n v="0"/>
    <n v="0"/>
    <n v="0"/>
    <n v="0"/>
  </r>
  <r>
    <x v="90"/>
    <s v="000064407"/>
    <d v="2025-08-26T00:00:00"/>
    <d v="2025-12-24T00:00:00"/>
    <n v="44132.3"/>
    <n v="-7"/>
    <n v="0"/>
    <n v="0"/>
    <n v="0"/>
    <n v="0"/>
    <n v="0"/>
    <n v="0"/>
    <n v="44132.3"/>
    <x v="359"/>
    <n v="0"/>
    <n v="0"/>
    <n v="0"/>
    <n v="0"/>
    <n v="0"/>
    <n v="0"/>
  </r>
  <r>
    <x v="90"/>
    <s v="000064409"/>
    <d v="2025-08-26T00:00:00"/>
    <d v="2025-12-24T00:00:00"/>
    <n v="60003"/>
    <n v="-7"/>
    <n v="0"/>
    <n v="0"/>
    <n v="0"/>
    <n v="0"/>
    <n v="0"/>
    <n v="0"/>
    <n v="60003"/>
    <x v="360"/>
    <n v="0"/>
    <n v="0"/>
    <n v="0"/>
    <n v="0"/>
    <n v="0"/>
    <n v="0"/>
  </r>
  <r>
    <x v="90"/>
    <s v="000064417"/>
    <d v="2025-08-26T00:00:00"/>
    <d v="2025-12-24T00:00:00"/>
    <n v="13600"/>
    <n v="-7"/>
    <n v="0"/>
    <n v="0"/>
    <n v="0"/>
    <n v="0"/>
    <n v="0"/>
    <n v="0"/>
    <n v="13600"/>
    <x v="361"/>
    <n v="0"/>
    <n v="0"/>
    <n v="0"/>
    <n v="0"/>
    <n v="0"/>
    <n v="0"/>
  </r>
  <r>
    <x v="90"/>
    <s v="000064418"/>
    <d v="2025-08-26T00:00:00"/>
    <d v="2025-12-24T00:00:00"/>
    <n v="269008"/>
    <n v="-7"/>
    <n v="0"/>
    <n v="0"/>
    <n v="0"/>
    <n v="0"/>
    <n v="0"/>
    <n v="0"/>
    <n v="269008"/>
    <x v="362"/>
    <n v="0"/>
    <n v="0"/>
    <n v="0"/>
    <n v="0"/>
    <n v="0"/>
    <n v="0"/>
  </r>
  <r>
    <x v="90"/>
    <s v="000064431"/>
    <d v="2025-08-26T00:00:00"/>
    <d v="2025-12-24T00:00:00"/>
    <n v="18283"/>
    <n v="-7"/>
    <n v="0"/>
    <n v="0"/>
    <n v="0"/>
    <n v="0"/>
    <n v="0"/>
    <n v="0"/>
    <n v="18283"/>
    <x v="363"/>
    <n v="0"/>
    <n v="0"/>
    <n v="0"/>
    <n v="0"/>
    <n v="0"/>
    <n v="0"/>
  </r>
  <r>
    <x v="42"/>
    <s v="000011945"/>
    <d v="2025-09-25T00:00:00"/>
    <d v="2025-12-24T00:00:00"/>
    <n v="38143.78"/>
    <n v="-7"/>
    <n v="0"/>
    <n v="0"/>
    <n v="0"/>
    <n v="0"/>
    <n v="0"/>
    <n v="0"/>
    <n v="38143.78"/>
    <x v="364"/>
    <n v="0"/>
    <n v="0"/>
    <n v="0"/>
    <n v="0"/>
    <n v="0"/>
    <n v="0"/>
  </r>
  <r>
    <x v="97"/>
    <s v="000067618"/>
    <d v="2025-11-27T00:00:00"/>
    <d v="2025-12-27T00:00:00"/>
    <n v="11642.05"/>
    <n v="-4"/>
    <n v="0"/>
    <n v="0"/>
    <n v="0"/>
    <n v="0"/>
    <n v="0"/>
    <n v="0"/>
    <n v="11642.05"/>
    <x v="365"/>
    <n v="0"/>
    <n v="0"/>
    <n v="0"/>
    <n v="0"/>
    <n v="0"/>
    <n v="0"/>
  </r>
  <r>
    <x v="42"/>
    <s v="000011254"/>
    <d v="2025-07-31T00:00:00"/>
    <d v="2025-12-28T00:00:00"/>
    <n v="64541"/>
    <n v="-3"/>
    <n v="0"/>
    <n v="0"/>
    <n v="0"/>
    <n v="0"/>
    <n v="0"/>
    <n v="0"/>
    <n v="64541"/>
    <x v="261"/>
    <n v="0"/>
    <n v="0"/>
    <n v="0"/>
    <n v="0"/>
    <n v="0"/>
    <n v="0"/>
  </r>
  <r>
    <x v="98"/>
    <s v="000066715"/>
    <d v="2025-10-30T00:00:00"/>
    <d v="2025-12-29T00:00:00"/>
    <n v="39860"/>
    <n v="-2"/>
    <n v="0"/>
    <n v="0"/>
    <n v="0"/>
    <n v="0"/>
    <n v="0"/>
    <n v="0"/>
    <n v="39860"/>
    <x v="366"/>
    <n v="0"/>
    <n v="0"/>
    <n v="0"/>
    <n v="0"/>
    <n v="0"/>
    <n v="0"/>
  </r>
  <r>
    <x v="99"/>
    <s v="000058965"/>
    <d v="2025-07-07T00:00:00"/>
    <d v="2025-12-29T00:00:00"/>
    <n v="9166.67"/>
    <n v="-2"/>
    <n v="0"/>
    <n v="0"/>
    <n v="0"/>
    <n v="0"/>
    <n v="0"/>
    <n v="0"/>
    <n v="9166.67"/>
    <x v="367"/>
    <n v="0"/>
    <n v="0"/>
    <n v="0"/>
    <n v="0"/>
    <n v="0"/>
    <n v="0"/>
  </r>
  <r>
    <x v="55"/>
    <s v="000012326"/>
    <d v="2025-10-30T00:00:00"/>
    <d v="2025-12-29T00:00:00"/>
    <n v="154556"/>
    <n v="-2"/>
    <n v="0"/>
    <n v="0"/>
    <n v="0"/>
    <n v="0"/>
    <n v="0"/>
    <n v="0"/>
    <n v="154556"/>
    <x v="368"/>
    <n v="0"/>
    <n v="0"/>
    <n v="0"/>
    <n v="0"/>
    <n v="0"/>
    <n v="0"/>
  </r>
  <r>
    <x v="42"/>
    <s v="000012023"/>
    <d v="2025-10-02T00:00:00"/>
    <d v="2025-12-29T00:00:00"/>
    <n v="38143.78"/>
    <n v="-2"/>
    <n v="0"/>
    <n v="0"/>
    <n v="0"/>
    <n v="0"/>
    <n v="0"/>
    <n v="0"/>
    <n v="38143.78"/>
    <x v="364"/>
    <n v="0"/>
    <n v="0"/>
    <n v="0"/>
    <n v="0"/>
    <n v="0"/>
    <n v="0"/>
  </r>
  <r>
    <x v="86"/>
    <s v="000066729"/>
    <d v="2025-10-31T00:00:00"/>
    <d v="2025-12-30T00:00:00"/>
    <n v="18415"/>
    <n v="-1"/>
    <n v="0"/>
    <n v="0"/>
    <n v="0"/>
    <n v="0"/>
    <n v="0"/>
    <n v="0"/>
    <n v="18415"/>
    <x v="298"/>
    <n v="0"/>
    <n v="0"/>
    <n v="0"/>
    <n v="0"/>
    <n v="0"/>
    <n v="0"/>
  </r>
  <r>
    <x v="100"/>
    <s v="000065763"/>
    <d v="2025-10-01T00:00:00"/>
    <d v="2025-12-30T00:00:00"/>
    <n v="40749.1"/>
    <n v="-1"/>
    <n v="0"/>
    <n v="0"/>
    <n v="0"/>
    <n v="0"/>
    <n v="0"/>
    <n v="0"/>
    <n v="40749.1"/>
    <x v="369"/>
    <n v="0"/>
    <n v="0"/>
    <n v="0"/>
    <n v="0"/>
    <n v="0"/>
    <n v="0"/>
  </r>
  <r>
    <x v="101"/>
    <s v="000068022"/>
    <d v="2025-12-09T00:00:00"/>
    <d v="2025-12-30T00:00:00"/>
    <n v="12685"/>
    <n v="-1"/>
    <n v="0"/>
    <n v="0"/>
    <n v="0"/>
    <n v="0"/>
    <n v="0"/>
    <n v="0"/>
    <n v="12685"/>
    <x v="370"/>
    <n v="0"/>
    <n v="0"/>
    <n v="0"/>
    <n v="0"/>
    <n v="0"/>
    <n v="0"/>
  </r>
  <r>
    <x v="84"/>
    <s v="000066117"/>
    <d v="2025-10-13T00:00:00"/>
    <d v="2025-12-30T00:00:00"/>
    <n v="10800"/>
    <n v="-1"/>
    <n v="0"/>
    <n v="0"/>
    <n v="0"/>
    <n v="0"/>
    <n v="0"/>
    <n v="0"/>
    <n v="10800"/>
    <x v="276"/>
    <n v="0"/>
    <n v="0"/>
    <n v="0"/>
    <n v="0"/>
    <n v="0"/>
    <n v="0"/>
  </r>
  <r>
    <x v="100"/>
    <s v="000065778"/>
    <d v="2025-10-02T00:00:00"/>
    <d v="2025-12-31T00:00:00"/>
    <n v="14467.86"/>
    <n v="0"/>
    <n v="0"/>
    <n v="0"/>
    <n v="0"/>
    <n v="0"/>
    <n v="0"/>
    <n v="0"/>
    <n v="0"/>
    <x v="371"/>
    <n v="14467.86"/>
    <n v="0"/>
    <n v="0"/>
    <n v="0"/>
    <n v="0"/>
    <n v="14467.86"/>
  </r>
  <r>
    <x v="67"/>
    <s v="000012015"/>
    <d v="2025-10-02T00:00:00"/>
    <d v="2025-12-31T00:00:00"/>
    <n v="180"/>
    <n v="0"/>
    <n v="0"/>
    <n v="0"/>
    <n v="0"/>
    <n v="0"/>
    <n v="0"/>
    <n v="0"/>
    <n v="0"/>
    <x v="371"/>
    <n v="180"/>
    <n v="0"/>
    <n v="0"/>
    <n v="0"/>
    <n v="0"/>
    <n v="180"/>
  </r>
  <r>
    <x v="67"/>
    <s v="000012016"/>
    <d v="2025-10-02T00:00:00"/>
    <d v="2025-12-31T00:00:00"/>
    <n v="4100"/>
    <n v="0"/>
    <n v="0"/>
    <n v="0"/>
    <n v="0"/>
    <n v="0"/>
    <n v="0"/>
    <n v="0"/>
    <n v="0"/>
    <x v="371"/>
    <n v="4100"/>
    <n v="0"/>
    <n v="0"/>
    <n v="0"/>
    <n v="0"/>
    <n v="4100"/>
  </r>
  <r>
    <x v="67"/>
    <s v="000012017"/>
    <d v="2025-10-02T00:00:00"/>
    <d v="2025-12-31T00:00:00"/>
    <n v="7180"/>
    <n v="0"/>
    <n v="0"/>
    <n v="0"/>
    <n v="0"/>
    <n v="0"/>
    <n v="0"/>
    <n v="0"/>
    <n v="0"/>
    <x v="371"/>
    <n v="7180"/>
    <n v="0"/>
    <n v="0"/>
    <n v="0"/>
    <n v="0"/>
    <n v="7180"/>
  </r>
  <r>
    <x v="67"/>
    <s v="000012018"/>
    <d v="2025-10-02T00:00:00"/>
    <d v="2025-12-31T00:00:00"/>
    <n v="8700"/>
    <n v="0"/>
    <n v="0"/>
    <n v="0"/>
    <n v="0"/>
    <n v="0"/>
    <n v="0"/>
    <n v="0"/>
    <n v="0"/>
    <x v="371"/>
    <n v="8700"/>
    <n v="0"/>
    <n v="0"/>
    <n v="0"/>
    <n v="0"/>
    <n v="8700"/>
  </r>
  <r>
    <x v="102"/>
    <s v="000065858"/>
    <d v="2025-10-03T00:00:00"/>
    <d v="2026-01-01T00:00:00"/>
    <n v="4888.66"/>
    <n v="1"/>
    <n v="0"/>
    <n v="0"/>
    <n v="0"/>
    <n v="0"/>
    <n v="0"/>
    <n v="0"/>
    <n v="0"/>
    <x v="371"/>
    <n v="4888.66"/>
    <n v="0"/>
    <n v="0"/>
    <n v="0"/>
    <n v="0"/>
    <n v="4888.66"/>
  </r>
  <r>
    <x v="42"/>
    <s v="000010669"/>
    <d v="2025-06-11T00:00:00"/>
    <d v="2026-01-01T00:00:00"/>
    <n v="56271.67"/>
    <n v="1"/>
    <n v="0"/>
    <n v="0"/>
    <n v="0"/>
    <n v="0"/>
    <n v="0"/>
    <n v="0"/>
    <n v="0"/>
    <x v="371"/>
    <n v="56271.67"/>
    <n v="0"/>
    <n v="0"/>
    <n v="0"/>
    <n v="0"/>
    <n v="56271.67"/>
  </r>
  <r>
    <x v="42"/>
    <s v="000011678"/>
    <d v="2025-09-05T00:00:00"/>
    <d v="2026-01-01T00:00:00"/>
    <n v="49707.5"/>
    <n v="1"/>
    <n v="0"/>
    <n v="0"/>
    <n v="0"/>
    <n v="0"/>
    <n v="0"/>
    <n v="0"/>
    <n v="0"/>
    <x v="371"/>
    <n v="49707.5"/>
    <n v="0"/>
    <n v="0"/>
    <n v="0"/>
    <n v="0"/>
    <n v="49707.5"/>
  </r>
  <r>
    <x v="42"/>
    <s v="000011679"/>
    <d v="2025-09-05T00:00:00"/>
    <d v="2026-01-01T00:00:00"/>
    <n v="45480.44"/>
    <n v="1"/>
    <n v="0"/>
    <n v="0"/>
    <n v="0"/>
    <n v="0"/>
    <n v="0"/>
    <n v="0"/>
    <n v="0"/>
    <x v="371"/>
    <n v="45480.44"/>
    <n v="0"/>
    <n v="0"/>
    <n v="0"/>
    <n v="0"/>
    <n v="45480.44"/>
  </r>
  <r>
    <x v="94"/>
    <s v="000064835"/>
    <d v="2025-09-03T00:00:00"/>
    <d v="2026-01-01T00:00:00"/>
    <n v="153270"/>
    <n v="1"/>
    <n v="0"/>
    <n v="0"/>
    <n v="0"/>
    <n v="0"/>
    <n v="0"/>
    <n v="0"/>
    <n v="0"/>
    <x v="371"/>
    <n v="153270"/>
    <n v="0"/>
    <n v="0"/>
    <n v="0"/>
    <n v="0"/>
    <n v="153270"/>
  </r>
  <r>
    <x v="103"/>
    <s v="000064919"/>
    <d v="2025-09-04T00:00:00"/>
    <d v="2026-01-02T00:00:00"/>
    <n v="15750"/>
    <n v="2"/>
    <n v="0"/>
    <n v="0"/>
    <n v="0"/>
    <n v="0"/>
    <n v="0"/>
    <n v="0"/>
    <n v="0"/>
    <x v="371"/>
    <n v="15750"/>
    <n v="0"/>
    <n v="0"/>
    <n v="0"/>
    <n v="0"/>
    <n v="15750"/>
  </r>
  <r>
    <x v="34"/>
    <s v="000067808"/>
    <d v="2025-12-03T00:00:00"/>
    <d v="2026-01-02T00:00:00"/>
    <n v="805"/>
    <n v="2"/>
    <n v="0"/>
    <n v="0"/>
    <n v="0"/>
    <n v="0"/>
    <n v="0"/>
    <n v="0"/>
    <n v="0"/>
    <x v="371"/>
    <n v="805"/>
    <n v="0"/>
    <n v="0"/>
    <n v="0"/>
    <n v="0"/>
    <n v="805"/>
  </r>
  <r>
    <x v="104"/>
    <s v="000066846"/>
    <d v="2025-11-03T00:00:00"/>
    <d v="2026-01-02T00:00:00"/>
    <n v="7560"/>
    <n v="2"/>
    <n v="0"/>
    <n v="0"/>
    <n v="0"/>
    <n v="0"/>
    <n v="0"/>
    <n v="0"/>
    <n v="0"/>
    <x v="371"/>
    <n v="7560"/>
    <n v="0"/>
    <n v="0"/>
    <n v="0"/>
    <n v="0"/>
    <n v="7560"/>
  </r>
  <r>
    <x v="105"/>
    <s v="000065411"/>
    <d v="2025-09-19T00:00:00"/>
    <d v="2026-01-02T00:00:00"/>
    <n v="36900"/>
    <n v="2"/>
    <n v="0"/>
    <n v="0"/>
    <n v="0"/>
    <n v="0"/>
    <n v="0"/>
    <n v="0"/>
    <n v="0"/>
    <x v="371"/>
    <n v="36900"/>
    <n v="0"/>
    <n v="0"/>
    <n v="0"/>
    <n v="0"/>
    <n v="36900"/>
  </r>
  <r>
    <x v="106"/>
    <s v="000067872"/>
    <d v="2025-12-04T00:00:00"/>
    <d v="2026-01-03T00:00:00"/>
    <n v="31382.5"/>
    <n v="3"/>
    <n v="0"/>
    <n v="0"/>
    <n v="0"/>
    <n v="0"/>
    <n v="0"/>
    <n v="0"/>
    <n v="0"/>
    <x v="371"/>
    <n v="31382.5"/>
    <n v="0"/>
    <n v="0"/>
    <n v="0"/>
    <n v="0"/>
    <n v="31382.5"/>
  </r>
  <r>
    <x v="94"/>
    <s v="000064962"/>
    <d v="2025-09-05T00:00:00"/>
    <d v="2026-01-03T00:00:00"/>
    <n v="8224.25"/>
    <n v="3"/>
    <n v="0"/>
    <n v="0"/>
    <n v="0"/>
    <n v="0"/>
    <n v="0"/>
    <n v="0"/>
    <n v="0"/>
    <x v="371"/>
    <n v="8224.25"/>
    <n v="0"/>
    <n v="0"/>
    <n v="0"/>
    <n v="0"/>
    <n v="8224.25"/>
  </r>
  <r>
    <x v="107"/>
    <s v="000067887"/>
    <d v="2025-12-05T00:00:00"/>
    <d v="2026-01-04T00:00:00"/>
    <n v="30533.33"/>
    <n v="4"/>
    <n v="0"/>
    <n v="0"/>
    <n v="0"/>
    <n v="0"/>
    <n v="0"/>
    <n v="0"/>
    <n v="0"/>
    <x v="371"/>
    <n v="30533.33"/>
    <n v="0"/>
    <n v="0"/>
    <n v="0"/>
    <n v="0"/>
    <n v="30533.33"/>
  </r>
  <r>
    <x v="34"/>
    <s v="000066975"/>
    <d v="2025-11-05T00:00:00"/>
    <d v="2026-01-04T00:00:00"/>
    <n v="16878.5"/>
    <n v="4"/>
    <n v="0"/>
    <n v="0"/>
    <n v="0"/>
    <n v="0"/>
    <n v="0"/>
    <n v="0"/>
    <n v="0"/>
    <x v="371"/>
    <n v="16878.5"/>
    <n v="0"/>
    <n v="0"/>
    <n v="0"/>
    <n v="0"/>
    <n v="16878.5"/>
  </r>
  <r>
    <x v="34"/>
    <s v="000067019"/>
    <d v="2025-11-06T00:00:00"/>
    <d v="2026-01-05T00:00:00"/>
    <n v="840"/>
    <n v="5"/>
    <n v="0"/>
    <n v="0"/>
    <n v="0"/>
    <n v="0"/>
    <n v="0"/>
    <n v="0"/>
    <n v="0"/>
    <x v="371"/>
    <n v="840"/>
    <n v="0"/>
    <n v="0"/>
    <n v="0"/>
    <n v="0"/>
    <n v="840"/>
  </r>
  <r>
    <x v="108"/>
    <s v="000012079"/>
    <d v="2025-10-07T00:00:00"/>
    <d v="2026-01-05T00:00:00"/>
    <n v="76154"/>
    <n v="5"/>
    <n v="0"/>
    <n v="0"/>
    <n v="0"/>
    <n v="0"/>
    <n v="0"/>
    <n v="0"/>
    <n v="0"/>
    <x v="371"/>
    <n v="76154"/>
    <n v="0"/>
    <n v="0"/>
    <n v="0"/>
    <n v="0"/>
    <n v="76154"/>
  </r>
  <r>
    <x v="109"/>
    <s v="000066006"/>
    <d v="2025-10-08T00:00:00"/>
    <d v="2026-01-06T00:00:00"/>
    <n v="172052"/>
    <n v="6"/>
    <n v="0"/>
    <n v="0"/>
    <n v="0"/>
    <n v="0"/>
    <n v="0"/>
    <n v="0"/>
    <n v="0"/>
    <x v="371"/>
    <n v="172052"/>
    <n v="0"/>
    <n v="0"/>
    <n v="0"/>
    <n v="0"/>
    <n v="172052"/>
  </r>
  <r>
    <x v="110"/>
    <s v="000067056"/>
    <d v="2025-11-07T00:00:00"/>
    <d v="2026-01-06T00:00:00"/>
    <n v="4180"/>
    <n v="6"/>
    <n v="0"/>
    <n v="0"/>
    <n v="0"/>
    <n v="0"/>
    <n v="0"/>
    <n v="0"/>
    <n v="0"/>
    <x v="371"/>
    <n v="4180"/>
    <n v="0"/>
    <n v="0"/>
    <n v="0"/>
    <n v="0"/>
    <n v="4180"/>
  </r>
  <r>
    <x v="110"/>
    <s v="000067059"/>
    <d v="2025-11-07T00:00:00"/>
    <d v="2026-01-06T00:00:00"/>
    <n v="4180"/>
    <n v="6"/>
    <n v="0"/>
    <n v="0"/>
    <n v="0"/>
    <n v="0"/>
    <n v="0"/>
    <n v="0"/>
    <n v="0"/>
    <x v="371"/>
    <n v="4180"/>
    <n v="0"/>
    <n v="0"/>
    <n v="0"/>
    <n v="0"/>
    <n v="4180"/>
  </r>
  <r>
    <x v="110"/>
    <s v="000067062"/>
    <d v="2025-11-07T00:00:00"/>
    <d v="2026-01-06T00:00:00"/>
    <n v="7260"/>
    <n v="6"/>
    <n v="0"/>
    <n v="0"/>
    <n v="0"/>
    <n v="0"/>
    <n v="0"/>
    <n v="0"/>
    <n v="0"/>
    <x v="371"/>
    <n v="7260"/>
    <n v="0"/>
    <n v="0"/>
    <n v="0"/>
    <n v="0"/>
    <n v="7260"/>
  </r>
  <r>
    <x v="111"/>
    <s v="000065006"/>
    <d v="2025-09-08T00:00:00"/>
    <d v="2026-01-06T00:00:00"/>
    <n v="9050"/>
    <n v="6"/>
    <n v="0"/>
    <n v="0"/>
    <n v="0"/>
    <n v="0"/>
    <n v="0"/>
    <n v="0"/>
    <n v="0"/>
    <x v="371"/>
    <n v="9050"/>
    <n v="0"/>
    <n v="0"/>
    <n v="0"/>
    <n v="0"/>
    <n v="9050"/>
  </r>
  <r>
    <x v="90"/>
    <s v="000065052"/>
    <d v="2025-09-09T00:00:00"/>
    <d v="2026-01-07T00:00:00"/>
    <n v="262104.53"/>
    <n v="7"/>
    <n v="0"/>
    <n v="0"/>
    <n v="0"/>
    <n v="0"/>
    <n v="0"/>
    <n v="0"/>
    <n v="0"/>
    <x v="371"/>
    <n v="262104.53"/>
    <n v="0"/>
    <n v="0"/>
    <n v="0"/>
    <n v="0"/>
    <n v="262104.53"/>
  </r>
  <r>
    <x v="111"/>
    <s v="000066082"/>
    <d v="2025-10-10T00:00:00"/>
    <d v="2026-01-07T00:00:00"/>
    <n v="13333.33"/>
    <n v="7"/>
    <n v="0"/>
    <n v="0"/>
    <n v="0"/>
    <n v="0"/>
    <n v="0"/>
    <n v="0"/>
    <n v="0"/>
    <x v="371"/>
    <n v="13333.33"/>
    <n v="0"/>
    <n v="0"/>
    <n v="0"/>
    <n v="0"/>
    <n v="13333.33"/>
  </r>
  <r>
    <x v="94"/>
    <s v="000011715"/>
    <d v="2025-09-09T00:00:00"/>
    <d v="2026-01-07T00:00:00"/>
    <n v="54213"/>
    <n v="7"/>
    <n v="0"/>
    <n v="0"/>
    <n v="0"/>
    <n v="0"/>
    <n v="0"/>
    <n v="0"/>
    <n v="0"/>
    <x v="371"/>
    <n v="54213"/>
    <n v="0"/>
    <n v="0"/>
    <n v="0"/>
    <n v="0"/>
    <n v="54213"/>
  </r>
  <r>
    <x v="112"/>
    <s v="000068006"/>
    <d v="2025-12-09T00:00:00"/>
    <d v="2026-01-08T00:00:00"/>
    <n v="1845"/>
    <n v="8"/>
    <n v="0"/>
    <n v="0"/>
    <n v="0"/>
    <n v="0"/>
    <n v="0"/>
    <n v="0"/>
    <n v="0"/>
    <x v="371"/>
    <n v="1845"/>
    <n v="0"/>
    <n v="0"/>
    <n v="0"/>
    <n v="0"/>
    <n v="1845"/>
  </r>
  <r>
    <x v="113"/>
    <s v="000068024"/>
    <d v="2025-12-09T00:00:00"/>
    <d v="2026-01-08T00:00:00"/>
    <n v="9226"/>
    <n v="8"/>
    <n v="0"/>
    <n v="0"/>
    <n v="0"/>
    <n v="0"/>
    <n v="0"/>
    <n v="0"/>
    <n v="0"/>
    <x v="371"/>
    <n v="9226"/>
    <n v="0"/>
    <n v="0"/>
    <n v="0"/>
    <n v="0"/>
    <n v="9226"/>
  </r>
  <r>
    <x v="51"/>
    <s v="000067075"/>
    <d v="2025-11-10T00:00:00"/>
    <d v="2026-01-08T00:00:00"/>
    <n v="11450"/>
    <n v="8"/>
    <n v="0"/>
    <n v="0"/>
    <n v="0"/>
    <n v="0"/>
    <n v="0"/>
    <n v="0"/>
    <n v="0"/>
    <x v="371"/>
    <n v="11450"/>
    <n v="0"/>
    <n v="0"/>
    <n v="0"/>
    <n v="0"/>
    <n v="11450"/>
  </r>
  <r>
    <x v="114"/>
    <s v="000066085"/>
    <d v="2025-10-10T00:00:00"/>
    <d v="2026-01-08T00:00:00"/>
    <n v="18133.34"/>
    <n v="8"/>
    <n v="0"/>
    <n v="0"/>
    <n v="0"/>
    <n v="0"/>
    <n v="0"/>
    <n v="0"/>
    <n v="0"/>
    <x v="371"/>
    <n v="18133.34"/>
    <n v="0"/>
    <n v="0"/>
    <n v="0"/>
    <n v="0"/>
    <n v="18133.34"/>
  </r>
  <r>
    <x v="42"/>
    <s v="000011417"/>
    <d v="2025-08-14T00:00:00"/>
    <d v="2026-01-08T00:00:00"/>
    <n v="59382.8"/>
    <n v="8"/>
    <n v="0"/>
    <n v="0"/>
    <n v="0"/>
    <n v="0"/>
    <n v="0"/>
    <n v="0"/>
    <n v="0"/>
    <x v="371"/>
    <n v="59382.8"/>
    <n v="0"/>
    <n v="0"/>
    <n v="0"/>
    <n v="0"/>
    <n v="59382.8"/>
  </r>
  <r>
    <x v="115"/>
    <s v="000066083"/>
    <d v="2025-10-10T00:00:00"/>
    <d v="2026-01-08T00:00:00"/>
    <n v="5000"/>
    <n v="8"/>
    <n v="0"/>
    <n v="0"/>
    <n v="0"/>
    <n v="0"/>
    <n v="0"/>
    <n v="0"/>
    <n v="0"/>
    <x v="371"/>
    <n v="5000"/>
    <n v="0"/>
    <n v="0"/>
    <n v="0"/>
    <n v="0"/>
    <n v="5000"/>
  </r>
  <r>
    <x v="116"/>
    <s v="000067094"/>
    <d v="2025-11-10T00:00:00"/>
    <d v="2026-01-09T00:00:00"/>
    <n v="43899.21"/>
    <n v="9"/>
    <n v="0"/>
    <n v="0"/>
    <n v="0"/>
    <n v="0"/>
    <n v="0"/>
    <n v="0"/>
    <n v="0"/>
    <x v="371"/>
    <n v="43899.21"/>
    <n v="0"/>
    <n v="0"/>
    <n v="0"/>
    <n v="0"/>
    <n v="43899.21"/>
  </r>
  <r>
    <x v="85"/>
    <s v="000068054"/>
    <d v="2025-12-10T00:00:00"/>
    <d v="2026-01-09T00:00:00"/>
    <n v="24184.67"/>
    <n v="9"/>
    <n v="0"/>
    <n v="0"/>
    <n v="0"/>
    <n v="0"/>
    <n v="0"/>
    <n v="0"/>
    <n v="0"/>
    <x v="371"/>
    <n v="24184.67"/>
    <n v="0"/>
    <n v="0"/>
    <n v="0"/>
    <n v="0"/>
    <n v="24184.67"/>
  </r>
  <r>
    <x v="85"/>
    <s v="000068057"/>
    <d v="2025-12-10T00:00:00"/>
    <d v="2026-01-09T00:00:00"/>
    <n v="15915.55"/>
    <n v="9"/>
    <n v="0"/>
    <n v="0"/>
    <n v="0"/>
    <n v="0"/>
    <n v="0"/>
    <n v="0"/>
    <n v="0"/>
    <x v="371"/>
    <n v="15915.55"/>
    <n v="0"/>
    <n v="0"/>
    <n v="0"/>
    <n v="0"/>
    <n v="15915.55"/>
  </r>
  <r>
    <x v="104"/>
    <s v="000065143"/>
    <d v="2025-09-11T00:00:00"/>
    <d v="2026-01-09T00:00:00"/>
    <n v="54000"/>
    <n v="9"/>
    <n v="0"/>
    <n v="0"/>
    <n v="0"/>
    <n v="0"/>
    <n v="0"/>
    <n v="0"/>
    <n v="0"/>
    <x v="371"/>
    <n v="54000"/>
    <n v="0"/>
    <n v="0"/>
    <n v="0"/>
    <n v="0"/>
    <n v="54000"/>
  </r>
  <r>
    <x v="104"/>
    <s v="000065173"/>
    <d v="2025-09-11T00:00:00"/>
    <d v="2026-01-09T00:00:00"/>
    <n v="4620"/>
    <n v="9"/>
    <n v="0"/>
    <n v="0"/>
    <n v="0"/>
    <n v="0"/>
    <n v="0"/>
    <n v="0"/>
    <n v="0"/>
    <x v="371"/>
    <n v="4620"/>
    <n v="0"/>
    <n v="0"/>
    <n v="0"/>
    <n v="0"/>
    <n v="4620"/>
  </r>
  <r>
    <x v="104"/>
    <s v="000068059"/>
    <d v="2025-12-10T00:00:00"/>
    <d v="2026-01-09T00:00:00"/>
    <n v="18000"/>
    <n v="9"/>
    <n v="0"/>
    <n v="0"/>
    <n v="0"/>
    <n v="0"/>
    <n v="0"/>
    <n v="0"/>
    <n v="0"/>
    <x v="371"/>
    <n v="18000"/>
    <n v="0"/>
    <n v="0"/>
    <n v="0"/>
    <n v="0"/>
    <n v="18000"/>
  </r>
  <r>
    <x v="117"/>
    <s v="000067520"/>
    <d v="2025-11-25T00:00:00"/>
    <d v="2026-01-09T00:00:00"/>
    <n v="80059"/>
    <n v="9"/>
    <n v="0"/>
    <n v="0"/>
    <n v="0"/>
    <n v="0"/>
    <n v="0"/>
    <n v="0"/>
    <n v="0"/>
    <x v="371"/>
    <n v="80059"/>
    <n v="0"/>
    <n v="0"/>
    <n v="0"/>
    <n v="0"/>
    <n v="80059"/>
  </r>
  <r>
    <x v="59"/>
    <s v="000202224"/>
    <d v="2022-06-09T00:00:00"/>
    <d v="2026-01-10T00:00:00"/>
    <n v="8102"/>
    <n v="10"/>
    <n v="0"/>
    <n v="0"/>
    <n v="0"/>
    <n v="0"/>
    <n v="0"/>
    <n v="0"/>
    <n v="0"/>
    <x v="371"/>
    <n v="8102"/>
    <n v="0"/>
    <n v="0"/>
    <n v="0"/>
    <n v="0"/>
    <n v="8102"/>
  </r>
  <r>
    <x v="118"/>
    <s v="000011735"/>
    <d v="2025-09-11T00:00:00"/>
    <d v="2026-01-10T00:00:00"/>
    <n v="147853"/>
    <n v="10"/>
    <n v="0"/>
    <n v="0"/>
    <n v="0"/>
    <n v="0"/>
    <n v="0"/>
    <n v="0"/>
    <n v="0"/>
    <x v="371"/>
    <n v="147853"/>
    <n v="0"/>
    <n v="0"/>
    <n v="0"/>
    <n v="0"/>
    <n v="147853"/>
  </r>
  <r>
    <x v="119"/>
    <s v="000065163"/>
    <d v="2025-09-11T00:00:00"/>
    <d v="2026-01-10T00:00:00"/>
    <n v="132200"/>
    <n v="10"/>
    <n v="0"/>
    <n v="0"/>
    <n v="0"/>
    <n v="0"/>
    <n v="0"/>
    <n v="0"/>
    <n v="0"/>
    <x v="371"/>
    <n v="132200"/>
    <n v="0"/>
    <n v="0"/>
    <n v="0"/>
    <n v="0"/>
    <n v="132200"/>
  </r>
  <r>
    <x v="29"/>
    <s v="000065153"/>
    <d v="2025-09-11T00:00:00"/>
    <d v="2026-01-10T00:00:00"/>
    <n v="158206"/>
    <n v="10"/>
    <n v="0"/>
    <n v="0"/>
    <n v="0"/>
    <n v="0"/>
    <n v="0"/>
    <n v="0"/>
    <n v="0"/>
    <x v="371"/>
    <n v="158206"/>
    <n v="0"/>
    <n v="0"/>
    <n v="0"/>
    <n v="0"/>
    <n v="158206"/>
  </r>
  <r>
    <x v="29"/>
    <s v="000065162"/>
    <d v="2025-09-11T00:00:00"/>
    <d v="2026-01-10T00:00:00"/>
    <n v="115670"/>
    <n v="10"/>
    <n v="0"/>
    <n v="0"/>
    <n v="0"/>
    <n v="0"/>
    <n v="0"/>
    <n v="0"/>
    <n v="0"/>
    <x v="371"/>
    <n v="115670"/>
    <n v="0"/>
    <n v="0"/>
    <n v="0"/>
    <n v="0"/>
    <n v="115670"/>
  </r>
  <r>
    <x v="48"/>
    <s v="048398"/>
    <d v="2025-02-24T00:00:00"/>
    <d v="2026-01-10T00:00:00"/>
    <n v="4057.02"/>
    <n v="10"/>
    <n v="0"/>
    <n v="0"/>
    <n v="0"/>
    <n v="0"/>
    <n v="0"/>
    <n v="0"/>
    <n v="0"/>
    <x v="371"/>
    <n v="4057.02"/>
    <n v="0"/>
    <n v="0"/>
    <n v="0"/>
    <n v="0"/>
    <n v="4057.02"/>
  </r>
  <r>
    <x v="48"/>
    <s v="054077"/>
    <d v="2025-02-24T00:00:00"/>
    <d v="2026-01-10T00:00:00"/>
    <n v="6824.09"/>
    <n v="10"/>
    <n v="0"/>
    <n v="0"/>
    <n v="0"/>
    <n v="0"/>
    <n v="0"/>
    <n v="0"/>
    <n v="0"/>
    <x v="371"/>
    <n v="6824.09"/>
    <n v="0"/>
    <n v="0"/>
    <n v="0"/>
    <n v="0"/>
    <n v="6824.09"/>
  </r>
  <r>
    <x v="107"/>
    <s v="000068101"/>
    <d v="2025-12-11T00:00:00"/>
    <d v="2026-01-10T00:00:00"/>
    <n v="90500"/>
    <n v="10"/>
    <n v="0"/>
    <n v="0"/>
    <n v="0"/>
    <n v="0"/>
    <n v="0"/>
    <n v="0"/>
    <n v="0"/>
    <x v="371"/>
    <n v="90500"/>
    <n v="0"/>
    <n v="0"/>
    <n v="0"/>
    <n v="0"/>
    <n v="90500"/>
  </r>
  <r>
    <x v="120"/>
    <s v="000064964"/>
    <d v="2025-09-05T00:00:00"/>
    <d v="2026-01-10T00:00:00"/>
    <n v="10302"/>
    <n v="10"/>
    <n v="0"/>
    <n v="0"/>
    <n v="0"/>
    <n v="0"/>
    <n v="0"/>
    <n v="0"/>
    <n v="0"/>
    <x v="371"/>
    <n v="10302"/>
    <n v="0"/>
    <n v="0"/>
    <n v="0"/>
    <n v="0"/>
    <n v="10302"/>
  </r>
  <r>
    <x v="121"/>
    <s v="000012712"/>
    <d v="2025-12-11T00:00:00"/>
    <d v="2026-01-10T00:00:00"/>
    <n v="5437.95"/>
    <n v="10"/>
    <n v="0"/>
    <n v="0"/>
    <n v="0"/>
    <n v="0"/>
    <n v="0"/>
    <n v="0"/>
    <n v="0"/>
    <x v="371"/>
    <n v="5437.95"/>
    <n v="0"/>
    <n v="0"/>
    <n v="0"/>
    <n v="0"/>
    <n v="5437.95"/>
  </r>
  <r>
    <x v="94"/>
    <s v="000065200"/>
    <d v="2025-09-12T00:00:00"/>
    <d v="2026-01-10T00:00:00"/>
    <n v="11790"/>
    <n v="10"/>
    <n v="0"/>
    <n v="0"/>
    <n v="0"/>
    <n v="0"/>
    <n v="0"/>
    <n v="0"/>
    <n v="0"/>
    <x v="371"/>
    <n v="11790"/>
    <n v="0"/>
    <n v="0"/>
    <n v="0"/>
    <n v="0"/>
    <n v="11790"/>
  </r>
  <r>
    <x v="94"/>
    <s v="000065201"/>
    <d v="2025-09-12T00:00:00"/>
    <d v="2026-01-10T00:00:00"/>
    <n v="11439"/>
    <n v="10"/>
    <n v="0"/>
    <n v="0"/>
    <n v="0"/>
    <n v="0"/>
    <n v="0"/>
    <n v="0"/>
    <n v="0"/>
    <x v="371"/>
    <n v="11439"/>
    <n v="0"/>
    <n v="0"/>
    <n v="0"/>
    <n v="0"/>
    <n v="11439"/>
  </r>
  <r>
    <x v="122"/>
    <s v="000061892"/>
    <d v="2025-12-08T00:00:00"/>
    <d v="2026-01-10T00:00:00"/>
    <n v="36174.17"/>
    <n v="10"/>
    <n v="0"/>
    <n v="0"/>
    <n v="0"/>
    <n v="0"/>
    <n v="0"/>
    <n v="0"/>
    <n v="0"/>
    <x v="371"/>
    <n v="36174.17"/>
    <n v="0"/>
    <n v="0"/>
    <n v="0"/>
    <n v="0"/>
    <n v="36174.17"/>
  </r>
  <r>
    <x v="123"/>
    <s v="000066105"/>
    <d v="2025-10-13T00:00:00"/>
    <d v="2026-01-11T00:00:00"/>
    <n v="5333.34"/>
    <n v="11"/>
    <n v="0"/>
    <n v="0"/>
    <n v="0"/>
    <n v="0"/>
    <n v="0"/>
    <n v="0"/>
    <n v="0"/>
    <x v="371"/>
    <n v="5333.34"/>
    <n v="0"/>
    <n v="0"/>
    <n v="0"/>
    <n v="0"/>
    <n v="5333.34"/>
  </r>
  <r>
    <x v="124"/>
    <s v="000012158"/>
    <d v="2025-10-14T00:00:00"/>
    <d v="2026-01-12T00:00:00"/>
    <n v="10107.24"/>
    <n v="12"/>
    <n v="0"/>
    <n v="0"/>
    <n v="0"/>
    <n v="0"/>
    <n v="0"/>
    <n v="0"/>
    <n v="0"/>
    <x v="371"/>
    <n v="10107.24"/>
    <n v="0"/>
    <n v="0"/>
    <n v="0"/>
    <n v="0"/>
    <n v="10107.24"/>
  </r>
  <r>
    <x v="1"/>
    <s v="000064967"/>
    <d v="2025-09-05T00:00:00"/>
    <d v="2026-01-12T00:00:00"/>
    <n v="6820"/>
    <n v="12"/>
    <n v="0"/>
    <n v="0"/>
    <n v="0"/>
    <n v="0"/>
    <n v="0"/>
    <n v="0"/>
    <n v="0"/>
    <x v="371"/>
    <n v="6820"/>
    <n v="0"/>
    <n v="0"/>
    <n v="0"/>
    <n v="0"/>
    <n v="6820"/>
  </r>
  <r>
    <x v="90"/>
    <s v="000064192"/>
    <d v="2025-08-20T00:00:00"/>
    <d v="2026-01-12T00:00:00"/>
    <n v="183607"/>
    <n v="12"/>
    <n v="0"/>
    <n v="0"/>
    <n v="0"/>
    <n v="0"/>
    <n v="0"/>
    <n v="0"/>
    <n v="0"/>
    <x v="371"/>
    <n v="183607"/>
    <n v="0"/>
    <n v="0"/>
    <n v="0"/>
    <n v="0"/>
    <n v="183607"/>
  </r>
  <r>
    <x v="105"/>
    <s v="000066135"/>
    <d v="2025-10-13T00:00:00"/>
    <d v="2026-01-12T00:00:00"/>
    <n v="33075"/>
    <n v="12"/>
    <n v="0"/>
    <n v="0"/>
    <n v="0"/>
    <n v="0"/>
    <n v="0"/>
    <n v="0"/>
    <n v="0"/>
    <x v="371"/>
    <n v="33075"/>
    <n v="0"/>
    <n v="0"/>
    <n v="0"/>
    <n v="0"/>
    <n v="33075"/>
  </r>
  <r>
    <x v="125"/>
    <s v="000065780"/>
    <d v="2025-10-02T00:00:00"/>
    <d v="2026-01-12T00:00:00"/>
    <n v="10974.02"/>
    <n v="12"/>
    <n v="0"/>
    <n v="0"/>
    <n v="0"/>
    <n v="0"/>
    <n v="0"/>
    <n v="0"/>
    <n v="0"/>
    <x v="371"/>
    <n v="10974.02"/>
    <n v="0"/>
    <n v="0"/>
    <n v="0"/>
    <n v="0"/>
    <n v="10974.02"/>
  </r>
  <r>
    <x v="125"/>
    <s v="000065787"/>
    <d v="2025-10-02T00:00:00"/>
    <d v="2026-01-12T00:00:00"/>
    <n v="10373.34"/>
    <n v="12"/>
    <n v="0"/>
    <n v="0"/>
    <n v="0"/>
    <n v="0"/>
    <n v="0"/>
    <n v="0"/>
    <n v="0"/>
    <x v="371"/>
    <n v="10373.34"/>
    <n v="0"/>
    <n v="0"/>
    <n v="0"/>
    <n v="0"/>
    <n v="10373.34"/>
  </r>
  <r>
    <x v="125"/>
    <s v="000065788"/>
    <d v="2025-10-02T00:00:00"/>
    <d v="2026-01-12T00:00:00"/>
    <n v="7609.01"/>
    <n v="12"/>
    <n v="0"/>
    <n v="0"/>
    <n v="0"/>
    <n v="0"/>
    <n v="0"/>
    <n v="0"/>
    <n v="0"/>
    <x v="371"/>
    <n v="7609.01"/>
    <n v="0"/>
    <n v="0"/>
    <n v="0"/>
    <n v="0"/>
    <n v="7609.01"/>
  </r>
  <r>
    <x v="125"/>
    <s v="000065789"/>
    <d v="2025-10-02T00:00:00"/>
    <d v="2026-01-12T00:00:00"/>
    <n v="2104.5"/>
    <n v="12"/>
    <n v="0"/>
    <n v="0"/>
    <n v="0"/>
    <n v="0"/>
    <n v="0"/>
    <n v="0"/>
    <n v="0"/>
    <x v="371"/>
    <n v="2104.5"/>
    <n v="0"/>
    <n v="0"/>
    <n v="0"/>
    <n v="0"/>
    <n v="2104.5"/>
  </r>
  <r>
    <x v="125"/>
    <s v="000065790"/>
    <d v="2025-10-02T00:00:00"/>
    <d v="2026-01-12T00:00:00"/>
    <n v="1033.3399999999999"/>
    <n v="12"/>
    <n v="0"/>
    <n v="0"/>
    <n v="0"/>
    <n v="0"/>
    <n v="0"/>
    <n v="0"/>
    <n v="0"/>
    <x v="371"/>
    <n v="1033.3399999999999"/>
    <n v="0"/>
    <n v="0"/>
    <n v="0"/>
    <n v="0"/>
    <n v="1033.3399999999999"/>
  </r>
  <r>
    <x v="125"/>
    <s v="000066157"/>
    <d v="2025-10-14T00:00:00"/>
    <d v="2026-01-12T00:00:00"/>
    <n v="5862.52"/>
    <n v="12"/>
    <n v="0"/>
    <n v="0"/>
    <n v="0"/>
    <n v="0"/>
    <n v="0"/>
    <n v="0"/>
    <n v="0"/>
    <x v="371"/>
    <n v="5862.52"/>
    <n v="0"/>
    <n v="0"/>
    <n v="0"/>
    <n v="0"/>
    <n v="5862.52"/>
  </r>
  <r>
    <x v="104"/>
    <s v="000066195"/>
    <d v="2025-10-15T00:00:00"/>
    <d v="2026-01-13T00:00:00"/>
    <n v="5750"/>
    <n v="13"/>
    <n v="0"/>
    <n v="0"/>
    <n v="0"/>
    <n v="0"/>
    <n v="0"/>
    <n v="0"/>
    <n v="0"/>
    <x v="371"/>
    <n v="5750"/>
    <n v="0"/>
    <n v="0"/>
    <n v="0"/>
    <n v="0"/>
    <n v="5750"/>
  </r>
  <r>
    <x v="111"/>
    <s v="000065271"/>
    <d v="2025-09-16T00:00:00"/>
    <d v="2026-01-13T00:00:00"/>
    <n v="14447.67"/>
    <n v="13"/>
    <n v="0"/>
    <n v="0"/>
    <n v="0"/>
    <n v="0"/>
    <n v="0"/>
    <n v="0"/>
    <n v="0"/>
    <x v="371"/>
    <n v="14447.67"/>
    <n v="0"/>
    <n v="0"/>
    <n v="0"/>
    <n v="0"/>
    <n v="14447.67"/>
  </r>
  <r>
    <x v="31"/>
    <s v="000066213"/>
    <d v="2025-10-15T00:00:00"/>
    <d v="2026-01-13T00:00:00"/>
    <n v="55750"/>
    <n v="13"/>
    <n v="0"/>
    <n v="0"/>
    <n v="0"/>
    <n v="0"/>
    <n v="0"/>
    <n v="0"/>
    <n v="0"/>
    <x v="371"/>
    <n v="55750"/>
    <n v="0"/>
    <n v="0"/>
    <n v="0"/>
    <n v="0"/>
    <n v="55750"/>
  </r>
  <r>
    <x v="126"/>
    <s v="000065895"/>
    <d v="2025-10-06T00:00:00"/>
    <d v="2026-01-14T00:00:00"/>
    <n v="44509.279999999999"/>
    <n v="14"/>
    <n v="0"/>
    <n v="0"/>
    <n v="0"/>
    <n v="0"/>
    <n v="0"/>
    <n v="0"/>
    <n v="0"/>
    <x v="371"/>
    <n v="44509.279999999999"/>
    <n v="0"/>
    <n v="0"/>
    <n v="0"/>
    <n v="0"/>
    <n v="44509.279999999999"/>
  </r>
  <r>
    <x v="127"/>
    <s v="000068135"/>
    <d v="2025-12-15T00:00:00"/>
    <d v="2026-01-14T00:00:00"/>
    <n v="22168.32"/>
    <n v="14"/>
    <n v="0"/>
    <n v="0"/>
    <n v="0"/>
    <n v="0"/>
    <n v="0"/>
    <n v="0"/>
    <n v="0"/>
    <x v="371"/>
    <n v="22168.32"/>
    <n v="0"/>
    <n v="0"/>
    <n v="0"/>
    <n v="0"/>
    <n v="22168.32"/>
  </r>
  <r>
    <x v="127"/>
    <s v="000068137"/>
    <d v="2025-12-15T00:00:00"/>
    <d v="2026-01-14T00:00:00"/>
    <n v="29763.58"/>
    <n v="14"/>
    <n v="0"/>
    <n v="0"/>
    <n v="0"/>
    <n v="0"/>
    <n v="0"/>
    <n v="0"/>
    <n v="0"/>
    <x v="371"/>
    <n v="29763.58"/>
    <n v="0"/>
    <n v="0"/>
    <n v="0"/>
    <n v="0"/>
    <n v="29763.58"/>
  </r>
  <r>
    <x v="55"/>
    <s v="000065266"/>
    <d v="2025-09-16T00:00:00"/>
    <d v="2026-01-14T00:00:00"/>
    <n v="42922.45"/>
    <n v="14"/>
    <n v="0"/>
    <n v="0"/>
    <n v="0"/>
    <n v="0"/>
    <n v="0"/>
    <n v="0"/>
    <n v="0"/>
    <x v="371"/>
    <n v="42922.45"/>
    <n v="0"/>
    <n v="0"/>
    <n v="0"/>
    <n v="0"/>
    <n v="42922.45"/>
  </r>
  <r>
    <x v="42"/>
    <s v="000011148"/>
    <d v="2025-07-22T00:00:00"/>
    <d v="2026-01-14T00:00:00"/>
    <n v="67533.83"/>
    <n v="14"/>
    <n v="0"/>
    <n v="0"/>
    <n v="0"/>
    <n v="0"/>
    <n v="0"/>
    <n v="0"/>
    <n v="0"/>
    <x v="371"/>
    <n v="67533.83"/>
    <n v="0"/>
    <n v="0"/>
    <n v="0"/>
    <n v="0"/>
    <n v="67533.83"/>
  </r>
  <r>
    <x v="94"/>
    <s v="000012147"/>
    <d v="2025-10-13T00:00:00"/>
    <d v="2026-01-14T00:00:00"/>
    <n v="107000"/>
    <n v="14"/>
    <n v="0"/>
    <n v="0"/>
    <n v="0"/>
    <n v="0"/>
    <n v="0"/>
    <n v="0"/>
    <n v="0"/>
    <x v="371"/>
    <n v="107000"/>
    <n v="0"/>
    <n v="0"/>
    <n v="0"/>
    <n v="0"/>
    <n v="107000"/>
  </r>
  <r>
    <x v="78"/>
    <s v="000065334"/>
    <d v="2025-09-18T00:00:00"/>
    <d v="2026-01-15T00:00:00"/>
    <n v="44034"/>
    <n v="15"/>
    <n v="0"/>
    <n v="0"/>
    <n v="0"/>
    <n v="0"/>
    <n v="0"/>
    <n v="0"/>
    <n v="0"/>
    <x v="371"/>
    <n v="44034"/>
    <n v="0"/>
    <n v="0"/>
    <n v="0"/>
    <n v="0"/>
    <n v="44034"/>
  </r>
  <r>
    <x v="128"/>
    <s v="000011823"/>
    <d v="2025-09-17T00:00:00"/>
    <d v="2026-01-15T00:00:00"/>
    <n v="128000"/>
    <n v="15"/>
    <n v="0"/>
    <n v="0"/>
    <n v="0"/>
    <n v="0"/>
    <n v="0"/>
    <n v="0"/>
    <n v="0"/>
    <x v="371"/>
    <n v="128000"/>
    <n v="0"/>
    <n v="0"/>
    <n v="0"/>
    <n v="0"/>
    <n v="128000"/>
  </r>
  <r>
    <x v="45"/>
    <s v="000067757"/>
    <d v="2025-12-01T00:00:00"/>
    <d v="2026-01-15T00:00:00"/>
    <n v="43598.66"/>
    <n v="15"/>
    <n v="0"/>
    <n v="0"/>
    <n v="0"/>
    <n v="0"/>
    <n v="0"/>
    <n v="0"/>
    <n v="0"/>
    <x v="371"/>
    <n v="43598.66"/>
    <n v="0"/>
    <n v="0"/>
    <n v="0"/>
    <n v="0"/>
    <n v="43598.66"/>
  </r>
  <r>
    <x v="107"/>
    <s v="000068251"/>
    <d v="2025-12-17T00:00:00"/>
    <d v="2026-01-15T00:00:00"/>
    <n v="28016.67"/>
    <n v="15"/>
    <n v="0"/>
    <n v="0"/>
    <n v="0"/>
    <n v="0"/>
    <n v="0"/>
    <n v="0"/>
    <n v="0"/>
    <x v="371"/>
    <n v="28016.67"/>
    <n v="0"/>
    <n v="0"/>
    <n v="0"/>
    <n v="0"/>
    <n v="28016.67"/>
  </r>
  <r>
    <x v="84"/>
    <s v="000066117"/>
    <d v="2025-10-13T00:00:00"/>
    <d v="2026-01-15T00:00:00"/>
    <n v="10800"/>
    <n v="15"/>
    <n v="0"/>
    <n v="0"/>
    <n v="0"/>
    <n v="0"/>
    <n v="0"/>
    <n v="0"/>
    <n v="0"/>
    <x v="371"/>
    <n v="10800"/>
    <n v="0"/>
    <n v="0"/>
    <n v="0"/>
    <n v="0"/>
    <n v="10800"/>
  </r>
  <r>
    <x v="129"/>
    <s v="004675402"/>
    <d v="2024-01-15T00:00:00"/>
    <d v="2026-01-15T00:00:00"/>
    <n v="1390.65"/>
    <n v="15"/>
    <n v="0"/>
    <n v="0"/>
    <n v="0"/>
    <n v="0"/>
    <n v="0"/>
    <n v="0"/>
    <n v="0"/>
    <x v="371"/>
    <n v="1390.65"/>
    <n v="0"/>
    <n v="0"/>
    <n v="0"/>
    <n v="0"/>
    <n v="1390.65"/>
  </r>
  <r>
    <x v="130"/>
    <s v="000060510"/>
    <d v="2025-06-17T00:00:00"/>
    <d v="2026-01-15T00:00:00"/>
    <n v="18757.14"/>
    <n v="15"/>
    <n v="0"/>
    <n v="0"/>
    <n v="0"/>
    <n v="0"/>
    <n v="0"/>
    <n v="0"/>
    <n v="0"/>
    <x v="371"/>
    <n v="18757.14"/>
    <n v="0"/>
    <n v="0"/>
    <n v="0"/>
    <n v="0"/>
    <n v="18757.14"/>
  </r>
  <r>
    <x v="111"/>
    <s v="000065401"/>
    <d v="2025-09-19T00:00:00"/>
    <d v="2026-01-16T00:00:00"/>
    <n v="13333.33"/>
    <n v="16"/>
    <n v="0"/>
    <n v="0"/>
    <n v="0"/>
    <n v="0"/>
    <n v="0"/>
    <n v="0"/>
    <n v="0"/>
    <x v="371"/>
    <n v="13333.33"/>
    <n v="0"/>
    <n v="0"/>
    <n v="0"/>
    <n v="0"/>
    <n v="13333.33"/>
  </r>
  <r>
    <x v="111"/>
    <s v="000068268"/>
    <d v="2025-12-18T00:00:00"/>
    <d v="2026-01-16T00:00:00"/>
    <n v="27300"/>
    <n v="16"/>
    <n v="0"/>
    <n v="0"/>
    <n v="0"/>
    <n v="0"/>
    <n v="0"/>
    <n v="0"/>
    <n v="0"/>
    <x v="371"/>
    <n v="27300"/>
    <n v="0"/>
    <n v="0"/>
    <n v="0"/>
    <n v="0"/>
    <n v="27300"/>
  </r>
  <r>
    <x v="61"/>
    <s v="000005317"/>
    <d v="2024-12-16T00:00:00"/>
    <d v="2026-01-16T00:00:00"/>
    <n v="21923.5"/>
    <n v="16"/>
    <n v="0"/>
    <n v="0"/>
    <n v="0"/>
    <n v="0"/>
    <n v="0"/>
    <n v="0"/>
    <n v="0"/>
    <x v="371"/>
    <n v="21923.5"/>
    <n v="0"/>
    <n v="0"/>
    <n v="0"/>
    <n v="0"/>
    <n v="21923.5"/>
  </r>
  <r>
    <x v="78"/>
    <s v="000065397"/>
    <d v="2025-09-19T00:00:00"/>
    <d v="2026-01-17T00:00:00"/>
    <n v="77996"/>
    <n v="17"/>
    <n v="0"/>
    <n v="0"/>
    <n v="0"/>
    <n v="0"/>
    <n v="0"/>
    <n v="0"/>
    <n v="0"/>
    <x v="371"/>
    <n v="77996"/>
    <n v="0"/>
    <n v="0"/>
    <n v="0"/>
    <n v="0"/>
    <n v="77996"/>
  </r>
  <r>
    <x v="131"/>
    <s v="000068333"/>
    <d v="2025-12-18T00:00:00"/>
    <d v="2026-01-17T00:00:00"/>
    <n v="252"/>
    <n v="17"/>
    <n v="0"/>
    <n v="0"/>
    <n v="0"/>
    <n v="0"/>
    <n v="0"/>
    <n v="0"/>
    <n v="0"/>
    <x v="371"/>
    <n v="252"/>
    <n v="0"/>
    <n v="0"/>
    <n v="0"/>
    <n v="0"/>
    <n v="252"/>
  </r>
  <r>
    <x v="94"/>
    <s v="000065407"/>
    <d v="2025-09-19T00:00:00"/>
    <d v="2026-01-17T00:00:00"/>
    <n v="114536"/>
    <n v="17"/>
    <n v="0"/>
    <n v="0"/>
    <n v="0"/>
    <n v="0"/>
    <n v="0"/>
    <n v="0"/>
    <n v="0"/>
    <x v="371"/>
    <n v="114536"/>
    <n v="0"/>
    <n v="0"/>
    <n v="0"/>
    <n v="0"/>
    <n v="114536"/>
  </r>
  <r>
    <x v="132"/>
    <s v="000067367"/>
    <d v="2025-11-19T00:00:00"/>
    <d v="2026-01-18T00:00:00"/>
    <n v="23489"/>
    <n v="18"/>
    <n v="0"/>
    <n v="0"/>
    <n v="0"/>
    <n v="0"/>
    <n v="0"/>
    <n v="0"/>
    <n v="0"/>
    <x v="371"/>
    <n v="23489"/>
    <n v="0"/>
    <n v="0"/>
    <n v="0"/>
    <n v="0"/>
    <n v="23489"/>
  </r>
  <r>
    <x v="69"/>
    <s v="000061116"/>
    <d v="2025-05-23T00:00:00"/>
    <d v="2026-01-18T00:00:00"/>
    <n v="4600"/>
    <n v="18"/>
    <n v="0"/>
    <n v="0"/>
    <n v="0"/>
    <n v="0"/>
    <n v="0"/>
    <n v="0"/>
    <n v="0"/>
    <x v="371"/>
    <n v="4600"/>
    <n v="0"/>
    <n v="0"/>
    <n v="0"/>
    <n v="0"/>
    <n v="4600"/>
  </r>
  <r>
    <x v="133"/>
    <s v="12082026"/>
    <d v="2025-11-17T00:00:00"/>
    <d v="2026-01-18T00:00:00"/>
    <n v="83671.87"/>
    <n v="18"/>
    <n v="0"/>
    <n v="0"/>
    <n v="0"/>
    <n v="0"/>
    <n v="0"/>
    <n v="0"/>
    <n v="0"/>
    <x v="371"/>
    <n v="83671.87"/>
    <n v="0"/>
    <n v="0"/>
    <n v="0"/>
    <n v="0"/>
    <n v="83671.87"/>
  </r>
  <r>
    <x v="63"/>
    <s v="000056098"/>
    <d v="2025-07-21T00:00:00"/>
    <d v="2026-01-20T00:00:00"/>
    <n v="41545"/>
    <n v="20"/>
    <n v="0"/>
    <n v="0"/>
    <n v="0"/>
    <n v="0"/>
    <n v="0"/>
    <n v="0"/>
    <n v="0"/>
    <x v="371"/>
    <n v="41545"/>
    <n v="0"/>
    <n v="0"/>
    <n v="0"/>
    <n v="0"/>
    <n v="41545"/>
  </r>
  <r>
    <x v="134"/>
    <s v="000064220"/>
    <d v="2025-08-20T00:00:00"/>
    <d v="2026-01-20T00:00:00"/>
    <n v="6300"/>
    <n v="20"/>
    <n v="0"/>
    <n v="0"/>
    <n v="0"/>
    <n v="0"/>
    <n v="0"/>
    <n v="0"/>
    <n v="0"/>
    <x v="371"/>
    <n v="6300"/>
    <n v="0"/>
    <n v="0"/>
    <n v="0"/>
    <n v="0"/>
    <n v="6300"/>
  </r>
  <r>
    <x v="135"/>
    <s v="000065492"/>
    <d v="2025-09-23T00:00:00"/>
    <d v="2026-01-20T00:00:00"/>
    <n v="69600"/>
    <n v="20"/>
    <n v="0"/>
    <n v="0"/>
    <n v="0"/>
    <n v="0"/>
    <n v="0"/>
    <n v="0"/>
    <n v="0"/>
    <x v="371"/>
    <n v="69600"/>
    <n v="0"/>
    <n v="0"/>
    <n v="0"/>
    <n v="0"/>
    <n v="69600"/>
  </r>
  <r>
    <x v="123"/>
    <s v="000066422"/>
    <d v="2025-10-22T00:00:00"/>
    <d v="2026-01-20T00:00:00"/>
    <n v="23333.34"/>
    <n v="20"/>
    <n v="0"/>
    <n v="0"/>
    <n v="0"/>
    <n v="0"/>
    <n v="0"/>
    <n v="0"/>
    <n v="0"/>
    <x v="371"/>
    <n v="23333.34"/>
    <n v="0"/>
    <n v="0"/>
    <n v="0"/>
    <n v="0"/>
    <n v="23333.34"/>
  </r>
  <r>
    <x v="120"/>
    <s v="000065241"/>
    <d v="2025-09-15T00:00:00"/>
    <d v="2026-01-20T00:00:00"/>
    <n v="40726.33"/>
    <n v="20"/>
    <n v="0"/>
    <n v="0"/>
    <n v="0"/>
    <n v="0"/>
    <n v="0"/>
    <n v="0"/>
    <n v="0"/>
    <x v="371"/>
    <n v="40726.33"/>
    <n v="0"/>
    <n v="0"/>
    <n v="0"/>
    <n v="0"/>
    <n v="40726.33"/>
  </r>
  <r>
    <x v="130"/>
    <s v="000068049"/>
    <d v="2025-12-10T00:00:00"/>
    <d v="2026-01-20T00:00:00"/>
    <n v="27233.33"/>
    <n v="20"/>
    <n v="0"/>
    <n v="0"/>
    <n v="0"/>
    <n v="0"/>
    <n v="0"/>
    <n v="0"/>
    <n v="0"/>
    <x v="371"/>
    <n v="27233.33"/>
    <n v="0"/>
    <n v="0"/>
    <n v="0"/>
    <n v="0"/>
    <n v="27233.33"/>
  </r>
  <r>
    <x v="136"/>
    <s v="000009799"/>
    <d v="2025-03-27T00:00:00"/>
    <d v="2026-01-20T00:00:00"/>
    <n v="26282"/>
    <n v="20"/>
    <n v="0"/>
    <n v="0"/>
    <n v="0"/>
    <n v="0"/>
    <n v="0"/>
    <n v="0"/>
    <n v="0"/>
    <x v="371"/>
    <n v="26282"/>
    <n v="0"/>
    <n v="0"/>
    <n v="0"/>
    <n v="0"/>
    <n v="26282"/>
  </r>
  <r>
    <x v="137"/>
    <s v="000012759"/>
    <d v="2025-12-22T00:00:00"/>
    <d v="2026-01-20T00:00:00"/>
    <n v="30387.5"/>
    <n v="20"/>
    <n v="0"/>
    <n v="0"/>
    <n v="0"/>
    <n v="0"/>
    <n v="0"/>
    <n v="0"/>
    <n v="0"/>
    <x v="371"/>
    <n v="30387.5"/>
    <n v="0"/>
    <n v="0"/>
    <n v="0"/>
    <n v="0"/>
    <n v="30387.5"/>
  </r>
  <r>
    <x v="102"/>
    <s v="000068450"/>
    <d v="2025-12-23T00:00:00"/>
    <d v="2026-01-22T00:00:00"/>
    <n v="9822.25"/>
    <n v="22"/>
    <n v="0"/>
    <n v="0"/>
    <n v="0"/>
    <n v="0"/>
    <n v="0"/>
    <n v="0"/>
    <n v="0"/>
    <x v="371"/>
    <n v="9822.25"/>
    <n v="0"/>
    <n v="0"/>
    <n v="0"/>
    <n v="0"/>
    <n v="9822.25"/>
  </r>
  <r>
    <x v="138"/>
    <s v="000066521"/>
    <d v="2025-10-24T00:00:00"/>
    <d v="2026-01-22T00:00:00"/>
    <n v="14240.38"/>
    <n v="22"/>
    <n v="0"/>
    <n v="0"/>
    <n v="0"/>
    <n v="0"/>
    <n v="0"/>
    <n v="0"/>
    <n v="0"/>
    <x v="371"/>
    <n v="14240.38"/>
    <n v="0"/>
    <n v="0"/>
    <n v="0"/>
    <n v="0"/>
    <n v="14240.38"/>
  </r>
  <r>
    <x v="1"/>
    <s v="000065259"/>
    <d v="2025-09-16T00:00:00"/>
    <d v="2026-01-22T00:00:00"/>
    <n v="43945"/>
    <n v="22"/>
    <n v="0"/>
    <n v="0"/>
    <n v="0"/>
    <n v="0"/>
    <n v="0"/>
    <n v="0"/>
    <n v="0"/>
    <x v="371"/>
    <n v="43945"/>
    <n v="0"/>
    <n v="0"/>
    <n v="0"/>
    <n v="0"/>
    <n v="43945"/>
  </r>
  <r>
    <x v="139"/>
    <s v="000068448"/>
    <d v="2025-12-23T00:00:00"/>
    <d v="2026-01-22T00:00:00"/>
    <n v="5948"/>
    <n v="22"/>
    <n v="0"/>
    <n v="0"/>
    <n v="0"/>
    <n v="0"/>
    <n v="0"/>
    <n v="0"/>
    <n v="0"/>
    <x v="371"/>
    <n v="5948"/>
    <n v="0"/>
    <n v="0"/>
    <n v="0"/>
    <n v="0"/>
    <n v="5948"/>
  </r>
  <r>
    <x v="104"/>
    <s v="000065532"/>
    <d v="2025-09-24T00:00:00"/>
    <d v="2026-01-22T00:00:00"/>
    <n v="4620"/>
    <n v="22"/>
    <n v="0"/>
    <n v="0"/>
    <n v="0"/>
    <n v="0"/>
    <n v="0"/>
    <n v="0"/>
    <n v="0"/>
    <x v="371"/>
    <n v="4620"/>
    <n v="0"/>
    <n v="0"/>
    <n v="0"/>
    <n v="0"/>
    <n v="4620"/>
  </r>
  <r>
    <x v="140"/>
    <s v="000068451"/>
    <d v="2025-12-23T00:00:00"/>
    <d v="2026-01-22T00:00:00"/>
    <n v="153000"/>
    <n v="22"/>
    <n v="0"/>
    <n v="0"/>
    <n v="0"/>
    <n v="0"/>
    <n v="0"/>
    <n v="0"/>
    <n v="0"/>
    <x v="371"/>
    <n v="153000"/>
    <n v="0"/>
    <n v="0"/>
    <n v="0"/>
    <n v="0"/>
    <n v="153000"/>
  </r>
  <r>
    <x v="125"/>
    <s v="000068426"/>
    <d v="2025-12-23T00:00:00"/>
    <d v="2026-01-22T00:00:00"/>
    <n v="40375"/>
    <n v="22"/>
    <n v="0"/>
    <n v="0"/>
    <n v="0"/>
    <n v="0"/>
    <n v="0"/>
    <n v="0"/>
    <n v="0"/>
    <x v="371"/>
    <n v="40375"/>
    <n v="0"/>
    <n v="0"/>
    <n v="0"/>
    <n v="0"/>
    <n v="40375"/>
  </r>
  <r>
    <x v="125"/>
    <s v="000068434"/>
    <d v="2025-12-23T00:00:00"/>
    <d v="2026-01-22T00:00:00"/>
    <n v="11618"/>
    <n v="22"/>
    <n v="0"/>
    <n v="0"/>
    <n v="0"/>
    <n v="0"/>
    <n v="0"/>
    <n v="0"/>
    <n v="0"/>
    <x v="371"/>
    <n v="11618"/>
    <n v="0"/>
    <n v="0"/>
    <n v="0"/>
    <n v="0"/>
    <n v="11618"/>
  </r>
  <r>
    <x v="125"/>
    <s v="000068438"/>
    <d v="2025-12-23T00:00:00"/>
    <d v="2026-01-22T00:00:00"/>
    <n v="10974"/>
    <n v="22"/>
    <n v="0"/>
    <n v="0"/>
    <n v="0"/>
    <n v="0"/>
    <n v="0"/>
    <n v="0"/>
    <n v="0"/>
    <x v="371"/>
    <n v="10974"/>
    <n v="0"/>
    <n v="0"/>
    <n v="0"/>
    <n v="0"/>
    <n v="10974"/>
  </r>
  <r>
    <x v="125"/>
    <s v="000068439"/>
    <d v="2025-12-23T00:00:00"/>
    <d v="2026-01-22T00:00:00"/>
    <n v="10974"/>
    <n v="22"/>
    <n v="0"/>
    <n v="0"/>
    <n v="0"/>
    <n v="0"/>
    <n v="0"/>
    <n v="0"/>
    <n v="0"/>
    <x v="371"/>
    <n v="10974"/>
    <n v="0"/>
    <n v="0"/>
    <n v="0"/>
    <n v="0"/>
    <n v="10974"/>
  </r>
  <r>
    <x v="125"/>
    <s v="000068440"/>
    <d v="2025-12-23T00:00:00"/>
    <d v="2026-01-22T00:00:00"/>
    <n v="3966.5"/>
    <n v="22"/>
    <n v="0"/>
    <n v="0"/>
    <n v="0"/>
    <n v="0"/>
    <n v="0"/>
    <n v="0"/>
    <n v="0"/>
    <x v="371"/>
    <n v="3966.5"/>
    <n v="0"/>
    <n v="0"/>
    <n v="0"/>
    <n v="0"/>
    <n v="3966.5"/>
  </r>
  <r>
    <x v="125"/>
    <s v="000068441"/>
    <d v="2025-12-23T00:00:00"/>
    <d v="2026-01-22T00:00:00"/>
    <n v="3966.5"/>
    <n v="22"/>
    <n v="0"/>
    <n v="0"/>
    <n v="0"/>
    <n v="0"/>
    <n v="0"/>
    <n v="0"/>
    <n v="0"/>
    <x v="371"/>
    <n v="3966.5"/>
    <n v="0"/>
    <n v="0"/>
    <n v="0"/>
    <n v="0"/>
    <n v="3966.5"/>
  </r>
  <r>
    <x v="125"/>
    <s v="000068447"/>
    <d v="2025-12-23T00:00:00"/>
    <d v="2026-01-22T00:00:00"/>
    <n v="10414"/>
    <n v="22"/>
    <n v="0"/>
    <n v="0"/>
    <n v="0"/>
    <n v="0"/>
    <n v="0"/>
    <n v="0"/>
    <n v="0"/>
    <x v="371"/>
    <n v="10414"/>
    <n v="0"/>
    <n v="0"/>
    <n v="0"/>
    <n v="0"/>
    <n v="10414"/>
  </r>
  <r>
    <x v="141"/>
    <s v="000011926"/>
    <d v="2025-09-25T00:00:00"/>
    <d v="2026-01-23T00:00:00"/>
    <n v="93540"/>
    <n v="23"/>
    <n v="0"/>
    <n v="0"/>
    <n v="0"/>
    <n v="0"/>
    <n v="0"/>
    <n v="0"/>
    <n v="0"/>
    <x v="371"/>
    <n v="93540"/>
    <n v="0"/>
    <n v="0"/>
    <n v="0"/>
    <n v="0"/>
    <n v="93540"/>
  </r>
  <r>
    <x v="54"/>
    <s v="000011923"/>
    <d v="2025-09-25T00:00:00"/>
    <d v="2026-01-23T00:00:00"/>
    <n v="31968.400000000001"/>
    <n v="23"/>
    <n v="0"/>
    <n v="0"/>
    <n v="0"/>
    <n v="0"/>
    <n v="0"/>
    <n v="0"/>
    <n v="0"/>
    <x v="371"/>
    <n v="31968.400000000001"/>
    <n v="0"/>
    <n v="0"/>
    <n v="0"/>
    <n v="0"/>
    <n v="31968.400000000001"/>
  </r>
  <r>
    <x v="142"/>
    <s v="000067492"/>
    <d v="2025-11-24T00:00:00"/>
    <d v="2026-01-23T00:00:00"/>
    <n v="50695.33"/>
    <n v="23"/>
    <n v="0"/>
    <n v="0"/>
    <n v="0"/>
    <n v="0"/>
    <n v="0"/>
    <n v="0"/>
    <n v="0"/>
    <x v="371"/>
    <n v="50695.33"/>
    <n v="0"/>
    <n v="0"/>
    <n v="0"/>
    <n v="0"/>
    <n v="50695.33"/>
  </r>
  <r>
    <x v="143"/>
    <s v="000065550"/>
    <d v="2025-09-25T00:00:00"/>
    <d v="2026-01-23T00:00:00"/>
    <n v="1619.94"/>
    <n v="23"/>
    <n v="0"/>
    <n v="0"/>
    <n v="0"/>
    <n v="0"/>
    <n v="0"/>
    <n v="0"/>
    <n v="0"/>
    <x v="371"/>
    <n v="1619.94"/>
    <n v="0"/>
    <n v="0"/>
    <n v="0"/>
    <n v="0"/>
    <n v="1619.94"/>
  </r>
  <r>
    <x v="51"/>
    <s v="000067075"/>
    <d v="2025-11-10T00:00:00"/>
    <d v="2026-01-23T00:00:00"/>
    <n v="11450"/>
    <n v="23"/>
    <n v="0"/>
    <n v="0"/>
    <n v="0"/>
    <n v="0"/>
    <n v="0"/>
    <n v="0"/>
    <n v="0"/>
    <x v="371"/>
    <n v="11450"/>
    <n v="0"/>
    <n v="0"/>
    <n v="0"/>
    <n v="0"/>
    <n v="11450"/>
  </r>
  <r>
    <x v="42"/>
    <s v="000011945"/>
    <d v="2025-09-25T00:00:00"/>
    <d v="2026-01-23T00:00:00"/>
    <n v="38143.769999999997"/>
    <n v="23"/>
    <n v="0"/>
    <n v="0"/>
    <n v="0"/>
    <n v="0"/>
    <n v="0"/>
    <n v="0"/>
    <n v="0"/>
    <x v="371"/>
    <n v="38143.769999999997"/>
    <n v="0"/>
    <n v="0"/>
    <n v="0"/>
    <n v="0"/>
    <n v="38143.769999999997"/>
  </r>
  <r>
    <x v="110"/>
    <s v="000067512"/>
    <d v="2025-11-25T00:00:00"/>
    <d v="2026-01-24T00:00:00"/>
    <n v="7799"/>
    <n v="24"/>
    <n v="0"/>
    <n v="0"/>
    <n v="0"/>
    <n v="0"/>
    <n v="0"/>
    <n v="0"/>
    <n v="0"/>
    <x v="371"/>
    <n v="7799"/>
    <n v="0"/>
    <n v="0"/>
    <n v="0"/>
    <n v="0"/>
    <n v="7799"/>
  </r>
  <r>
    <x v="110"/>
    <s v="000067513"/>
    <d v="2025-11-25T00:00:00"/>
    <d v="2026-01-24T00:00:00"/>
    <n v="4334"/>
    <n v="24"/>
    <n v="0"/>
    <n v="0"/>
    <n v="0"/>
    <n v="0"/>
    <n v="0"/>
    <n v="0"/>
    <n v="0"/>
    <x v="371"/>
    <n v="4334"/>
    <n v="0"/>
    <n v="0"/>
    <n v="0"/>
    <n v="0"/>
    <n v="4334"/>
  </r>
  <r>
    <x v="110"/>
    <s v="000067515"/>
    <d v="2025-11-25T00:00:00"/>
    <d v="2026-01-24T00:00:00"/>
    <n v="4334"/>
    <n v="24"/>
    <n v="0"/>
    <n v="0"/>
    <n v="0"/>
    <n v="0"/>
    <n v="0"/>
    <n v="0"/>
    <n v="0"/>
    <x v="371"/>
    <n v="4334"/>
    <n v="0"/>
    <n v="0"/>
    <n v="0"/>
    <n v="0"/>
    <n v="4334"/>
  </r>
  <r>
    <x v="50"/>
    <s v="000065603"/>
    <d v="2025-09-26T00:00:00"/>
    <d v="2026-01-24T00:00:00"/>
    <n v="70500"/>
    <n v="24"/>
    <n v="0"/>
    <n v="0"/>
    <n v="0"/>
    <n v="0"/>
    <n v="0"/>
    <n v="0"/>
    <n v="0"/>
    <x v="371"/>
    <n v="70500"/>
    <n v="0"/>
    <n v="0"/>
    <n v="0"/>
    <n v="0"/>
    <n v="70500"/>
  </r>
  <r>
    <x v="34"/>
    <s v="000067570"/>
    <d v="2025-11-26T00:00:00"/>
    <d v="2026-01-25T00:00:00"/>
    <n v="11987.5"/>
    <n v="25"/>
    <n v="0"/>
    <n v="0"/>
    <n v="0"/>
    <n v="0"/>
    <n v="0"/>
    <n v="0"/>
    <n v="0"/>
    <x v="371"/>
    <n v="11987.5"/>
    <n v="0"/>
    <n v="0"/>
    <n v="0"/>
    <n v="0"/>
    <n v="11987.5"/>
  </r>
  <r>
    <x v="34"/>
    <s v="000067571"/>
    <d v="2025-11-26T00:00:00"/>
    <d v="2026-01-25T00:00:00"/>
    <n v="15662.75"/>
    <n v="25"/>
    <n v="0"/>
    <n v="0"/>
    <n v="0"/>
    <n v="0"/>
    <n v="0"/>
    <n v="0"/>
    <n v="0"/>
    <x v="371"/>
    <n v="15662.75"/>
    <n v="0"/>
    <n v="0"/>
    <n v="0"/>
    <n v="0"/>
    <n v="15662.75"/>
  </r>
  <r>
    <x v="95"/>
    <s v="000012621"/>
    <d v="2025-11-26T00:00:00"/>
    <d v="2026-01-25T00:00:00"/>
    <n v="10967.55"/>
    <n v="25"/>
    <n v="0"/>
    <n v="0"/>
    <n v="0"/>
    <n v="0"/>
    <n v="0"/>
    <n v="0"/>
    <n v="0"/>
    <x v="371"/>
    <n v="10967.55"/>
    <n v="0"/>
    <n v="0"/>
    <n v="0"/>
    <n v="0"/>
    <n v="10967.55"/>
  </r>
  <r>
    <x v="144"/>
    <s v="000067556"/>
    <d v="2025-11-26T00:00:00"/>
    <d v="2026-01-25T00:00:00"/>
    <n v="55467.43"/>
    <n v="25"/>
    <n v="0"/>
    <n v="0"/>
    <n v="0"/>
    <n v="0"/>
    <n v="0"/>
    <n v="0"/>
    <n v="0"/>
    <x v="371"/>
    <n v="55467.43"/>
    <n v="0"/>
    <n v="0"/>
    <n v="0"/>
    <n v="0"/>
    <n v="55467.43"/>
  </r>
  <r>
    <x v="145"/>
    <s v="000068499"/>
    <d v="2025-12-26T00:00:00"/>
    <d v="2026-01-25T00:00:00"/>
    <n v="25825"/>
    <n v="25"/>
    <n v="0"/>
    <n v="0"/>
    <n v="0"/>
    <n v="0"/>
    <n v="0"/>
    <n v="0"/>
    <n v="0"/>
    <x v="371"/>
    <n v="25825"/>
    <n v="0"/>
    <n v="0"/>
    <n v="0"/>
    <n v="0"/>
    <n v="25825"/>
  </r>
  <r>
    <x v="125"/>
    <s v="000067559"/>
    <d v="2025-11-26T00:00:00"/>
    <d v="2026-01-25T00:00:00"/>
    <n v="10974"/>
    <n v="25"/>
    <n v="0"/>
    <n v="0"/>
    <n v="0"/>
    <n v="0"/>
    <n v="0"/>
    <n v="0"/>
    <n v="0"/>
    <x v="371"/>
    <n v="10974"/>
    <n v="0"/>
    <n v="0"/>
    <n v="0"/>
    <n v="0"/>
    <n v="10974"/>
  </r>
  <r>
    <x v="125"/>
    <s v="000067560"/>
    <d v="2025-11-26T00:00:00"/>
    <d v="2026-01-25T00:00:00"/>
    <n v="7844.17"/>
    <n v="25"/>
    <n v="0"/>
    <n v="0"/>
    <n v="0"/>
    <n v="0"/>
    <n v="0"/>
    <n v="0"/>
    <n v="0"/>
    <x v="371"/>
    <n v="7844.17"/>
    <n v="0"/>
    <n v="0"/>
    <n v="0"/>
    <n v="0"/>
    <n v="7844.17"/>
  </r>
  <r>
    <x v="125"/>
    <s v="000067566"/>
    <d v="2025-11-26T00:00:00"/>
    <d v="2026-01-25T00:00:00"/>
    <n v="4508.5"/>
    <n v="25"/>
    <n v="0"/>
    <n v="0"/>
    <n v="0"/>
    <n v="0"/>
    <n v="0"/>
    <n v="0"/>
    <n v="0"/>
    <x v="371"/>
    <n v="4508.5"/>
    <n v="0"/>
    <n v="0"/>
    <n v="0"/>
    <n v="0"/>
    <n v="4508.5"/>
  </r>
  <r>
    <x v="125"/>
    <s v="000067568"/>
    <d v="2025-11-26T00:00:00"/>
    <d v="2026-01-25T00:00:00"/>
    <n v="10763.17"/>
    <n v="25"/>
    <n v="0"/>
    <n v="0"/>
    <n v="0"/>
    <n v="0"/>
    <n v="0"/>
    <n v="0"/>
    <n v="0"/>
    <x v="371"/>
    <n v="10763.17"/>
    <n v="0"/>
    <n v="0"/>
    <n v="0"/>
    <n v="0"/>
    <n v="10763.17"/>
  </r>
  <r>
    <x v="97"/>
    <s v="000067618"/>
    <d v="2025-11-27T00:00:00"/>
    <d v="2026-01-26T00:00:00"/>
    <n v="11642.05"/>
    <n v="26"/>
    <n v="0"/>
    <n v="0"/>
    <n v="0"/>
    <n v="0"/>
    <n v="0"/>
    <n v="0"/>
    <n v="0"/>
    <x v="371"/>
    <n v="11642.05"/>
    <n v="0"/>
    <n v="0"/>
    <n v="0"/>
    <n v="0"/>
    <n v="11642.05"/>
  </r>
  <r>
    <x v="113"/>
    <s v="000067605"/>
    <d v="2025-11-27T00:00:00"/>
    <d v="2026-01-26T00:00:00"/>
    <n v="43403.21"/>
    <n v="26"/>
    <n v="0"/>
    <n v="0"/>
    <n v="0"/>
    <n v="0"/>
    <n v="0"/>
    <n v="0"/>
    <n v="0"/>
    <x v="371"/>
    <n v="43403.21"/>
    <n v="0"/>
    <n v="0"/>
    <n v="0"/>
    <n v="0"/>
    <n v="43403.21"/>
  </r>
  <r>
    <x v="113"/>
    <s v="000067608"/>
    <d v="2025-11-27T00:00:00"/>
    <d v="2026-01-26T00:00:00"/>
    <n v="43403.21"/>
    <n v="26"/>
    <n v="0"/>
    <n v="0"/>
    <n v="0"/>
    <n v="0"/>
    <n v="0"/>
    <n v="0"/>
    <n v="0"/>
    <x v="371"/>
    <n v="43403.21"/>
    <n v="0"/>
    <n v="0"/>
    <n v="0"/>
    <n v="0"/>
    <n v="43403.21"/>
  </r>
  <r>
    <x v="46"/>
    <s v="000067672"/>
    <d v="2025-11-28T00:00:00"/>
    <d v="2026-01-27T00:00:00"/>
    <n v="30670.400000000001"/>
    <n v="27"/>
    <n v="0"/>
    <n v="0"/>
    <n v="0"/>
    <n v="0"/>
    <n v="0"/>
    <n v="0"/>
    <n v="0"/>
    <x v="371"/>
    <n v="30670.400000000001"/>
    <n v="0"/>
    <n v="0"/>
    <n v="0"/>
    <n v="0"/>
    <n v="30670.400000000001"/>
  </r>
  <r>
    <x v="46"/>
    <s v="000067674"/>
    <d v="2025-11-28T00:00:00"/>
    <d v="2026-01-27T00:00:00"/>
    <n v="13354.32"/>
    <n v="27"/>
    <n v="0"/>
    <n v="0"/>
    <n v="0"/>
    <n v="0"/>
    <n v="0"/>
    <n v="0"/>
    <n v="0"/>
    <x v="371"/>
    <n v="13354.32"/>
    <n v="0"/>
    <n v="0"/>
    <n v="0"/>
    <n v="0"/>
    <n v="13354.32"/>
  </r>
  <r>
    <x v="146"/>
    <s v="000012644"/>
    <d v="2025-11-28T00:00:00"/>
    <d v="2026-01-27T00:00:00"/>
    <n v="57500"/>
    <n v="27"/>
    <n v="0"/>
    <n v="0"/>
    <n v="0"/>
    <n v="0"/>
    <n v="0"/>
    <n v="0"/>
    <n v="0"/>
    <x v="371"/>
    <n v="57500"/>
    <n v="0"/>
    <n v="0"/>
    <n v="0"/>
    <n v="0"/>
    <n v="57500"/>
  </r>
  <r>
    <x v="139"/>
    <s v="000067683"/>
    <d v="2025-11-28T00:00:00"/>
    <d v="2026-01-27T00:00:00"/>
    <n v="4379.33"/>
    <n v="27"/>
    <n v="0"/>
    <n v="0"/>
    <n v="0"/>
    <n v="0"/>
    <n v="0"/>
    <n v="0"/>
    <n v="0"/>
    <x v="371"/>
    <n v="4379.33"/>
    <n v="0"/>
    <n v="0"/>
    <n v="0"/>
    <n v="0"/>
    <n v="4379.33"/>
  </r>
  <r>
    <x v="147"/>
    <s v="000066679"/>
    <d v="2025-10-30T00:00:00"/>
    <d v="2026-01-28T00:00:00"/>
    <n v="55467.43"/>
    <n v="28"/>
    <n v="0"/>
    <n v="0"/>
    <n v="0"/>
    <n v="0"/>
    <n v="0"/>
    <n v="0"/>
    <n v="0"/>
    <x v="371"/>
    <n v="55467.43"/>
    <n v="0"/>
    <n v="0"/>
    <n v="0"/>
    <n v="0"/>
    <n v="55467.43"/>
  </r>
  <r>
    <x v="113"/>
    <s v="000068522"/>
    <d v="2025-12-29T00:00:00"/>
    <d v="2026-01-28T00:00:00"/>
    <n v="11206"/>
    <n v="28"/>
    <n v="0"/>
    <n v="0"/>
    <n v="0"/>
    <n v="0"/>
    <n v="0"/>
    <n v="0"/>
    <n v="0"/>
    <x v="371"/>
    <n v="11206"/>
    <n v="0"/>
    <n v="0"/>
    <n v="0"/>
    <n v="0"/>
    <n v="11206"/>
  </r>
  <r>
    <x v="135"/>
    <s v="000066716"/>
    <d v="2025-10-30T00:00:00"/>
    <d v="2026-01-28T00:00:00"/>
    <n v="26097.119999999999"/>
    <n v="28"/>
    <n v="0"/>
    <n v="0"/>
    <n v="0"/>
    <n v="0"/>
    <n v="0"/>
    <n v="0"/>
    <n v="0"/>
    <x v="371"/>
    <n v="26097.119999999999"/>
    <n v="0"/>
    <n v="0"/>
    <n v="0"/>
    <n v="0"/>
    <n v="26097.119999999999"/>
  </r>
  <r>
    <x v="148"/>
    <s v="000068510"/>
    <d v="2025-12-29T00:00:00"/>
    <d v="2026-01-28T00:00:00"/>
    <n v="32745"/>
    <n v="28"/>
    <n v="0"/>
    <n v="0"/>
    <n v="0"/>
    <n v="0"/>
    <n v="0"/>
    <n v="0"/>
    <n v="0"/>
    <x v="371"/>
    <n v="32745"/>
    <n v="0"/>
    <n v="0"/>
    <n v="0"/>
    <n v="0"/>
    <n v="32745"/>
  </r>
  <r>
    <x v="148"/>
    <s v="000068512"/>
    <d v="2025-12-29T00:00:00"/>
    <d v="2026-01-28T00:00:00"/>
    <n v="32195"/>
    <n v="28"/>
    <n v="0"/>
    <n v="0"/>
    <n v="0"/>
    <n v="0"/>
    <n v="0"/>
    <n v="0"/>
    <n v="0"/>
    <x v="371"/>
    <n v="32195"/>
    <n v="0"/>
    <n v="0"/>
    <n v="0"/>
    <n v="0"/>
    <n v="32195"/>
  </r>
  <r>
    <x v="111"/>
    <s v="000066755"/>
    <d v="2025-10-31T00:00:00"/>
    <d v="2026-01-28T00:00:00"/>
    <n v="7300"/>
    <n v="28"/>
    <n v="0"/>
    <n v="0"/>
    <n v="0"/>
    <n v="0"/>
    <n v="0"/>
    <n v="0"/>
    <n v="0"/>
    <x v="371"/>
    <n v="7300"/>
    <n v="0"/>
    <n v="0"/>
    <n v="0"/>
    <n v="0"/>
    <n v="7300"/>
  </r>
  <r>
    <x v="42"/>
    <s v="000012023"/>
    <d v="2025-10-02T00:00:00"/>
    <d v="2026-01-28T00:00:00"/>
    <n v="38143.769999999997"/>
    <n v="28"/>
    <n v="0"/>
    <n v="0"/>
    <n v="0"/>
    <n v="0"/>
    <n v="0"/>
    <n v="0"/>
    <n v="0"/>
    <x v="371"/>
    <n v="38143.769999999997"/>
    <n v="0"/>
    <n v="0"/>
    <n v="0"/>
    <n v="0"/>
    <n v="38143.769999999997"/>
  </r>
  <r>
    <x v="86"/>
    <s v="000066729"/>
    <d v="2025-10-31T00:00:00"/>
    <d v="2026-01-29T00:00:00"/>
    <n v="18415"/>
    <n v="29"/>
    <n v="0"/>
    <n v="0"/>
    <n v="0"/>
    <n v="0"/>
    <n v="0"/>
    <n v="0"/>
    <n v="0"/>
    <x v="371"/>
    <n v="18415"/>
    <n v="0"/>
    <n v="0"/>
    <n v="0"/>
    <n v="0"/>
    <n v="18415"/>
  </r>
  <r>
    <x v="138"/>
    <s v="000066770"/>
    <d v="2025-10-31T00:00:00"/>
    <d v="2026-01-29T00:00:00"/>
    <n v="43403.21"/>
    <n v="29"/>
    <n v="0"/>
    <n v="0"/>
    <n v="0"/>
    <n v="0"/>
    <n v="0"/>
    <n v="0"/>
    <n v="0"/>
    <x v="371"/>
    <n v="43403.21"/>
    <n v="0"/>
    <n v="0"/>
    <n v="0"/>
    <n v="0"/>
    <n v="43403.21"/>
  </r>
  <r>
    <x v="138"/>
    <s v="000066779"/>
    <d v="2025-10-31T00:00:00"/>
    <d v="2026-01-29T00:00:00"/>
    <n v="14435.83"/>
    <n v="29"/>
    <n v="0"/>
    <n v="0"/>
    <n v="0"/>
    <n v="0"/>
    <n v="0"/>
    <n v="0"/>
    <n v="0"/>
    <x v="371"/>
    <n v="14435.83"/>
    <n v="0"/>
    <n v="0"/>
    <n v="0"/>
    <n v="0"/>
    <n v="14435.83"/>
  </r>
  <r>
    <x v="149"/>
    <s v="000012397"/>
    <d v="2025-10-31T00:00:00"/>
    <d v="2026-01-29T00:00:00"/>
    <n v="2356"/>
    <n v="29"/>
    <n v="0"/>
    <n v="0"/>
    <n v="0"/>
    <n v="0"/>
    <n v="0"/>
    <n v="0"/>
    <n v="0"/>
    <x v="371"/>
    <n v="2356"/>
    <n v="0"/>
    <n v="0"/>
    <n v="0"/>
    <n v="0"/>
    <n v="2356"/>
  </r>
  <r>
    <x v="150"/>
    <s v="000066784"/>
    <d v="2025-10-31T00:00:00"/>
    <d v="2026-01-29T00:00:00"/>
    <n v="17300"/>
    <n v="29"/>
    <n v="0"/>
    <n v="0"/>
    <n v="0"/>
    <n v="0"/>
    <n v="0"/>
    <n v="0"/>
    <n v="0"/>
    <x v="371"/>
    <n v="17300"/>
    <n v="0"/>
    <n v="0"/>
    <n v="0"/>
    <n v="0"/>
    <n v="17300"/>
  </r>
  <r>
    <x v="34"/>
    <s v="12082027"/>
    <d v="2025-12-03T00:00:00"/>
    <d v="2026-01-29T00:00:00"/>
    <n v="20348.080000000002"/>
    <n v="29"/>
    <n v="0"/>
    <n v="0"/>
    <n v="0"/>
    <n v="0"/>
    <n v="0"/>
    <n v="0"/>
    <n v="0"/>
    <x v="371"/>
    <n v="20348.080000000002"/>
    <n v="0"/>
    <n v="0"/>
    <n v="0"/>
    <n v="0"/>
    <n v="20348.080000000002"/>
  </r>
  <r>
    <x v="67"/>
    <s v="000012368"/>
    <d v="2025-10-31T00:00:00"/>
    <d v="2026-01-29T00:00:00"/>
    <n v="6000"/>
    <n v="29"/>
    <n v="0"/>
    <n v="0"/>
    <n v="0"/>
    <n v="0"/>
    <n v="0"/>
    <n v="0"/>
    <n v="0"/>
    <x v="371"/>
    <n v="6000"/>
    <n v="0"/>
    <n v="0"/>
    <n v="0"/>
    <n v="0"/>
    <n v="6000"/>
  </r>
  <r>
    <x v="67"/>
    <s v="000012370"/>
    <d v="2025-10-31T00:00:00"/>
    <d v="2026-01-29T00:00:00"/>
    <n v="6000"/>
    <n v="29"/>
    <n v="0"/>
    <n v="0"/>
    <n v="0"/>
    <n v="0"/>
    <n v="0"/>
    <n v="0"/>
    <n v="0"/>
    <x v="371"/>
    <n v="6000"/>
    <n v="0"/>
    <n v="0"/>
    <n v="0"/>
    <n v="0"/>
    <n v="6000"/>
  </r>
  <r>
    <x v="67"/>
    <s v="000012373"/>
    <d v="2025-10-31T00:00:00"/>
    <d v="2026-01-29T00:00:00"/>
    <n v="7180"/>
    <n v="29"/>
    <n v="0"/>
    <n v="0"/>
    <n v="0"/>
    <n v="0"/>
    <n v="0"/>
    <n v="0"/>
    <n v="0"/>
    <x v="371"/>
    <n v="7180"/>
    <n v="0"/>
    <n v="0"/>
    <n v="0"/>
    <n v="0"/>
    <n v="7180"/>
  </r>
  <r>
    <x v="67"/>
    <s v="000012376"/>
    <d v="2025-10-31T00:00:00"/>
    <d v="2026-01-29T00:00:00"/>
    <n v="7180"/>
    <n v="29"/>
    <n v="0"/>
    <n v="0"/>
    <n v="0"/>
    <n v="0"/>
    <n v="0"/>
    <n v="0"/>
    <n v="0"/>
    <x v="371"/>
    <n v="7180"/>
    <n v="0"/>
    <n v="0"/>
    <n v="0"/>
    <n v="0"/>
    <n v="7180"/>
  </r>
  <r>
    <x v="114"/>
    <s v="000066788"/>
    <d v="2025-10-31T00:00:00"/>
    <d v="2026-01-29T00:00:00"/>
    <n v="1666.66"/>
    <n v="29"/>
    <n v="0"/>
    <n v="0"/>
    <n v="0"/>
    <n v="0"/>
    <n v="0"/>
    <n v="0"/>
    <n v="0"/>
    <x v="371"/>
    <n v="1666.66"/>
    <n v="0"/>
    <n v="0"/>
    <n v="0"/>
    <n v="0"/>
    <n v="1666.66"/>
  </r>
  <r>
    <x v="114"/>
    <s v="000066789"/>
    <d v="2025-10-31T00:00:00"/>
    <d v="2026-01-29T00:00:00"/>
    <n v="16966.66"/>
    <n v="29"/>
    <n v="0"/>
    <n v="0"/>
    <n v="0"/>
    <n v="0"/>
    <n v="0"/>
    <n v="0"/>
    <n v="0"/>
    <x v="371"/>
    <n v="16966.66"/>
    <n v="0"/>
    <n v="0"/>
    <n v="0"/>
    <n v="0"/>
    <n v="16966.66"/>
  </r>
  <r>
    <x v="114"/>
    <s v="000068552"/>
    <d v="2025-12-30T00:00:00"/>
    <d v="2026-01-29T00:00:00"/>
    <n v="17500"/>
    <n v="29"/>
    <n v="0"/>
    <n v="0"/>
    <n v="0"/>
    <n v="0"/>
    <n v="0"/>
    <n v="0"/>
    <n v="0"/>
    <x v="371"/>
    <n v="17500"/>
    <n v="0"/>
    <n v="0"/>
    <n v="0"/>
    <n v="0"/>
    <n v="17500"/>
  </r>
  <r>
    <x v="151"/>
    <s v="000068520"/>
    <d v="2025-12-29T00:00:00"/>
    <d v="2026-01-29T00:00:00"/>
    <n v="85300"/>
    <n v="29"/>
    <n v="0"/>
    <n v="0"/>
    <n v="0"/>
    <n v="0"/>
    <n v="0"/>
    <n v="0"/>
    <n v="0"/>
    <x v="371"/>
    <n v="85300"/>
    <n v="0"/>
    <n v="0"/>
    <n v="0"/>
    <n v="0"/>
    <n v="85300"/>
  </r>
  <r>
    <x v="94"/>
    <s v="000065765"/>
    <d v="2025-10-01T00:00:00"/>
    <d v="2026-01-29T00:00:00"/>
    <n v="15380"/>
    <n v="29"/>
    <n v="0"/>
    <n v="0"/>
    <n v="0"/>
    <n v="0"/>
    <n v="0"/>
    <n v="0"/>
    <n v="0"/>
    <x v="371"/>
    <n v="15380"/>
    <n v="0"/>
    <n v="0"/>
    <n v="0"/>
    <n v="0"/>
    <n v="15380"/>
  </r>
  <r>
    <x v="31"/>
    <s v="000066748"/>
    <d v="2025-10-31T00:00:00"/>
    <d v="2026-01-29T00:00:00"/>
    <n v="154100"/>
    <n v="29"/>
    <n v="0"/>
    <n v="0"/>
    <n v="0"/>
    <n v="0"/>
    <n v="0"/>
    <n v="0"/>
    <n v="0"/>
    <x v="371"/>
    <n v="154100"/>
    <n v="0"/>
    <n v="0"/>
    <n v="0"/>
    <n v="0"/>
    <n v="154100"/>
  </r>
  <r>
    <x v="31"/>
    <s v="000066790"/>
    <d v="2025-10-31T00:00:00"/>
    <d v="2026-01-29T00:00:00"/>
    <n v="55750"/>
    <n v="29"/>
    <n v="0"/>
    <n v="0"/>
    <n v="0"/>
    <n v="0"/>
    <n v="0"/>
    <n v="0"/>
    <n v="0"/>
    <x v="371"/>
    <n v="55750"/>
    <n v="0"/>
    <n v="0"/>
    <n v="0"/>
    <n v="0"/>
    <n v="55750"/>
  </r>
  <r>
    <x v="141"/>
    <s v="000012019"/>
    <d v="2025-10-02T00:00:00"/>
    <d v="2026-01-30T00:00:00"/>
    <n v="24255.8"/>
    <n v="30"/>
    <n v="0"/>
    <n v="0"/>
    <n v="0"/>
    <n v="0"/>
    <n v="0"/>
    <n v="0"/>
    <n v="0"/>
    <x v="371"/>
    <n v="24255.8"/>
    <n v="0"/>
    <n v="0"/>
    <n v="0"/>
    <n v="0"/>
    <n v="24255.8"/>
  </r>
  <r>
    <x v="152"/>
    <s v="000065799"/>
    <d v="2025-10-02T00:00:00"/>
    <d v="2026-01-30T00:00:00"/>
    <n v="29763.58"/>
    <n v="30"/>
    <n v="0"/>
    <n v="0"/>
    <n v="0"/>
    <n v="0"/>
    <n v="0"/>
    <n v="0"/>
    <n v="0"/>
    <x v="371"/>
    <n v="29763.58"/>
    <n v="0"/>
    <n v="0"/>
    <n v="0"/>
    <n v="0"/>
    <n v="29763.58"/>
  </r>
  <r>
    <x v="103"/>
    <s v="000065793"/>
    <d v="2025-10-02T00:00:00"/>
    <d v="2026-01-30T00:00:00"/>
    <n v="34200"/>
    <n v="30"/>
    <n v="0"/>
    <n v="0"/>
    <n v="0"/>
    <n v="0"/>
    <n v="0"/>
    <n v="0"/>
    <n v="0"/>
    <x v="371"/>
    <n v="34200"/>
    <n v="0"/>
    <n v="0"/>
    <n v="0"/>
    <n v="0"/>
    <n v="34200"/>
  </r>
  <r>
    <x v="153"/>
    <s v="00010595C"/>
    <d v="2025-11-24T00:00:00"/>
    <d v="2026-01-30T00:00:00"/>
    <n v="30758.17"/>
    <n v="30"/>
    <n v="0"/>
    <n v="0"/>
    <n v="0"/>
    <n v="0"/>
    <n v="0"/>
    <n v="0"/>
    <n v="0"/>
    <x v="371"/>
    <n v="30758.17"/>
    <n v="0"/>
    <n v="0"/>
    <n v="0"/>
    <n v="0"/>
    <n v="30758.17"/>
  </r>
  <r>
    <x v="99"/>
    <s v="000058965"/>
    <d v="2025-07-07T00:00:00"/>
    <d v="2026-01-30T00:00:00"/>
    <n v="9166.67"/>
    <n v="30"/>
    <n v="0"/>
    <n v="0"/>
    <n v="0"/>
    <n v="0"/>
    <n v="0"/>
    <n v="0"/>
    <n v="0"/>
    <x v="371"/>
    <n v="9166.67"/>
    <n v="0"/>
    <n v="0"/>
    <n v="0"/>
    <n v="0"/>
    <n v="9166.67"/>
  </r>
  <r>
    <x v="120"/>
    <s v="000065764"/>
    <d v="2025-10-01T00:00:00"/>
    <d v="2026-01-30T00:00:00"/>
    <n v="25365.83"/>
    <n v="30"/>
    <n v="0"/>
    <n v="0"/>
    <n v="0"/>
    <n v="0"/>
    <n v="0"/>
    <n v="0"/>
    <n v="0"/>
    <x v="371"/>
    <n v="25365.83"/>
    <n v="0"/>
    <n v="0"/>
    <n v="0"/>
    <n v="0"/>
    <n v="25365.83"/>
  </r>
  <r>
    <x v="101"/>
    <s v="000068022"/>
    <d v="2025-12-09T00:00:00"/>
    <d v="2026-01-30T00:00:00"/>
    <n v="12685"/>
    <n v="30"/>
    <n v="0"/>
    <n v="0"/>
    <n v="0"/>
    <n v="0"/>
    <n v="0"/>
    <n v="0"/>
    <n v="0"/>
    <x v="371"/>
    <n v="12685"/>
    <n v="0"/>
    <n v="0"/>
    <n v="0"/>
    <n v="0"/>
    <n v="12685"/>
  </r>
  <r>
    <x v="90"/>
    <s v="000065775"/>
    <d v="2025-10-02T00:00:00"/>
    <d v="2026-01-30T00:00:00"/>
    <n v="305986.8"/>
    <n v="30"/>
    <n v="0"/>
    <n v="0"/>
    <n v="0"/>
    <n v="0"/>
    <n v="0"/>
    <n v="0"/>
    <n v="0"/>
    <x v="371"/>
    <n v="305986.8"/>
    <n v="0"/>
    <n v="0"/>
    <n v="0"/>
    <n v="0"/>
    <n v="305986.8"/>
  </r>
  <r>
    <x v="154"/>
    <s v="000068046"/>
    <d v="2025-12-10T00:00:00"/>
    <d v="2026-01-30T00:00:00"/>
    <n v="198000"/>
    <n v="30"/>
    <n v="0"/>
    <n v="0"/>
    <n v="0"/>
    <n v="0"/>
    <n v="0"/>
    <n v="0"/>
    <n v="0"/>
    <x v="371"/>
    <n v="198000"/>
    <n v="0"/>
    <n v="0"/>
    <n v="0"/>
    <n v="0"/>
    <n v="198000"/>
  </r>
  <r>
    <x v="154"/>
    <s v="000068269"/>
    <d v="2025-12-18T00:00:00"/>
    <d v="2026-01-30T00:00:00"/>
    <n v="320000"/>
    <n v="30"/>
    <n v="0"/>
    <n v="0"/>
    <n v="0"/>
    <n v="0"/>
    <n v="0"/>
    <n v="0"/>
    <n v="0"/>
    <x v="371"/>
    <n v="320000"/>
    <n v="0"/>
    <n v="0"/>
    <n v="0"/>
    <n v="0"/>
    <n v="320000"/>
  </r>
  <r>
    <x v="94"/>
    <s v="000065776"/>
    <d v="2025-10-02T00:00:00"/>
    <d v="2026-01-30T00:00:00"/>
    <n v="1630"/>
    <n v="30"/>
    <n v="0"/>
    <n v="0"/>
    <n v="0"/>
    <n v="0"/>
    <n v="0"/>
    <n v="0"/>
    <n v="0"/>
    <x v="371"/>
    <n v="1630"/>
    <n v="0"/>
    <n v="0"/>
    <n v="0"/>
    <n v="0"/>
    <n v="1630"/>
  </r>
  <r>
    <x v="94"/>
    <s v="000065792"/>
    <d v="2025-10-02T00:00:00"/>
    <d v="2026-01-30T00:00:00"/>
    <n v="213"/>
    <n v="30"/>
    <n v="0"/>
    <n v="0"/>
    <n v="0"/>
    <n v="0"/>
    <n v="0"/>
    <n v="0"/>
    <n v="0"/>
    <x v="371"/>
    <n v="213"/>
    <n v="0"/>
    <n v="0"/>
    <n v="0"/>
    <n v="0"/>
    <n v="213"/>
  </r>
  <r>
    <x v="125"/>
    <s v="000066706"/>
    <d v="2025-10-30T00:00:00"/>
    <d v="2026-01-30T00:00:00"/>
    <n v="10763.18"/>
    <n v="30"/>
    <n v="0"/>
    <n v="0"/>
    <n v="0"/>
    <n v="0"/>
    <n v="0"/>
    <n v="0"/>
    <n v="0"/>
    <x v="371"/>
    <n v="10763.18"/>
    <n v="0"/>
    <n v="0"/>
    <n v="0"/>
    <n v="0"/>
    <n v="10763.18"/>
  </r>
  <r>
    <x v="46"/>
    <s v="000067788"/>
    <d v="2025-12-02T00:00:00"/>
    <d v="2026-01-31T00:00:00"/>
    <n v="43508.800000000003"/>
    <n v="31"/>
    <n v="0"/>
    <n v="0"/>
    <n v="0"/>
    <n v="0"/>
    <n v="0"/>
    <n v="0"/>
    <n v="0"/>
    <x v="371"/>
    <n v="0"/>
    <n v="43508.800000000003"/>
    <n v="0"/>
    <n v="0"/>
    <n v="0"/>
    <n v="43508.800000000003"/>
  </r>
  <r>
    <x v="46"/>
    <s v="000067789"/>
    <d v="2025-12-02T00:00:00"/>
    <d v="2026-01-31T00:00:00"/>
    <n v="43313.35"/>
    <n v="31"/>
    <n v="0"/>
    <n v="0"/>
    <n v="0"/>
    <n v="0"/>
    <n v="0"/>
    <n v="0"/>
    <n v="0"/>
    <x v="371"/>
    <n v="0"/>
    <n v="43313.35"/>
    <n v="0"/>
    <n v="0"/>
    <n v="0"/>
    <n v="43313.35"/>
  </r>
  <r>
    <x v="116"/>
    <s v="000067803"/>
    <d v="2025-12-02T00:00:00"/>
    <d v="2026-01-31T00:00:00"/>
    <n v="50270.06"/>
    <n v="31"/>
    <n v="0"/>
    <n v="0"/>
    <n v="0"/>
    <n v="0"/>
    <n v="0"/>
    <n v="0"/>
    <n v="0"/>
    <x v="371"/>
    <n v="0"/>
    <n v="50270.06"/>
    <n v="0"/>
    <n v="0"/>
    <n v="0"/>
    <n v="50270.06"/>
  </r>
  <r>
    <x v="103"/>
    <s v="000065860"/>
    <d v="2025-10-03T00:00:00"/>
    <d v="2026-01-31T00:00:00"/>
    <n v="26600"/>
    <n v="31"/>
    <n v="0"/>
    <n v="0"/>
    <n v="0"/>
    <n v="0"/>
    <n v="0"/>
    <n v="0"/>
    <n v="0"/>
    <x v="371"/>
    <n v="0"/>
    <n v="26600"/>
    <n v="0"/>
    <n v="0"/>
    <n v="0"/>
    <n v="26600"/>
  </r>
  <r>
    <x v="29"/>
    <s v="000065856"/>
    <d v="2025-10-03T00:00:00"/>
    <d v="2026-01-31T00:00:00"/>
    <n v="6000"/>
    <n v="31"/>
    <n v="0"/>
    <n v="0"/>
    <n v="0"/>
    <n v="0"/>
    <n v="0"/>
    <n v="0"/>
    <n v="0"/>
    <x v="371"/>
    <n v="0"/>
    <n v="6000"/>
    <n v="0"/>
    <n v="0"/>
    <n v="0"/>
    <n v="6000"/>
  </r>
  <r>
    <x v="42"/>
    <s v="000010669"/>
    <d v="2025-06-11T00:00:00"/>
    <d v="2026-01-31T00:00:00"/>
    <n v="56271.65"/>
    <n v="31"/>
    <n v="0"/>
    <n v="0"/>
    <n v="0"/>
    <n v="0"/>
    <n v="0"/>
    <n v="0"/>
    <n v="0"/>
    <x v="371"/>
    <n v="0"/>
    <n v="56271.65"/>
    <n v="0"/>
    <n v="0"/>
    <n v="0"/>
    <n v="56271.65"/>
  </r>
  <r>
    <x v="42"/>
    <s v="000011678"/>
    <d v="2025-09-05T00:00:00"/>
    <d v="2026-01-31T00:00:00"/>
    <n v="49707.5"/>
    <n v="31"/>
    <n v="0"/>
    <n v="0"/>
    <n v="0"/>
    <n v="0"/>
    <n v="0"/>
    <n v="0"/>
    <n v="0"/>
    <x v="371"/>
    <n v="0"/>
    <n v="49707.5"/>
    <n v="0"/>
    <n v="0"/>
    <n v="0"/>
    <n v="49707.5"/>
  </r>
  <r>
    <x v="42"/>
    <s v="000011679"/>
    <d v="2025-09-05T00:00:00"/>
    <d v="2026-01-31T00:00:00"/>
    <n v="45480.44"/>
    <n v="31"/>
    <n v="0"/>
    <n v="0"/>
    <n v="0"/>
    <n v="0"/>
    <n v="0"/>
    <n v="0"/>
    <n v="0"/>
    <x v="371"/>
    <n v="0"/>
    <n v="45480.44"/>
    <n v="0"/>
    <n v="0"/>
    <n v="0"/>
    <n v="45480.44"/>
  </r>
  <r>
    <x v="155"/>
    <s v="000066598"/>
    <d v="2025-10-28T00:00:00"/>
    <d v="2026-02-01T00:00:00"/>
    <n v="9929.2800000000007"/>
    <n v="32"/>
    <n v="0"/>
    <n v="0"/>
    <n v="0"/>
    <n v="0"/>
    <n v="0"/>
    <n v="0"/>
    <n v="0"/>
    <x v="371"/>
    <n v="0"/>
    <n v="9929.2800000000007"/>
    <n v="0"/>
    <n v="0"/>
    <n v="0"/>
    <n v="9929.2800000000007"/>
  </r>
  <r>
    <x v="34"/>
    <s v="000067808"/>
    <d v="2025-12-03T00:00:00"/>
    <d v="2026-02-01T00:00:00"/>
    <n v="805"/>
    <n v="32"/>
    <n v="0"/>
    <n v="0"/>
    <n v="0"/>
    <n v="0"/>
    <n v="0"/>
    <n v="0"/>
    <n v="0"/>
    <x v="371"/>
    <n v="0"/>
    <n v="805"/>
    <n v="0"/>
    <n v="0"/>
    <n v="0"/>
    <n v="805"/>
  </r>
  <r>
    <x v="156"/>
    <s v="000067809"/>
    <d v="2025-12-03T00:00:00"/>
    <d v="2026-02-01T00:00:00"/>
    <n v="14159.8"/>
    <n v="32"/>
    <n v="0"/>
    <n v="0"/>
    <n v="0"/>
    <n v="0"/>
    <n v="0"/>
    <n v="0"/>
    <n v="0"/>
    <x v="371"/>
    <n v="0"/>
    <n v="14159.8"/>
    <n v="0"/>
    <n v="0"/>
    <n v="0"/>
    <n v="14159.8"/>
  </r>
  <r>
    <x v="104"/>
    <s v="000066846"/>
    <d v="2025-11-03T00:00:00"/>
    <d v="2026-02-01T00:00:00"/>
    <n v="7560"/>
    <n v="32"/>
    <n v="0"/>
    <n v="0"/>
    <n v="0"/>
    <n v="0"/>
    <n v="0"/>
    <n v="0"/>
    <n v="0"/>
    <x v="371"/>
    <n v="0"/>
    <n v="7560"/>
    <n v="0"/>
    <n v="0"/>
    <n v="0"/>
    <n v="7560"/>
  </r>
  <r>
    <x v="100"/>
    <s v="000066868"/>
    <d v="2025-11-04T00:00:00"/>
    <d v="2026-02-02T00:00:00"/>
    <n v="41147.089999999997"/>
    <n v="33"/>
    <n v="0"/>
    <n v="0"/>
    <n v="0"/>
    <n v="0"/>
    <n v="0"/>
    <n v="0"/>
    <n v="0"/>
    <x v="371"/>
    <n v="0"/>
    <n v="41147.089999999997"/>
    <n v="0"/>
    <n v="0"/>
    <n v="0"/>
    <n v="41147.089999999997"/>
  </r>
  <r>
    <x v="106"/>
    <s v="000067872"/>
    <d v="2025-12-04T00:00:00"/>
    <d v="2026-02-02T00:00:00"/>
    <n v="31382.5"/>
    <n v="33"/>
    <n v="0"/>
    <n v="0"/>
    <n v="0"/>
    <n v="0"/>
    <n v="0"/>
    <n v="0"/>
    <n v="0"/>
    <x v="371"/>
    <n v="0"/>
    <n v="31382.5"/>
    <n v="0"/>
    <n v="0"/>
    <n v="0"/>
    <n v="31382.5"/>
  </r>
  <r>
    <x v="157"/>
    <s v="000066900"/>
    <d v="2025-11-04T00:00:00"/>
    <d v="2026-02-02T00:00:00"/>
    <n v="14435.83"/>
    <n v="33"/>
    <n v="0"/>
    <n v="0"/>
    <n v="0"/>
    <n v="0"/>
    <n v="0"/>
    <n v="0"/>
    <n v="0"/>
    <x v="371"/>
    <n v="0"/>
    <n v="14435.83"/>
    <n v="0"/>
    <n v="0"/>
    <n v="0"/>
    <n v="14435.83"/>
  </r>
  <r>
    <x v="142"/>
    <s v="000067845"/>
    <d v="2025-12-04T00:00:00"/>
    <d v="2026-02-02T00:00:00"/>
    <n v="57500"/>
    <n v="33"/>
    <n v="0"/>
    <n v="0"/>
    <n v="0"/>
    <n v="0"/>
    <n v="0"/>
    <n v="0"/>
    <n v="0"/>
    <x v="371"/>
    <n v="0"/>
    <n v="57500"/>
    <n v="0"/>
    <n v="0"/>
    <n v="0"/>
    <n v="57500"/>
  </r>
  <r>
    <x v="46"/>
    <s v="000067890"/>
    <d v="2025-12-05T00:00:00"/>
    <d v="2026-02-03T00:00:00"/>
    <n v="240.38"/>
    <n v="34"/>
    <n v="0"/>
    <n v="0"/>
    <n v="0"/>
    <n v="0"/>
    <n v="0"/>
    <n v="0"/>
    <n v="0"/>
    <x v="371"/>
    <n v="0"/>
    <n v="240.38"/>
    <n v="0"/>
    <n v="0"/>
    <n v="0"/>
    <n v="240.38"/>
  </r>
  <r>
    <x v="147"/>
    <s v="000066929"/>
    <d v="2025-11-05T00:00:00"/>
    <d v="2026-02-03T00:00:00"/>
    <n v="480.76"/>
    <n v="34"/>
    <n v="0"/>
    <n v="0"/>
    <n v="0"/>
    <n v="0"/>
    <n v="0"/>
    <n v="0"/>
    <n v="0"/>
    <x v="371"/>
    <n v="0"/>
    <n v="480.76"/>
    <n v="0"/>
    <n v="0"/>
    <n v="0"/>
    <n v="480.76"/>
  </r>
  <r>
    <x v="147"/>
    <s v="000066930"/>
    <d v="2025-11-05T00:00:00"/>
    <d v="2026-02-03T00:00:00"/>
    <n v="42308.56"/>
    <n v="34"/>
    <n v="0"/>
    <n v="0"/>
    <n v="0"/>
    <n v="0"/>
    <n v="0"/>
    <n v="0"/>
    <n v="0"/>
    <x v="371"/>
    <n v="0"/>
    <n v="42308.56"/>
    <n v="0"/>
    <n v="0"/>
    <n v="0"/>
    <n v="42308.56"/>
  </r>
  <r>
    <x v="107"/>
    <s v="000067887"/>
    <d v="2025-12-05T00:00:00"/>
    <d v="2026-02-03T00:00:00"/>
    <n v="30533.33"/>
    <n v="34"/>
    <n v="0"/>
    <n v="0"/>
    <n v="0"/>
    <n v="0"/>
    <n v="0"/>
    <n v="0"/>
    <n v="0"/>
    <x v="371"/>
    <n v="0"/>
    <n v="30533.33"/>
    <n v="0"/>
    <n v="0"/>
    <n v="0"/>
    <n v="30533.33"/>
  </r>
  <r>
    <x v="158"/>
    <s v="000067895"/>
    <d v="2025-12-05T00:00:00"/>
    <d v="2026-02-03T00:00:00"/>
    <n v="35000"/>
    <n v="34"/>
    <n v="0"/>
    <n v="0"/>
    <n v="0"/>
    <n v="0"/>
    <n v="0"/>
    <n v="0"/>
    <n v="0"/>
    <x v="371"/>
    <n v="0"/>
    <n v="35000"/>
    <n v="0"/>
    <n v="0"/>
    <n v="0"/>
    <n v="35000"/>
  </r>
  <r>
    <x v="94"/>
    <s v="000065876"/>
    <d v="2025-10-06T00:00:00"/>
    <d v="2026-02-03T00:00:00"/>
    <n v="42372.61"/>
    <n v="34"/>
    <n v="0"/>
    <n v="0"/>
    <n v="0"/>
    <n v="0"/>
    <n v="0"/>
    <n v="0"/>
    <n v="0"/>
    <x v="371"/>
    <n v="0"/>
    <n v="42372.61"/>
    <n v="0"/>
    <n v="0"/>
    <n v="0"/>
    <n v="42372.61"/>
  </r>
  <r>
    <x v="138"/>
    <s v="000067036"/>
    <d v="2025-11-07T00:00:00"/>
    <d v="2026-02-05T00:00:00"/>
    <n v="43508.800000000003"/>
    <n v="36"/>
    <n v="0"/>
    <n v="0"/>
    <n v="0"/>
    <n v="0"/>
    <n v="0"/>
    <n v="0"/>
    <n v="0"/>
    <x v="371"/>
    <n v="0"/>
    <n v="43508.800000000003"/>
    <n v="0"/>
    <n v="0"/>
    <n v="0"/>
    <n v="43508.800000000003"/>
  </r>
  <r>
    <x v="138"/>
    <s v="000067037"/>
    <d v="2025-11-07T00:00:00"/>
    <d v="2026-02-05T00:00:00"/>
    <n v="43508.800000000003"/>
    <n v="36"/>
    <n v="0"/>
    <n v="0"/>
    <n v="0"/>
    <n v="0"/>
    <n v="0"/>
    <n v="0"/>
    <n v="0"/>
    <x v="371"/>
    <n v="0"/>
    <n v="43508.800000000003"/>
    <n v="0"/>
    <n v="0"/>
    <n v="0"/>
    <n v="43508.800000000003"/>
  </r>
  <r>
    <x v="138"/>
    <s v="000067038"/>
    <d v="2025-11-07T00:00:00"/>
    <d v="2026-02-05T00:00:00"/>
    <n v="43508.800000000003"/>
    <n v="36"/>
    <n v="0"/>
    <n v="0"/>
    <n v="0"/>
    <n v="0"/>
    <n v="0"/>
    <n v="0"/>
    <n v="0"/>
    <x v="371"/>
    <n v="0"/>
    <n v="43508.800000000003"/>
    <n v="0"/>
    <n v="0"/>
    <n v="0"/>
    <n v="43508.800000000003"/>
  </r>
  <r>
    <x v="111"/>
    <s v="000066082"/>
    <d v="2025-10-10T00:00:00"/>
    <d v="2026-02-06T00:00:00"/>
    <n v="13333.33"/>
    <n v="37"/>
    <n v="0"/>
    <n v="0"/>
    <n v="0"/>
    <n v="0"/>
    <n v="0"/>
    <n v="0"/>
    <n v="0"/>
    <x v="371"/>
    <n v="0"/>
    <n v="13333.33"/>
    <n v="0"/>
    <n v="0"/>
    <n v="0"/>
    <n v="13333.33"/>
  </r>
  <r>
    <x v="36"/>
    <s v="000068068"/>
    <d v="2025-12-10T00:00:00"/>
    <d v="2026-02-08T00:00:00"/>
    <n v="19067.599999999999"/>
    <n v="39"/>
    <n v="0"/>
    <n v="0"/>
    <n v="0"/>
    <n v="0"/>
    <n v="0"/>
    <n v="0"/>
    <n v="0"/>
    <x v="371"/>
    <n v="0"/>
    <n v="19067.599999999999"/>
    <n v="0"/>
    <n v="0"/>
    <n v="0"/>
    <n v="19067.599999999999"/>
  </r>
  <r>
    <x v="36"/>
    <s v="000012702"/>
    <d v="2025-12-10T00:00:00"/>
    <d v="2026-02-08T00:00:00"/>
    <n v="7119.82"/>
    <n v="39"/>
    <n v="0"/>
    <n v="0"/>
    <n v="0"/>
    <n v="0"/>
    <n v="0"/>
    <n v="0"/>
    <n v="0"/>
    <x v="371"/>
    <n v="0"/>
    <n v="7119.82"/>
    <n v="0"/>
    <n v="0"/>
    <n v="0"/>
    <n v="7119.82"/>
  </r>
  <r>
    <x v="159"/>
    <s v="000012349"/>
    <d v="2025-10-31T00:00:00"/>
    <d v="2026-02-08T00:00:00"/>
    <n v="13447.23"/>
    <n v="39"/>
    <n v="0"/>
    <n v="0"/>
    <n v="0"/>
    <n v="0"/>
    <n v="0"/>
    <n v="0"/>
    <n v="0"/>
    <x v="371"/>
    <n v="0"/>
    <n v="13447.23"/>
    <n v="0"/>
    <n v="0"/>
    <n v="0"/>
    <n v="13447.23"/>
  </r>
  <r>
    <x v="85"/>
    <s v="000068054"/>
    <d v="2025-12-10T00:00:00"/>
    <d v="2026-02-08T00:00:00"/>
    <n v="24184.67"/>
    <n v="39"/>
    <n v="0"/>
    <n v="0"/>
    <n v="0"/>
    <n v="0"/>
    <n v="0"/>
    <n v="0"/>
    <n v="0"/>
    <x v="371"/>
    <n v="0"/>
    <n v="24184.67"/>
    <n v="0"/>
    <n v="0"/>
    <n v="0"/>
    <n v="24184.67"/>
  </r>
  <r>
    <x v="85"/>
    <s v="000068057"/>
    <d v="2025-12-10T00:00:00"/>
    <d v="2026-02-08T00:00:00"/>
    <n v="15915.55"/>
    <n v="39"/>
    <n v="0"/>
    <n v="0"/>
    <n v="0"/>
    <n v="0"/>
    <n v="0"/>
    <n v="0"/>
    <n v="0"/>
    <x v="371"/>
    <n v="0"/>
    <n v="15915.55"/>
    <n v="0"/>
    <n v="0"/>
    <n v="0"/>
    <n v="15915.55"/>
  </r>
  <r>
    <x v="58"/>
    <s v="000068051"/>
    <d v="2025-12-10T00:00:00"/>
    <d v="2026-02-08T00:00:00"/>
    <n v="84808"/>
    <n v="39"/>
    <n v="0"/>
    <n v="0"/>
    <n v="0"/>
    <n v="0"/>
    <n v="0"/>
    <n v="0"/>
    <n v="0"/>
    <x v="371"/>
    <n v="0"/>
    <n v="84808"/>
    <n v="0"/>
    <n v="0"/>
    <n v="0"/>
    <n v="84808"/>
  </r>
  <r>
    <x v="104"/>
    <s v="000068059"/>
    <d v="2025-12-10T00:00:00"/>
    <d v="2026-02-08T00:00:00"/>
    <n v="18000"/>
    <n v="39"/>
    <n v="0"/>
    <n v="0"/>
    <n v="0"/>
    <n v="0"/>
    <n v="0"/>
    <n v="0"/>
    <n v="0"/>
    <x v="371"/>
    <n v="0"/>
    <n v="18000"/>
    <n v="0"/>
    <n v="0"/>
    <n v="0"/>
    <n v="18000"/>
  </r>
  <r>
    <x v="160"/>
    <s v="000068090"/>
    <d v="2025-12-11T00:00:00"/>
    <d v="2026-02-09T00:00:00"/>
    <n v="31180.29"/>
    <n v="40"/>
    <n v="0"/>
    <n v="0"/>
    <n v="0"/>
    <n v="0"/>
    <n v="0"/>
    <n v="0"/>
    <n v="0"/>
    <x v="371"/>
    <n v="0"/>
    <n v="31180.29"/>
    <n v="0"/>
    <n v="0"/>
    <n v="0"/>
    <n v="31180.29"/>
  </r>
  <r>
    <x v="161"/>
    <s v="000068091"/>
    <d v="2025-12-11T00:00:00"/>
    <d v="2026-02-09T00:00:00"/>
    <n v="32500"/>
    <n v="40"/>
    <n v="0"/>
    <n v="0"/>
    <n v="0"/>
    <n v="0"/>
    <n v="0"/>
    <n v="0"/>
    <n v="0"/>
    <x v="371"/>
    <n v="0"/>
    <n v="32500"/>
    <n v="0"/>
    <n v="0"/>
    <n v="0"/>
    <n v="32500"/>
  </r>
  <r>
    <x v="107"/>
    <s v="000068101"/>
    <d v="2025-12-11T00:00:00"/>
    <d v="2026-02-09T00:00:00"/>
    <n v="90500"/>
    <n v="40"/>
    <n v="0"/>
    <n v="0"/>
    <n v="0"/>
    <n v="0"/>
    <n v="0"/>
    <n v="0"/>
    <n v="0"/>
    <x v="371"/>
    <n v="0"/>
    <n v="90500"/>
    <n v="0"/>
    <n v="0"/>
    <n v="0"/>
    <n v="90500"/>
  </r>
  <r>
    <x v="85"/>
    <s v="000068095"/>
    <d v="2025-12-11T00:00:00"/>
    <d v="2026-02-09T00:00:00"/>
    <n v="42922.45"/>
    <n v="40"/>
    <n v="0"/>
    <n v="0"/>
    <n v="0"/>
    <n v="0"/>
    <n v="0"/>
    <n v="0"/>
    <n v="0"/>
    <x v="371"/>
    <n v="0"/>
    <n v="42922.45"/>
    <n v="0"/>
    <n v="0"/>
    <n v="0"/>
    <n v="42922.45"/>
  </r>
  <r>
    <x v="85"/>
    <s v="000068100"/>
    <d v="2025-12-11T00:00:00"/>
    <d v="2026-02-09T00:00:00"/>
    <n v="14000"/>
    <n v="40"/>
    <n v="0"/>
    <n v="0"/>
    <n v="0"/>
    <n v="0"/>
    <n v="0"/>
    <n v="0"/>
    <n v="0"/>
    <x v="371"/>
    <n v="0"/>
    <n v="14000"/>
    <n v="0"/>
    <n v="0"/>
    <n v="0"/>
    <n v="14000"/>
  </r>
  <r>
    <x v="121"/>
    <s v="000012709"/>
    <d v="2025-12-11T00:00:00"/>
    <d v="2026-02-09T00:00:00"/>
    <n v="90930"/>
    <n v="40"/>
    <n v="0"/>
    <n v="0"/>
    <n v="0"/>
    <n v="0"/>
    <n v="0"/>
    <n v="0"/>
    <n v="0"/>
    <x v="371"/>
    <n v="0"/>
    <n v="90930"/>
    <n v="0"/>
    <n v="0"/>
    <n v="0"/>
    <n v="90930"/>
  </r>
  <r>
    <x v="121"/>
    <s v="000012710"/>
    <d v="2025-12-11T00:00:00"/>
    <d v="2026-02-09T00:00:00"/>
    <n v="16576.349999999999"/>
    <n v="40"/>
    <n v="0"/>
    <n v="0"/>
    <n v="0"/>
    <n v="0"/>
    <n v="0"/>
    <n v="0"/>
    <n v="0"/>
    <x v="371"/>
    <n v="0"/>
    <n v="16576.349999999999"/>
    <n v="0"/>
    <n v="0"/>
    <n v="0"/>
    <n v="16576.349999999999"/>
  </r>
  <r>
    <x v="121"/>
    <s v="000012711"/>
    <d v="2025-12-11T00:00:00"/>
    <d v="2026-02-09T00:00:00"/>
    <n v="16626.349999999999"/>
    <n v="40"/>
    <n v="0"/>
    <n v="0"/>
    <n v="0"/>
    <n v="0"/>
    <n v="0"/>
    <n v="0"/>
    <n v="0"/>
    <x v="371"/>
    <n v="0"/>
    <n v="16626.349999999999"/>
    <n v="0"/>
    <n v="0"/>
    <n v="0"/>
    <n v="16626.349999999999"/>
  </r>
  <r>
    <x v="100"/>
    <s v="000067169"/>
    <d v="2025-11-12T00:00:00"/>
    <d v="2026-02-10T00:00:00"/>
    <n v="13883.19"/>
    <n v="41"/>
    <n v="0"/>
    <n v="0"/>
    <n v="0"/>
    <n v="0"/>
    <n v="0"/>
    <n v="0"/>
    <n v="0"/>
    <x v="371"/>
    <n v="0"/>
    <n v="13883.19"/>
    <n v="0"/>
    <n v="0"/>
    <n v="0"/>
    <n v="13883.19"/>
  </r>
  <r>
    <x v="48"/>
    <s v="048398"/>
    <d v="2025-02-24T00:00:00"/>
    <d v="2026-02-10T00:00:00"/>
    <n v="4057.02"/>
    <n v="41"/>
    <n v="0"/>
    <n v="0"/>
    <n v="0"/>
    <n v="0"/>
    <n v="0"/>
    <n v="0"/>
    <n v="0"/>
    <x v="371"/>
    <n v="0"/>
    <n v="4057.02"/>
    <n v="0"/>
    <n v="0"/>
    <n v="0"/>
    <n v="4057.02"/>
  </r>
  <r>
    <x v="48"/>
    <s v="054077"/>
    <d v="2025-02-24T00:00:00"/>
    <d v="2026-02-10T00:00:00"/>
    <n v="6824.09"/>
    <n v="41"/>
    <n v="0"/>
    <n v="0"/>
    <n v="0"/>
    <n v="0"/>
    <n v="0"/>
    <n v="0"/>
    <n v="0"/>
    <x v="371"/>
    <n v="0"/>
    <n v="6824.09"/>
    <n v="0"/>
    <n v="0"/>
    <n v="0"/>
    <n v="6824.09"/>
  </r>
  <r>
    <x v="83"/>
    <s v="000000001"/>
    <d v="2024-12-27T00:00:00"/>
    <d v="2026-02-10T00:00:00"/>
    <n v="4204.8"/>
    <n v="41"/>
    <n v="0"/>
    <n v="0"/>
    <n v="0"/>
    <n v="0"/>
    <n v="0"/>
    <n v="0"/>
    <n v="0"/>
    <x v="371"/>
    <n v="0"/>
    <n v="4204.8"/>
    <n v="0"/>
    <n v="0"/>
    <n v="0"/>
    <n v="4204.8"/>
  </r>
  <r>
    <x v="105"/>
    <s v="000066135"/>
    <d v="2025-10-13T00:00:00"/>
    <d v="2026-02-10T00:00:00"/>
    <n v="33075"/>
    <n v="41"/>
    <n v="0"/>
    <n v="0"/>
    <n v="0"/>
    <n v="0"/>
    <n v="0"/>
    <n v="0"/>
    <n v="0"/>
    <x v="371"/>
    <n v="0"/>
    <n v="33075"/>
    <n v="0"/>
    <n v="0"/>
    <n v="0"/>
    <n v="33075"/>
  </r>
  <r>
    <x v="122"/>
    <s v="000061892"/>
    <d v="2025-12-08T00:00:00"/>
    <d v="2026-02-10T00:00:00"/>
    <n v="36174.17"/>
    <n v="41"/>
    <n v="0"/>
    <n v="0"/>
    <n v="0"/>
    <n v="0"/>
    <n v="0"/>
    <n v="0"/>
    <n v="0"/>
    <x v="371"/>
    <n v="0"/>
    <n v="36174.17"/>
    <n v="0"/>
    <n v="0"/>
    <n v="0"/>
    <n v="36174.17"/>
  </r>
  <r>
    <x v="124"/>
    <s v="000012158"/>
    <d v="2025-10-14T00:00:00"/>
    <d v="2026-02-11T00:00:00"/>
    <n v="10107.24"/>
    <n v="42"/>
    <n v="0"/>
    <n v="0"/>
    <n v="0"/>
    <n v="0"/>
    <n v="0"/>
    <n v="0"/>
    <n v="0"/>
    <x v="371"/>
    <n v="0"/>
    <n v="10107.24"/>
    <n v="0"/>
    <n v="0"/>
    <n v="0"/>
    <n v="10107.24"/>
  </r>
  <r>
    <x v="162"/>
    <s v="000067080"/>
    <d v="2025-11-10T00:00:00"/>
    <d v="2026-02-11T00:00:00"/>
    <n v="39238.339999999997"/>
    <n v="42"/>
    <n v="0"/>
    <n v="0"/>
    <n v="0"/>
    <n v="0"/>
    <n v="0"/>
    <n v="0"/>
    <n v="0"/>
    <x v="371"/>
    <n v="0"/>
    <n v="39238.339999999997"/>
    <n v="0"/>
    <n v="0"/>
    <n v="0"/>
    <n v="39238.339999999997"/>
  </r>
  <r>
    <x v="104"/>
    <s v="000066195"/>
    <d v="2025-10-15T00:00:00"/>
    <d v="2026-02-12T00:00:00"/>
    <n v="5750"/>
    <n v="43"/>
    <n v="0"/>
    <n v="0"/>
    <n v="0"/>
    <n v="0"/>
    <n v="0"/>
    <n v="0"/>
    <n v="0"/>
    <x v="371"/>
    <n v="0"/>
    <n v="5750"/>
    <n v="0"/>
    <n v="0"/>
    <n v="0"/>
    <n v="5750"/>
  </r>
  <r>
    <x v="111"/>
    <s v="000065271"/>
    <d v="2025-09-16T00:00:00"/>
    <d v="2026-02-12T00:00:00"/>
    <n v="14447.67"/>
    <n v="43"/>
    <n v="0"/>
    <n v="0"/>
    <n v="0"/>
    <n v="0"/>
    <n v="0"/>
    <n v="0"/>
    <n v="0"/>
    <x v="371"/>
    <n v="0"/>
    <n v="14447.67"/>
    <n v="0"/>
    <n v="0"/>
    <n v="0"/>
    <n v="14447.67"/>
  </r>
  <r>
    <x v="103"/>
    <s v="000066240"/>
    <d v="2025-10-16T00:00:00"/>
    <d v="2026-02-13T00:00:00"/>
    <n v="38630.199999999997"/>
    <n v="44"/>
    <n v="0"/>
    <n v="0"/>
    <n v="0"/>
    <n v="0"/>
    <n v="0"/>
    <n v="0"/>
    <n v="0"/>
    <x v="371"/>
    <n v="0"/>
    <n v="38630.199999999997"/>
    <n v="0"/>
    <n v="0"/>
    <n v="0"/>
    <n v="38630.199999999997"/>
  </r>
  <r>
    <x v="103"/>
    <s v="000066241"/>
    <d v="2025-10-16T00:00:00"/>
    <d v="2026-02-13T00:00:00"/>
    <n v="27339.72"/>
    <n v="44"/>
    <n v="0"/>
    <n v="0"/>
    <n v="0"/>
    <n v="0"/>
    <n v="0"/>
    <n v="0"/>
    <n v="0"/>
    <x v="371"/>
    <n v="0"/>
    <n v="27339.72"/>
    <n v="0"/>
    <n v="0"/>
    <n v="0"/>
    <n v="27339.72"/>
  </r>
  <r>
    <x v="42"/>
    <s v="000011148"/>
    <d v="2025-07-22T00:00:00"/>
    <d v="2026-02-13T00:00:00"/>
    <n v="67533.83"/>
    <n v="44"/>
    <n v="0"/>
    <n v="0"/>
    <n v="0"/>
    <n v="0"/>
    <n v="0"/>
    <n v="0"/>
    <n v="0"/>
    <x v="371"/>
    <n v="0"/>
    <n v="67533.83"/>
    <n v="0"/>
    <n v="0"/>
    <n v="0"/>
    <n v="67533.83"/>
  </r>
  <r>
    <x v="107"/>
    <s v="000068251"/>
    <d v="2025-12-17T00:00:00"/>
    <d v="2026-02-14T00:00:00"/>
    <n v="28016.67"/>
    <n v="45"/>
    <n v="0"/>
    <n v="0"/>
    <n v="0"/>
    <n v="0"/>
    <n v="0"/>
    <n v="0"/>
    <n v="0"/>
    <x v="371"/>
    <n v="0"/>
    <n v="28016.67"/>
    <n v="0"/>
    <n v="0"/>
    <n v="0"/>
    <n v="28016.67"/>
  </r>
  <r>
    <x v="134"/>
    <s v="000068497"/>
    <d v="2025-12-26T00:00:00"/>
    <d v="2026-02-15T00:00:00"/>
    <n v="6133.33"/>
    <n v="46"/>
    <n v="0"/>
    <n v="0"/>
    <n v="0"/>
    <n v="0"/>
    <n v="0"/>
    <n v="0"/>
    <n v="0"/>
    <x v="371"/>
    <n v="0"/>
    <n v="6133.33"/>
    <n v="0"/>
    <n v="0"/>
    <n v="0"/>
    <n v="6133.33"/>
  </r>
  <r>
    <x v="129"/>
    <s v="004675402"/>
    <d v="2024-01-15T00:00:00"/>
    <d v="2026-02-15T00:00:00"/>
    <n v="1390.65"/>
    <n v="46"/>
    <n v="0"/>
    <n v="0"/>
    <n v="0"/>
    <n v="0"/>
    <n v="0"/>
    <n v="0"/>
    <n v="0"/>
    <x v="371"/>
    <n v="0"/>
    <n v="1390.65"/>
    <n v="0"/>
    <n v="0"/>
    <n v="0"/>
    <n v="1390.65"/>
  </r>
  <r>
    <x v="130"/>
    <s v="000060510"/>
    <d v="2025-06-17T00:00:00"/>
    <d v="2026-02-15T00:00:00"/>
    <n v="18757.14"/>
    <n v="46"/>
    <n v="0"/>
    <n v="0"/>
    <n v="0"/>
    <n v="0"/>
    <n v="0"/>
    <n v="0"/>
    <n v="0"/>
    <x v="371"/>
    <n v="0"/>
    <n v="18757.14"/>
    <n v="0"/>
    <n v="0"/>
    <n v="0"/>
    <n v="18757.14"/>
  </r>
  <r>
    <x v="111"/>
    <s v="000065401"/>
    <d v="2025-09-19T00:00:00"/>
    <d v="2026-02-15T00:00:00"/>
    <n v="13333.33"/>
    <n v="46"/>
    <n v="0"/>
    <n v="0"/>
    <n v="0"/>
    <n v="0"/>
    <n v="0"/>
    <n v="0"/>
    <n v="0"/>
    <x v="371"/>
    <n v="0"/>
    <n v="13333.33"/>
    <n v="0"/>
    <n v="0"/>
    <n v="0"/>
    <n v="13333.33"/>
  </r>
  <r>
    <x v="111"/>
    <s v="000068268"/>
    <d v="2025-12-18T00:00:00"/>
    <d v="2026-02-15T00:00:00"/>
    <n v="27300"/>
    <n v="46"/>
    <n v="0"/>
    <n v="0"/>
    <n v="0"/>
    <n v="0"/>
    <n v="0"/>
    <n v="0"/>
    <n v="0"/>
    <x v="371"/>
    <n v="0"/>
    <n v="27300"/>
    <n v="0"/>
    <n v="0"/>
    <n v="0"/>
    <n v="27300"/>
  </r>
  <r>
    <x v="163"/>
    <s v="000068296"/>
    <d v="2025-12-18T00:00:00"/>
    <d v="2026-02-16T00:00:00"/>
    <n v="62310"/>
    <n v="47"/>
    <n v="0"/>
    <n v="0"/>
    <n v="0"/>
    <n v="0"/>
    <n v="0"/>
    <n v="0"/>
    <n v="0"/>
    <x v="371"/>
    <n v="0"/>
    <n v="62310"/>
    <n v="0"/>
    <n v="0"/>
    <n v="0"/>
    <n v="62310"/>
  </r>
  <r>
    <x v="61"/>
    <s v="000005317"/>
    <d v="2024-12-16T00:00:00"/>
    <d v="2026-02-16T00:00:00"/>
    <n v="21923.5"/>
    <n v="47"/>
    <n v="0"/>
    <n v="0"/>
    <n v="0"/>
    <n v="0"/>
    <n v="0"/>
    <n v="0"/>
    <n v="0"/>
    <x v="371"/>
    <n v="0"/>
    <n v="21923.5"/>
    <n v="0"/>
    <n v="0"/>
    <n v="0"/>
    <n v="21923.5"/>
  </r>
  <r>
    <x v="69"/>
    <s v="000061116"/>
    <d v="2025-05-23T00:00:00"/>
    <d v="2026-02-17T00:00:00"/>
    <n v="4600"/>
    <n v="48"/>
    <n v="0"/>
    <n v="0"/>
    <n v="0"/>
    <n v="0"/>
    <n v="0"/>
    <n v="0"/>
    <n v="0"/>
    <x v="371"/>
    <n v="0"/>
    <n v="4600"/>
    <n v="0"/>
    <n v="0"/>
    <n v="0"/>
    <n v="4600"/>
  </r>
  <r>
    <x v="164"/>
    <s v="000012469"/>
    <d v="2025-11-10T00:00:00"/>
    <d v="2026-02-18T00:00:00"/>
    <n v="14405"/>
    <n v="49"/>
    <n v="0"/>
    <n v="0"/>
    <n v="0"/>
    <n v="0"/>
    <n v="0"/>
    <n v="0"/>
    <n v="0"/>
    <x v="371"/>
    <n v="0"/>
    <n v="14405"/>
    <n v="0"/>
    <n v="0"/>
    <n v="0"/>
    <n v="14405"/>
  </r>
  <r>
    <x v="133"/>
    <s v="12082026"/>
    <d v="2025-11-17T00:00:00"/>
    <d v="2026-02-18T00:00:00"/>
    <n v="83671.87"/>
    <n v="49"/>
    <n v="0"/>
    <n v="0"/>
    <n v="0"/>
    <n v="0"/>
    <n v="0"/>
    <n v="0"/>
    <n v="0"/>
    <x v="371"/>
    <n v="0"/>
    <n v="83671.87"/>
    <n v="0"/>
    <n v="0"/>
    <n v="0"/>
    <n v="83671.87"/>
  </r>
  <r>
    <x v="103"/>
    <s v="000066424"/>
    <d v="2025-10-22T00:00:00"/>
    <d v="2026-02-19T00:00:00"/>
    <n v="5213"/>
    <n v="50"/>
    <n v="0"/>
    <n v="0"/>
    <n v="0"/>
    <n v="0"/>
    <n v="0"/>
    <n v="0"/>
    <n v="0"/>
    <x v="371"/>
    <n v="0"/>
    <n v="5213"/>
    <n v="0"/>
    <n v="0"/>
    <n v="0"/>
    <n v="5213"/>
  </r>
  <r>
    <x v="136"/>
    <s v="000009799"/>
    <d v="2025-03-27T00:00:00"/>
    <d v="2026-02-19T00:00:00"/>
    <n v="26282"/>
    <n v="50"/>
    <n v="0"/>
    <n v="0"/>
    <n v="0"/>
    <n v="0"/>
    <n v="0"/>
    <n v="0"/>
    <n v="0"/>
    <x v="371"/>
    <n v="0"/>
    <n v="26282"/>
    <n v="0"/>
    <n v="0"/>
    <n v="0"/>
    <n v="26282"/>
  </r>
  <r>
    <x v="137"/>
    <s v="000012759"/>
    <d v="2025-12-22T00:00:00"/>
    <d v="2026-02-19T00:00:00"/>
    <n v="30387.5"/>
    <n v="50"/>
    <n v="0"/>
    <n v="0"/>
    <n v="0"/>
    <n v="0"/>
    <n v="0"/>
    <n v="0"/>
    <n v="0"/>
    <x v="371"/>
    <n v="0"/>
    <n v="30387.5"/>
    <n v="0"/>
    <n v="0"/>
    <n v="0"/>
    <n v="30387.5"/>
  </r>
  <r>
    <x v="63"/>
    <s v="000056098"/>
    <d v="2025-07-21T00:00:00"/>
    <d v="2026-02-20T00:00:00"/>
    <n v="41545"/>
    <n v="51"/>
    <n v="0"/>
    <n v="0"/>
    <n v="0"/>
    <n v="0"/>
    <n v="0"/>
    <n v="0"/>
    <n v="0"/>
    <x v="371"/>
    <n v="0"/>
    <n v="41545"/>
    <n v="0"/>
    <n v="0"/>
    <n v="0"/>
    <n v="41545"/>
  </r>
  <r>
    <x v="29"/>
    <s v="000066420"/>
    <d v="2025-10-22T00:00:00"/>
    <d v="2026-02-20T00:00:00"/>
    <n v="182400"/>
    <n v="51"/>
    <n v="0"/>
    <n v="0"/>
    <n v="0"/>
    <n v="0"/>
    <n v="0"/>
    <n v="0"/>
    <n v="0"/>
    <x v="371"/>
    <n v="0"/>
    <n v="182400"/>
    <n v="0"/>
    <n v="0"/>
    <n v="0"/>
    <n v="182400"/>
  </r>
  <r>
    <x v="90"/>
    <s v="000066485"/>
    <d v="2025-10-23T00:00:00"/>
    <d v="2026-02-20T00:00:00"/>
    <n v="119757.53"/>
    <n v="51"/>
    <n v="0"/>
    <n v="0"/>
    <n v="0"/>
    <n v="0"/>
    <n v="0"/>
    <n v="0"/>
    <n v="0"/>
    <x v="371"/>
    <n v="0"/>
    <n v="119757.53"/>
    <n v="0"/>
    <n v="0"/>
    <n v="0"/>
    <n v="119757.53"/>
  </r>
  <r>
    <x v="144"/>
    <s v="000068472"/>
    <d v="2025-12-23T00:00:00"/>
    <d v="2026-02-20T00:00:00"/>
    <n v="43358.28"/>
    <n v="51"/>
    <n v="0"/>
    <n v="0"/>
    <n v="0"/>
    <n v="0"/>
    <n v="0"/>
    <n v="0"/>
    <n v="0"/>
    <x v="371"/>
    <n v="0"/>
    <n v="43358.28"/>
    <n v="0"/>
    <n v="0"/>
    <n v="0"/>
    <n v="43358.28"/>
  </r>
  <r>
    <x v="130"/>
    <s v="000068049"/>
    <d v="2025-12-10T00:00:00"/>
    <d v="2026-02-20T00:00:00"/>
    <n v="27233.33"/>
    <n v="51"/>
    <n v="0"/>
    <n v="0"/>
    <n v="0"/>
    <n v="0"/>
    <n v="0"/>
    <n v="0"/>
    <n v="0"/>
    <x v="371"/>
    <n v="0"/>
    <n v="27233.33"/>
    <n v="0"/>
    <n v="0"/>
    <n v="0"/>
    <n v="27233.33"/>
  </r>
  <r>
    <x v="102"/>
    <s v="000068450"/>
    <d v="2025-12-23T00:00:00"/>
    <d v="2026-02-21T00:00:00"/>
    <n v="9822.25"/>
    <n v="52"/>
    <n v="0"/>
    <n v="0"/>
    <n v="0"/>
    <n v="0"/>
    <n v="0"/>
    <n v="0"/>
    <n v="0"/>
    <x v="371"/>
    <n v="0"/>
    <n v="9822.25"/>
    <n v="0"/>
    <n v="0"/>
    <n v="0"/>
    <n v="9822.25"/>
  </r>
  <r>
    <x v="58"/>
    <s v="000068452"/>
    <d v="2025-12-23T00:00:00"/>
    <d v="2026-02-21T00:00:00"/>
    <n v="11935"/>
    <n v="52"/>
    <n v="0"/>
    <n v="0"/>
    <n v="0"/>
    <n v="0"/>
    <n v="0"/>
    <n v="0"/>
    <n v="0"/>
    <x v="371"/>
    <n v="0"/>
    <n v="11935"/>
    <n v="0"/>
    <n v="0"/>
    <n v="0"/>
    <n v="11935"/>
  </r>
  <r>
    <x v="58"/>
    <s v="000068455"/>
    <d v="2025-12-23T00:00:00"/>
    <d v="2026-02-21T00:00:00"/>
    <n v="5179"/>
    <n v="52"/>
    <n v="0"/>
    <n v="0"/>
    <n v="0"/>
    <n v="0"/>
    <n v="0"/>
    <n v="0"/>
    <n v="0"/>
    <x v="371"/>
    <n v="0"/>
    <n v="5179"/>
    <n v="0"/>
    <n v="0"/>
    <n v="0"/>
    <n v="5179"/>
  </r>
  <r>
    <x v="125"/>
    <s v="000068426"/>
    <d v="2025-12-23T00:00:00"/>
    <d v="2026-02-21T00:00:00"/>
    <n v="40375"/>
    <n v="52"/>
    <n v="0"/>
    <n v="0"/>
    <n v="0"/>
    <n v="0"/>
    <n v="0"/>
    <n v="0"/>
    <n v="0"/>
    <x v="371"/>
    <n v="0"/>
    <n v="40375"/>
    <n v="0"/>
    <n v="0"/>
    <n v="0"/>
    <n v="40375"/>
  </r>
  <r>
    <x v="125"/>
    <s v="000068434"/>
    <d v="2025-12-23T00:00:00"/>
    <d v="2026-02-21T00:00:00"/>
    <n v="11618"/>
    <n v="52"/>
    <n v="0"/>
    <n v="0"/>
    <n v="0"/>
    <n v="0"/>
    <n v="0"/>
    <n v="0"/>
    <n v="0"/>
    <x v="371"/>
    <n v="0"/>
    <n v="11618"/>
    <n v="0"/>
    <n v="0"/>
    <n v="0"/>
    <n v="11618"/>
  </r>
  <r>
    <x v="125"/>
    <s v="000068438"/>
    <d v="2025-12-23T00:00:00"/>
    <d v="2026-02-21T00:00:00"/>
    <n v="10974"/>
    <n v="52"/>
    <n v="0"/>
    <n v="0"/>
    <n v="0"/>
    <n v="0"/>
    <n v="0"/>
    <n v="0"/>
    <n v="0"/>
    <x v="371"/>
    <n v="0"/>
    <n v="10974"/>
    <n v="0"/>
    <n v="0"/>
    <n v="0"/>
    <n v="10974"/>
  </r>
  <r>
    <x v="125"/>
    <s v="000068439"/>
    <d v="2025-12-23T00:00:00"/>
    <d v="2026-02-21T00:00:00"/>
    <n v="10974"/>
    <n v="52"/>
    <n v="0"/>
    <n v="0"/>
    <n v="0"/>
    <n v="0"/>
    <n v="0"/>
    <n v="0"/>
    <n v="0"/>
    <x v="371"/>
    <n v="0"/>
    <n v="10974"/>
    <n v="0"/>
    <n v="0"/>
    <n v="0"/>
    <n v="10974"/>
  </r>
  <r>
    <x v="125"/>
    <s v="000068440"/>
    <d v="2025-12-23T00:00:00"/>
    <d v="2026-02-21T00:00:00"/>
    <n v="3966.5"/>
    <n v="52"/>
    <n v="0"/>
    <n v="0"/>
    <n v="0"/>
    <n v="0"/>
    <n v="0"/>
    <n v="0"/>
    <n v="0"/>
    <x v="371"/>
    <n v="0"/>
    <n v="3966.5"/>
    <n v="0"/>
    <n v="0"/>
    <n v="0"/>
    <n v="3966.5"/>
  </r>
  <r>
    <x v="125"/>
    <s v="000068441"/>
    <d v="2025-12-23T00:00:00"/>
    <d v="2026-02-21T00:00:00"/>
    <n v="3966.5"/>
    <n v="52"/>
    <n v="0"/>
    <n v="0"/>
    <n v="0"/>
    <n v="0"/>
    <n v="0"/>
    <n v="0"/>
    <n v="0"/>
    <x v="371"/>
    <n v="0"/>
    <n v="3966.5"/>
    <n v="0"/>
    <n v="0"/>
    <n v="0"/>
    <n v="3966.5"/>
  </r>
  <r>
    <x v="125"/>
    <s v="000068447"/>
    <d v="2025-12-23T00:00:00"/>
    <d v="2026-02-21T00:00:00"/>
    <n v="10414"/>
    <n v="52"/>
    <n v="0"/>
    <n v="0"/>
    <n v="0"/>
    <n v="0"/>
    <n v="0"/>
    <n v="0"/>
    <n v="0"/>
    <x v="371"/>
    <n v="0"/>
    <n v="10414"/>
    <n v="0"/>
    <n v="0"/>
    <n v="0"/>
    <n v="10414"/>
  </r>
  <r>
    <x v="142"/>
    <s v="000067492"/>
    <d v="2025-11-24T00:00:00"/>
    <d v="2026-02-22T00:00:00"/>
    <n v="50695.33"/>
    <n v="53"/>
    <n v="0"/>
    <n v="0"/>
    <n v="0"/>
    <n v="0"/>
    <n v="0"/>
    <n v="0"/>
    <n v="0"/>
    <x v="371"/>
    <n v="0"/>
    <n v="50695.33"/>
    <n v="0"/>
    <n v="0"/>
    <n v="0"/>
    <n v="50695.33"/>
  </r>
  <r>
    <x v="81"/>
    <s v="000012601"/>
    <d v="2025-11-24T00:00:00"/>
    <d v="2026-02-22T00:00:00"/>
    <n v="236900"/>
    <n v="53"/>
    <n v="0"/>
    <n v="0"/>
    <n v="0"/>
    <n v="0"/>
    <n v="0"/>
    <n v="0"/>
    <n v="0"/>
    <x v="371"/>
    <n v="0"/>
    <n v="236900"/>
    <n v="0"/>
    <n v="0"/>
    <n v="0"/>
    <n v="236900"/>
  </r>
  <r>
    <x v="42"/>
    <s v="000011945"/>
    <d v="2025-09-25T00:00:00"/>
    <d v="2026-02-22T00:00:00"/>
    <n v="38143.769999999997"/>
    <n v="53"/>
    <n v="0"/>
    <n v="0"/>
    <n v="0"/>
    <n v="0"/>
    <n v="0"/>
    <n v="0"/>
    <n v="0"/>
    <x v="371"/>
    <n v="0"/>
    <n v="38143.769999999997"/>
    <n v="0"/>
    <n v="0"/>
    <n v="0"/>
    <n v="38143.769999999997"/>
  </r>
  <r>
    <x v="113"/>
    <s v="000068482"/>
    <d v="2025-12-26T00:00:00"/>
    <d v="2026-02-23T00:00:00"/>
    <n v="43313.35"/>
    <n v="54"/>
    <n v="0"/>
    <n v="0"/>
    <n v="0"/>
    <n v="0"/>
    <n v="0"/>
    <n v="0"/>
    <n v="0"/>
    <x v="371"/>
    <n v="0"/>
    <n v="43313.35"/>
    <n v="0"/>
    <n v="0"/>
    <n v="0"/>
    <n v="43313.35"/>
  </r>
  <r>
    <x v="113"/>
    <s v="000068484"/>
    <d v="2025-12-26T00:00:00"/>
    <d v="2026-02-23T00:00:00"/>
    <n v="14000"/>
    <n v="54"/>
    <n v="0"/>
    <n v="0"/>
    <n v="0"/>
    <n v="0"/>
    <n v="0"/>
    <n v="0"/>
    <n v="0"/>
    <x v="371"/>
    <n v="0"/>
    <n v="14000"/>
    <n v="0"/>
    <n v="0"/>
    <n v="0"/>
    <n v="14000"/>
  </r>
  <r>
    <x v="113"/>
    <s v="000068486"/>
    <d v="2025-12-26T00:00:00"/>
    <d v="2026-02-23T00:00:00"/>
    <n v="43403.21"/>
    <n v="54"/>
    <n v="0"/>
    <n v="0"/>
    <n v="0"/>
    <n v="0"/>
    <n v="0"/>
    <n v="0"/>
    <n v="0"/>
    <x v="371"/>
    <n v="0"/>
    <n v="43403.21"/>
    <n v="0"/>
    <n v="0"/>
    <n v="0"/>
    <n v="43403.21"/>
  </r>
  <r>
    <x v="150"/>
    <s v="000067511"/>
    <d v="2025-11-25T00:00:00"/>
    <d v="2026-02-23T00:00:00"/>
    <n v="6948.7"/>
    <n v="54"/>
    <n v="0"/>
    <n v="0"/>
    <n v="0"/>
    <n v="0"/>
    <n v="0"/>
    <n v="0"/>
    <n v="0"/>
    <x v="371"/>
    <n v="0"/>
    <n v="6948.7"/>
    <n v="0"/>
    <n v="0"/>
    <n v="0"/>
    <n v="6948.7"/>
  </r>
  <r>
    <x v="165"/>
    <s v="000067510"/>
    <d v="2025-11-25T00:00:00"/>
    <d v="2026-02-23T00:00:00"/>
    <n v="60770"/>
    <n v="54"/>
    <n v="0"/>
    <n v="0"/>
    <n v="0"/>
    <n v="0"/>
    <n v="0"/>
    <n v="0"/>
    <n v="0"/>
    <x v="371"/>
    <n v="0"/>
    <n v="60770"/>
    <n v="0"/>
    <n v="0"/>
    <n v="0"/>
    <n v="60770"/>
  </r>
  <r>
    <x v="166"/>
    <s v="000068496"/>
    <d v="2025-12-26T00:00:00"/>
    <d v="2026-02-23T00:00:00"/>
    <n v="13900"/>
    <n v="54"/>
    <n v="0"/>
    <n v="0"/>
    <n v="0"/>
    <n v="0"/>
    <n v="0"/>
    <n v="0"/>
    <n v="0"/>
    <x v="371"/>
    <n v="0"/>
    <n v="13900"/>
    <n v="0"/>
    <n v="0"/>
    <n v="0"/>
    <n v="13900"/>
  </r>
  <r>
    <x v="109"/>
    <s v="000067550"/>
    <d v="2025-11-26T00:00:00"/>
    <d v="2026-02-24T00:00:00"/>
    <n v="22800"/>
    <n v="55"/>
    <n v="0"/>
    <n v="0"/>
    <n v="0"/>
    <n v="0"/>
    <n v="0"/>
    <n v="0"/>
    <n v="0"/>
    <x v="371"/>
    <n v="0"/>
    <n v="22800"/>
    <n v="0"/>
    <n v="0"/>
    <n v="0"/>
    <n v="22800"/>
  </r>
  <r>
    <x v="125"/>
    <s v="000067559"/>
    <d v="2025-11-26T00:00:00"/>
    <d v="2026-02-24T00:00:00"/>
    <n v="10974"/>
    <n v="55"/>
    <n v="0"/>
    <n v="0"/>
    <n v="0"/>
    <n v="0"/>
    <n v="0"/>
    <n v="0"/>
    <n v="0"/>
    <x v="371"/>
    <n v="0"/>
    <n v="10974"/>
    <n v="0"/>
    <n v="0"/>
    <n v="0"/>
    <n v="10974"/>
  </r>
  <r>
    <x v="125"/>
    <s v="000067560"/>
    <d v="2025-11-26T00:00:00"/>
    <d v="2026-02-24T00:00:00"/>
    <n v="7844.16"/>
    <n v="55"/>
    <n v="0"/>
    <n v="0"/>
    <n v="0"/>
    <n v="0"/>
    <n v="0"/>
    <n v="0"/>
    <n v="0"/>
    <x v="371"/>
    <n v="0"/>
    <n v="7844.16"/>
    <n v="0"/>
    <n v="0"/>
    <n v="0"/>
    <n v="7844.16"/>
  </r>
  <r>
    <x v="125"/>
    <s v="000067566"/>
    <d v="2025-11-26T00:00:00"/>
    <d v="2026-02-24T00:00:00"/>
    <n v="4508.5"/>
    <n v="55"/>
    <n v="0"/>
    <n v="0"/>
    <n v="0"/>
    <n v="0"/>
    <n v="0"/>
    <n v="0"/>
    <n v="0"/>
    <x v="371"/>
    <n v="0"/>
    <n v="4508.5"/>
    <n v="0"/>
    <n v="0"/>
    <n v="0"/>
    <n v="4508.5"/>
  </r>
  <r>
    <x v="125"/>
    <s v="000067568"/>
    <d v="2025-11-26T00:00:00"/>
    <d v="2026-02-24T00:00:00"/>
    <n v="10763.16"/>
    <n v="55"/>
    <n v="0"/>
    <n v="0"/>
    <n v="0"/>
    <n v="0"/>
    <n v="0"/>
    <n v="0"/>
    <n v="0"/>
    <x v="371"/>
    <n v="0"/>
    <n v="10763.16"/>
    <n v="0"/>
    <n v="0"/>
    <n v="0"/>
    <n v="10763.16"/>
  </r>
  <r>
    <x v="97"/>
    <s v="000067618"/>
    <d v="2025-11-27T00:00:00"/>
    <d v="2026-02-25T00:00:00"/>
    <n v="11642.05"/>
    <n v="56"/>
    <n v="0"/>
    <n v="0"/>
    <n v="0"/>
    <n v="0"/>
    <n v="0"/>
    <n v="0"/>
    <n v="0"/>
    <x v="371"/>
    <n v="0"/>
    <n v="11642.05"/>
    <n v="0"/>
    <n v="0"/>
    <n v="0"/>
    <n v="11642.05"/>
  </r>
  <r>
    <x v="100"/>
    <s v="000067599"/>
    <d v="2025-11-27T00:00:00"/>
    <d v="2026-02-25T00:00:00"/>
    <n v="53064.82"/>
    <n v="56"/>
    <n v="0"/>
    <n v="0"/>
    <n v="0"/>
    <n v="0"/>
    <n v="0"/>
    <n v="0"/>
    <n v="0"/>
    <x v="371"/>
    <n v="0"/>
    <n v="53064.82"/>
    <n v="0"/>
    <n v="0"/>
    <n v="0"/>
    <n v="53064.82"/>
  </r>
  <r>
    <x v="100"/>
    <s v="000067600"/>
    <d v="2025-11-27T00:00:00"/>
    <d v="2026-02-25T00:00:00"/>
    <n v="41332.76"/>
    <n v="56"/>
    <n v="0"/>
    <n v="0"/>
    <n v="0"/>
    <n v="0"/>
    <n v="0"/>
    <n v="0"/>
    <n v="0"/>
    <x v="371"/>
    <n v="0"/>
    <n v="41332.76"/>
    <n v="0"/>
    <n v="0"/>
    <n v="0"/>
    <n v="41332.76"/>
  </r>
  <r>
    <x v="147"/>
    <s v="000067602"/>
    <d v="2025-11-27T00:00:00"/>
    <d v="2026-02-25T00:00:00"/>
    <n v="30244.34"/>
    <n v="56"/>
    <n v="0"/>
    <n v="0"/>
    <n v="0"/>
    <n v="0"/>
    <n v="0"/>
    <n v="0"/>
    <n v="0"/>
    <x v="371"/>
    <n v="0"/>
    <n v="30244.34"/>
    <n v="0"/>
    <n v="0"/>
    <n v="0"/>
    <n v="30244.34"/>
  </r>
  <r>
    <x v="157"/>
    <s v="000067589"/>
    <d v="2025-11-27T00:00:00"/>
    <d v="2026-02-25T00:00:00"/>
    <n v="14854.27"/>
    <n v="56"/>
    <n v="0"/>
    <n v="0"/>
    <n v="0"/>
    <n v="0"/>
    <n v="0"/>
    <n v="0"/>
    <n v="0"/>
    <x v="371"/>
    <n v="0"/>
    <n v="14854.27"/>
    <n v="0"/>
    <n v="0"/>
    <n v="0"/>
    <n v="14854.27"/>
  </r>
  <r>
    <x v="31"/>
    <s v="000067620"/>
    <d v="2025-11-27T00:00:00"/>
    <d v="2026-02-25T00:00:00"/>
    <n v="64650"/>
    <n v="56"/>
    <n v="0"/>
    <n v="0"/>
    <n v="0"/>
    <n v="0"/>
    <n v="0"/>
    <n v="0"/>
    <n v="0"/>
    <x v="371"/>
    <n v="0"/>
    <n v="64650"/>
    <n v="0"/>
    <n v="0"/>
    <n v="0"/>
    <n v="64650"/>
  </r>
  <r>
    <x v="167"/>
    <s v="000067670"/>
    <d v="2025-11-28T00:00:00"/>
    <d v="2026-02-26T00:00:00"/>
    <n v="161000"/>
    <n v="57"/>
    <n v="0"/>
    <n v="0"/>
    <n v="0"/>
    <n v="0"/>
    <n v="0"/>
    <n v="0"/>
    <n v="0"/>
    <x v="371"/>
    <n v="0"/>
    <n v="161000"/>
    <n v="0"/>
    <n v="0"/>
    <n v="0"/>
    <n v="161000"/>
  </r>
  <r>
    <x v="139"/>
    <s v="000067683"/>
    <d v="2025-11-28T00:00:00"/>
    <d v="2026-02-26T00:00:00"/>
    <n v="4379.34"/>
    <n v="57"/>
    <n v="0"/>
    <n v="0"/>
    <n v="0"/>
    <n v="0"/>
    <n v="0"/>
    <n v="0"/>
    <n v="0"/>
    <x v="371"/>
    <n v="0"/>
    <n v="4379.34"/>
    <n v="0"/>
    <n v="0"/>
    <n v="0"/>
    <n v="4379.34"/>
  </r>
  <r>
    <x v="31"/>
    <s v="000067641"/>
    <d v="2025-11-28T00:00:00"/>
    <d v="2026-02-26T00:00:00"/>
    <n v="59500"/>
    <n v="57"/>
    <n v="0"/>
    <n v="0"/>
    <n v="0"/>
    <n v="0"/>
    <n v="0"/>
    <n v="0"/>
    <n v="0"/>
    <x v="371"/>
    <n v="0"/>
    <n v="59500"/>
    <n v="0"/>
    <n v="0"/>
    <n v="0"/>
    <n v="59500"/>
  </r>
  <r>
    <x v="99"/>
    <s v="000058965"/>
    <d v="2025-07-07T00:00:00"/>
    <d v="2026-02-27T00:00:00"/>
    <n v="9166.67"/>
    <n v="58"/>
    <n v="0"/>
    <n v="0"/>
    <n v="0"/>
    <n v="0"/>
    <n v="0"/>
    <n v="0"/>
    <n v="0"/>
    <x v="371"/>
    <n v="0"/>
    <n v="9166.67"/>
    <n v="0"/>
    <n v="0"/>
    <n v="0"/>
    <n v="9166.67"/>
  </r>
  <r>
    <x v="111"/>
    <s v="000066755"/>
    <d v="2025-10-31T00:00:00"/>
    <d v="2026-02-27T00:00:00"/>
    <n v="7300"/>
    <n v="58"/>
    <n v="0"/>
    <n v="0"/>
    <n v="0"/>
    <n v="0"/>
    <n v="0"/>
    <n v="0"/>
    <n v="0"/>
    <x v="371"/>
    <n v="0"/>
    <n v="7300"/>
    <n v="0"/>
    <n v="0"/>
    <n v="0"/>
    <n v="7300"/>
  </r>
  <r>
    <x v="42"/>
    <s v="000012023"/>
    <d v="2025-10-02T00:00:00"/>
    <d v="2026-02-27T00:00:00"/>
    <n v="38143.769999999997"/>
    <n v="58"/>
    <n v="0"/>
    <n v="0"/>
    <n v="0"/>
    <n v="0"/>
    <n v="0"/>
    <n v="0"/>
    <n v="0"/>
    <x v="371"/>
    <n v="0"/>
    <n v="38143.769999999997"/>
    <n v="0"/>
    <n v="0"/>
    <n v="0"/>
    <n v="38143.769999999997"/>
  </r>
  <r>
    <x v="86"/>
    <s v="000066729"/>
    <d v="2025-10-31T00:00:00"/>
    <d v="2026-02-28T00:00:00"/>
    <n v="18415"/>
    <n v="59"/>
    <n v="0"/>
    <n v="0"/>
    <n v="0"/>
    <n v="0"/>
    <n v="0"/>
    <n v="0"/>
    <n v="0"/>
    <x v="371"/>
    <n v="0"/>
    <n v="18415"/>
    <n v="0"/>
    <n v="0"/>
    <n v="0"/>
    <n v="18415"/>
  </r>
  <r>
    <x v="34"/>
    <s v="12082027"/>
    <d v="2025-12-03T00:00:00"/>
    <d v="2026-02-28T00:00:00"/>
    <n v="20348.080000000002"/>
    <n v="59"/>
    <n v="0"/>
    <n v="0"/>
    <n v="0"/>
    <n v="0"/>
    <n v="0"/>
    <n v="0"/>
    <n v="0"/>
    <x v="371"/>
    <n v="0"/>
    <n v="20348.080000000002"/>
    <n v="0"/>
    <n v="0"/>
    <n v="0"/>
    <n v="20348.080000000002"/>
  </r>
  <r>
    <x v="114"/>
    <s v="000068552"/>
    <d v="2025-12-30T00:00:00"/>
    <d v="2026-02-28T00:00:00"/>
    <n v="17500"/>
    <n v="59"/>
    <n v="0"/>
    <n v="0"/>
    <n v="0"/>
    <n v="0"/>
    <n v="0"/>
    <n v="0"/>
    <n v="0"/>
    <x v="371"/>
    <n v="0"/>
    <n v="17500"/>
    <n v="0"/>
    <n v="0"/>
    <n v="0"/>
    <n v="17500"/>
  </r>
  <r>
    <x v="100"/>
    <s v="000067785"/>
    <d v="2025-12-02T00:00:00"/>
    <d v="2026-03-02T00:00:00"/>
    <n v="24206.799999999999"/>
    <n v="61"/>
    <n v="0"/>
    <n v="0"/>
    <n v="0"/>
    <n v="0"/>
    <n v="0"/>
    <n v="0"/>
    <n v="0"/>
    <x v="371"/>
    <n v="0"/>
    <n v="0"/>
    <n v="24206.799999999999"/>
    <n v="0"/>
    <n v="0"/>
    <n v="24206.799999999999"/>
  </r>
  <r>
    <x v="42"/>
    <s v="000011678"/>
    <d v="2025-09-05T00:00:00"/>
    <d v="2026-03-02T00:00:00"/>
    <n v="49707.5"/>
    <n v="61"/>
    <n v="0"/>
    <n v="0"/>
    <n v="0"/>
    <n v="0"/>
    <n v="0"/>
    <n v="0"/>
    <n v="0"/>
    <x v="371"/>
    <n v="0"/>
    <n v="0"/>
    <n v="49707.5"/>
    <n v="0"/>
    <n v="0"/>
    <n v="49707.5"/>
  </r>
  <r>
    <x v="104"/>
    <s v="000066846"/>
    <d v="2025-11-03T00:00:00"/>
    <d v="2026-03-03T00:00:00"/>
    <n v="7560"/>
    <n v="62"/>
    <n v="0"/>
    <n v="0"/>
    <n v="0"/>
    <n v="0"/>
    <n v="0"/>
    <n v="0"/>
    <n v="0"/>
    <x v="371"/>
    <n v="0"/>
    <n v="0"/>
    <n v="7560"/>
    <n v="0"/>
    <n v="0"/>
    <n v="7560"/>
  </r>
  <r>
    <x v="168"/>
    <s v="000067858"/>
    <d v="2025-12-04T00:00:00"/>
    <d v="2026-03-04T00:00:00"/>
    <n v="29793.58"/>
    <n v="63"/>
    <n v="0"/>
    <n v="0"/>
    <n v="0"/>
    <n v="0"/>
    <n v="0"/>
    <n v="0"/>
    <n v="0"/>
    <x v="371"/>
    <n v="0"/>
    <n v="0"/>
    <n v="29793.58"/>
    <n v="0"/>
    <n v="0"/>
    <n v="29793.58"/>
  </r>
  <r>
    <x v="103"/>
    <s v="000066899"/>
    <d v="2025-11-04T00:00:00"/>
    <d v="2026-03-04T00:00:00"/>
    <n v="17500"/>
    <n v="63"/>
    <n v="0"/>
    <n v="0"/>
    <n v="0"/>
    <n v="0"/>
    <n v="0"/>
    <n v="0"/>
    <n v="0"/>
    <x v="371"/>
    <n v="0"/>
    <n v="0"/>
    <n v="17500"/>
    <n v="0"/>
    <n v="0"/>
    <n v="17500"/>
  </r>
  <r>
    <x v="142"/>
    <s v="000067845"/>
    <d v="2025-12-04T00:00:00"/>
    <d v="2026-03-04T00:00:00"/>
    <n v="57500"/>
    <n v="63"/>
    <n v="0"/>
    <n v="0"/>
    <n v="0"/>
    <n v="0"/>
    <n v="0"/>
    <n v="0"/>
    <n v="0"/>
    <x v="371"/>
    <n v="0"/>
    <n v="0"/>
    <n v="57500"/>
    <n v="0"/>
    <n v="0"/>
    <n v="57500"/>
  </r>
  <r>
    <x v="107"/>
    <s v="000067887"/>
    <d v="2025-12-05T00:00:00"/>
    <d v="2026-03-05T00:00:00"/>
    <n v="30533.34"/>
    <n v="64"/>
    <n v="0"/>
    <n v="0"/>
    <n v="0"/>
    <n v="0"/>
    <n v="0"/>
    <n v="0"/>
    <n v="0"/>
    <x v="371"/>
    <n v="0"/>
    <n v="0"/>
    <n v="30533.34"/>
    <n v="0"/>
    <n v="0"/>
    <n v="30533.34"/>
  </r>
  <r>
    <x v="94"/>
    <s v="000012426"/>
    <d v="2025-11-05T00:00:00"/>
    <d v="2026-03-05T00:00:00"/>
    <n v="46000"/>
    <n v="64"/>
    <n v="0"/>
    <n v="0"/>
    <n v="0"/>
    <n v="0"/>
    <n v="0"/>
    <n v="0"/>
    <n v="0"/>
    <x v="371"/>
    <n v="0"/>
    <n v="0"/>
    <n v="46000"/>
    <n v="0"/>
    <n v="0"/>
    <n v="46000"/>
  </r>
  <r>
    <x v="126"/>
    <s v="000012646"/>
    <d v="2025-11-28T00:00:00"/>
    <d v="2026-03-08T00:00:00"/>
    <n v="8109.28"/>
    <n v="67"/>
    <n v="0"/>
    <n v="0"/>
    <n v="0"/>
    <n v="0"/>
    <n v="0"/>
    <n v="0"/>
    <n v="0"/>
    <x v="371"/>
    <n v="0"/>
    <n v="0"/>
    <n v="8109.28"/>
    <n v="0"/>
    <n v="0"/>
    <n v="8109.28"/>
  </r>
  <r>
    <x v="111"/>
    <s v="000066082"/>
    <d v="2025-10-10T00:00:00"/>
    <d v="2026-03-08T00:00:00"/>
    <n v="13333.33"/>
    <n v="67"/>
    <n v="0"/>
    <n v="0"/>
    <n v="0"/>
    <n v="0"/>
    <n v="0"/>
    <n v="0"/>
    <n v="0"/>
    <x v="371"/>
    <n v="0"/>
    <n v="0"/>
    <n v="13333.33"/>
    <n v="0"/>
    <n v="0"/>
    <n v="13333.33"/>
  </r>
  <r>
    <x v="169"/>
    <s v="000066723"/>
    <d v="2025-10-31T00:00:00"/>
    <d v="2026-03-10T00:00:00"/>
    <n v="4600"/>
    <n v="69"/>
    <n v="0"/>
    <n v="0"/>
    <n v="0"/>
    <n v="0"/>
    <n v="0"/>
    <n v="0"/>
    <n v="0"/>
    <x v="371"/>
    <n v="0"/>
    <n v="0"/>
    <n v="4600"/>
    <n v="0"/>
    <n v="0"/>
    <n v="4600"/>
  </r>
  <r>
    <x v="48"/>
    <s v="048398"/>
    <d v="2025-02-24T00:00:00"/>
    <d v="2026-03-10T00:00:00"/>
    <n v="4057.02"/>
    <n v="69"/>
    <n v="0"/>
    <n v="0"/>
    <n v="0"/>
    <n v="0"/>
    <n v="0"/>
    <n v="0"/>
    <n v="0"/>
    <x v="371"/>
    <n v="0"/>
    <n v="0"/>
    <n v="4057.02"/>
    <n v="0"/>
    <n v="0"/>
    <n v="4057.02"/>
  </r>
  <r>
    <x v="48"/>
    <s v="054077"/>
    <d v="2025-02-24T00:00:00"/>
    <d v="2026-03-10T00:00:00"/>
    <n v="6824.09"/>
    <n v="69"/>
    <n v="0"/>
    <n v="0"/>
    <n v="0"/>
    <n v="0"/>
    <n v="0"/>
    <n v="0"/>
    <n v="0"/>
    <x v="371"/>
    <n v="0"/>
    <n v="0"/>
    <n v="6824.09"/>
    <n v="0"/>
    <n v="0"/>
    <n v="6824.09"/>
  </r>
  <r>
    <x v="85"/>
    <s v="000068054"/>
    <d v="2025-12-10T00:00:00"/>
    <d v="2026-03-10T00:00:00"/>
    <n v="24184.68"/>
    <n v="69"/>
    <n v="0"/>
    <n v="0"/>
    <n v="0"/>
    <n v="0"/>
    <n v="0"/>
    <n v="0"/>
    <n v="0"/>
    <x v="371"/>
    <n v="0"/>
    <n v="0"/>
    <n v="24184.68"/>
    <n v="0"/>
    <n v="0"/>
    <n v="24184.68"/>
  </r>
  <r>
    <x v="85"/>
    <s v="000068057"/>
    <d v="2025-12-10T00:00:00"/>
    <d v="2026-03-10T00:00:00"/>
    <n v="15915.56"/>
    <n v="69"/>
    <n v="0"/>
    <n v="0"/>
    <n v="0"/>
    <n v="0"/>
    <n v="0"/>
    <n v="0"/>
    <n v="0"/>
    <x v="371"/>
    <n v="0"/>
    <n v="0"/>
    <n v="15915.56"/>
    <n v="0"/>
    <n v="0"/>
    <n v="15915.56"/>
  </r>
  <r>
    <x v="120"/>
    <s v="000066702"/>
    <d v="2025-10-30T00:00:00"/>
    <d v="2026-03-10T00:00:00"/>
    <n v="33705"/>
    <n v="69"/>
    <n v="0"/>
    <n v="0"/>
    <n v="0"/>
    <n v="0"/>
    <n v="0"/>
    <n v="0"/>
    <n v="0"/>
    <x v="371"/>
    <n v="0"/>
    <n v="0"/>
    <n v="33705"/>
    <n v="0"/>
    <n v="0"/>
    <n v="33705"/>
  </r>
  <r>
    <x v="120"/>
    <s v="000066703"/>
    <d v="2025-10-30T00:00:00"/>
    <d v="2026-03-10T00:00:00"/>
    <n v="24540.5"/>
    <n v="69"/>
    <n v="0"/>
    <n v="0"/>
    <n v="0"/>
    <n v="0"/>
    <n v="0"/>
    <n v="0"/>
    <n v="0"/>
    <x v="371"/>
    <n v="0"/>
    <n v="0"/>
    <n v="24540.5"/>
    <n v="0"/>
    <n v="0"/>
    <n v="24540.5"/>
  </r>
  <r>
    <x v="165"/>
    <s v="000068037"/>
    <d v="2025-12-10T00:00:00"/>
    <d v="2026-03-10T00:00:00"/>
    <n v="29070"/>
    <n v="69"/>
    <n v="0"/>
    <n v="0"/>
    <n v="0"/>
    <n v="0"/>
    <n v="0"/>
    <n v="0"/>
    <n v="0"/>
    <x v="371"/>
    <n v="0"/>
    <n v="0"/>
    <n v="29070"/>
    <n v="0"/>
    <n v="0"/>
    <n v="29070"/>
  </r>
  <r>
    <x v="165"/>
    <s v="000068039"/>
    <d v="2025-12-10T00:00:00"/>
    <d v="2026-03-10T00:00:00"/>
    <n v="300"/>
    <n v="69"/>
    <n v="0"/>
    <n v="0"/>
    <n v="0"/>
    <n v="0"/>
    <n v="0"/>
    <n v="0"/>
    <n v="0"/>
    <x v="371"/>
    <n v="0"/>
    <n v="0"/>
    <n v="300"/>
    <n v="0"/>
    <n v="0"/>
    <n v="300"/>
  </r>
  <r>
    <x v="90"/>
    <s v="000067070"/>
    <d v="2025-11-10T00:00:00"/>
    <d v="2026-03-10T00:00:00"/>
    <n v="41033"/>
    <n v="69"/>
    <n v="0"/>
    <n v="0"/>
    <n v="0"/>
    <n v="0"/>
    <n v="0"/>
    <n v="0"/>
    <n v="0"/>
    <x v="371"/>
    <n v="0"/>
    <n v="0"/>
    <n v="41033"/>
    <n v="0"/>
    <n v="0"/>
    <n v="41033"/>
  </r>
  <r>
    <x v="104"/>
    <s v="000068059"/>
    <d v="2025-12-10T00:00:00"/>
    <d v="2026-03-10T00:00:00"/>
    <n v="18000"/>
    <n v="69"/>
    <n v="0"/>
    <n v="0"/>
    <n v="0"/>
    <n v="0"/>
    <n v="0"/>
    <n v="0"/>
    <n v="0"/>
    <x v="371"/>
    <n v="0"/>
    <n v="0"/>
    <n v="18000"/>
    <n v="0"/>
    <n v="0"/>
    <n v="18000"/>
  </r>
  <r>
    <x v="122"/>
    <s v="000061892"/>
    <d v="2025-12-08T00:00:00"/>
    <d v="2026-03-10T00:00:00"/>
    <n v="36174.17"/>
    <n v="69"/>
    <n v="0"/>
    <n v="0"/>
    <n v="0"/>
    <n v="0"/>
    <n v="0"/>
    <n v="0"/>
    <n v="0"/>
    <x v="371"/>
    <n v="0"/>
    <n v="0"/>
    <n v="36174.17"/>
    <n v="0"/>
    <n v="0"/>
    <n v="36174.17"/>
  </r>
  <r>
    <x v="107"/>
    <s v="000068101"/>
    <d v="2025-12-11T00:00:00"/>
    <d v="2026-03-11T00:00:00"/>
    <n v="90500"/>
    <n v="70"/>
    <n v="0"/>
    <n v="0"/>
    <n v="0"/>
    <n v="0"/>
    <n v="0"/>
    <n v="0"/>
    <n v="0"/>
    <x v="371"/>
    <n v="0"/>
    <n v="0"/>
    <n v="90500"/>
    <n v="0"/>
    <n v="0"/>
    <n v="90500"/>
  </r>
  <r>
    <x v="121"/>
    <s v="000012709"/>
    <d v="2025-12-11T00:00:00"/>
    <d v="2026-03-11T00:00:00"/>
    <n v="90930"/>
    <n v="70"/>
    <n v="0"/>
    <n v="0"/>
    <n v="0"/>
    <n v="0"/>
    <n v="0"/>
    <n v="0"/>
    <n v="0"/>
    <x v="371"/>
    <n v="0"/>
    <n v="0"/>
    <n v="90930"/>
    <n v="0"/>
    <n v="0"/>
    <n v="90930"/>
  </r>
  <r>
    <x v="121"/>
    <s v="000012710"/>
    <d v="2025-12-11T00:00:00"/>
    <d v="2026-03-11T00:00:00"/>
    <n v="16576.349999999999"/>
    <n v="70"/>
    <n v="0"/>
    <n v="0"/>
    <n v="0"/>
    <n v="0"/>
    <n v="0"/>
    <n v="0"/>
    <n v="0"/>
    <x v="371"/>
    <n v="0"/>
    <n v="0"/>
    <n v="16576.349999999999"/>
    <n v="0"/>
    <n v="0"/>
    <n v="16576.349999999999"/>
  </r>
  <r>
    <x v="121"/>
    <s v="000012711"/>
    <d v="2025-12-11T00:00:00"/>
    <d v="2026-03-11T00:00:00"/>
    <n v="16626.349999999999"/>
    <n v="70"/>
    <n v="0"/>
    <n v="0"/>
    <n v="0"/>
    <n v="0"/>
    <n v="0"/>
    <n v="0"/>
    <n v="0"/>
    <x v="371"/>
    <n v="0"/>
    <n v="0"/>
    <n v="16626.349999999999"/>
    <n v="0"/>
    <n v="0"/>
    <n v="16626.349999999999"/>
  </r>
  <r>
    <x v="152"/>
    <s v="000067242"/>
    <d v="2025-11-14T00:00:00"/>
    <d v="2026-03-14T00:00:00"/>
    <n v="14000"/>
    <n v="73"/>
    <n v="0"/>
    <n v="0"/>
    <n v="0"/>
    <n v="0"/>
    <n v="0"/>
    <n v="0"/>
    <n v="0"/>
    <x v="371"/>
    <n v="0"/>
    <n v="0"/>
    <n v="14000"/>
    <n v="0"/>
    <n v="0"/>
    <n v="14000"/>
  </r>
  <r>
    <x v="111"/>
    <s v="000065271"/>
    <d v="2025-09-16T00:00:00"/>
    <d v="2026-03-14T00:00:00"/>
    <n v="14447.65"/>
    <n v="73"/>
    <n v="0"/>
    <n v="0"/>
    <n v="0"/>
    <n v="0"/>
    <n v="0"/>
    <n v="0"/>
    <n v="0"/>
    <x v="371"/>
    <n v="0"/>
    <n v="0"/>
    <n v="14447.65"/>
    <n v="0"/>
    <n v="0"/>
    <n v="14447.65"/>
  </r>
  <r>
    <x v="134"/>
    <s v="000068497"/>
    <d v="2025-12-26T00:00:00"/>
    <d v="2026-03-15T00:00:00"/>
    <n v="6133.33"/>
    <n v="74"/>
    <n v="0"/>
    <n v="0"/>
    <n v="0"/>
    <n v="0"/>
    <n v="0"/>
    <n v="0"/>
    <n v="0"/>
    <x v="371"/>
    <n v="0"/>
    <n v="0"/>
    <n v="6133.33"/>
    <n v="0"/>
    <n v="0"/>
    <n v="6133.33"/>
  </r>
  <r>
    <x v="129"/>
    <s v="004675402"/>
    <d v="2024-01-15T00:00:00"/>
    <d v="2026-03-15T00:00:00"/>
    <n v="1390.65"/>
    <n v="74"/>
    <n v="0"/>
    <n v="0"/>
    <n v="0"/>
    <n v="0"/>
    <n v="0"/>
    <n v="0"/>
    <n v="0"/>
    <x v="371"/>
    <n v="0"/>
    <n v="0"/>
    <n v="1390.65"/>
    <n v="0"/>
    <n v="0"/>
    <n v="1390.65"/>
  </r>
  <r>
    <x v="42"/>
    <s v="000011148"/>
    <d v="2025-07-22T00:00:00"/>
    <d v="2026-03-15T00:00:00"/>
    <n v="67533.850000000006"/>
    <n v="74"/>
    <n v="0"/>
    <n v="0"/>
    <n v="0"/>
    <n v="0"/>
    <n v="0"/>
    <n v="0"/>
    <n v="0"/>
    <x v="371"/>
    <n v="0"/>
    <n v="0"/>
    <n v="67533.850000000006"/>
    <n v="0"/>
    <n v="0"/>
    <n v="67533.850000000006"/>
  </r>
  <r>
    <x v="107"/>
    <s v="000068251"/>
    <d v="2025-12-17T00:00:00"/>
    <d v="2026-03-16T00:00:00"/>
    <n v="28016.67"/>
    <n v="75"/>
    <n v="0"/>
    <n v="0"/>
    <n v="0"/>
    <n v="0"/>
    <n v="0"/>
    <n v="0"/>
    <n v="0"/>
    <x v="371"/>
    <n v="0"/>
    <n v="0"/>
    <n v="28016.67"/>
    <n v="0"/>
    <n v="0"/>
    <n v="28016.67"/>
  </r>
  <r>
    <x v="61"/>
    <s v="000005317"/>
    <d v="2024-12-16T00:00:00"/>
    <d v="2026-03-16T00:00:00"/>
    <n v="21923.5"/>
    <n v="75"/>
    <n v="0"/>
    <n v="0"/>
    <n v="0"/>
    <n v="0"/>
    <n v="0"/>
    <n v="0"/>
    <n v="0"/>
    <x v="371"/>
    <n v="0"/>
    <n v="0"/>
    <n v="21923.5"/>
    <n v="0"/>
    <n v="0"/>
    <n v="21923.5"/>
  </r>
  <r>
    <x v="111"/>
    <s v="000065401"/>
    <d v="2025-09-19T00:00:00"/>
    <d v="2026-03-17T00:00:00"/>
    <n v="13333.35"/>
    <n v="76"/>
    <n v="0"/>
    <n v="0"/>
    <n v="0"/>
    <n v="0"/>
    <n v="0"/>
    <n v="0"/>
    <n v="0"/>
    <x v="371"/>
    <n v="0"/>
    <n v="0"/>
    <n v="13333.35"/>
    <n v="0"/>
    <n v="0"/>
    <n v="13333.35"/>
  </r>
  <r>
    <x v="111"/>
    <s v="000068268"/>
    <d v="2025-12-18T00:00:00"/>
    <d v="2026-03-17T00:00:00"/>
    <n v="27300"/>
    <n v="76"/>
    <n v="0"/>
    <n v="0"/>
    <n v="0"/>
    <n v="0"/>
    <n v="0"/>
    <n v="0"/>
    <n v="0"/>
    <x v="371"/>
    <n v="0"/>
    <n v="0"/>
    <n v="27300"/>
    <n v="0"/>
    <n v="0"/>
    <n v="27300"/>
  </r>
  <r>
    <x v="87"/>
    <s v="000012735"/>
    <d v="2025-12-18T00:00:00"/>
    <d v="2026-03-18T00:00:00"/>
    <n v="4690"/>
    <n v="77"/>
    <n v="0"/>
    <n v="0"/>
    <n v="0"/>
    <n v="0"/>
    <n v="0"/>
    <n v="0"/>
    <n v="0"/>
    <x v="371"/>
    <n v="0"/>
    <n v="0"/>
    <n v="4690"/>
    <n v="0"/>
    <n v="0"/>
    <n v="4690"/>
  </r>
  <r>
    <x v="133"/>
    <s v="12082026"/>
    <d v="2025-11-17T00:00:00"/>
    <d v="2026-03-18T00:00:00"/>
    <n v="83671.87"/>
    <n v="77"/>
    <n v="0"/>
    <n v="0"/>
    <n v="0"/>
    <n v="0"/>
    <n v="0"/>
    <n v="0"/>
    <n v="0"/>
    <x v="371"/>
    <n v="0"/>
    <n v="0"/>
    <n v="83671.87"/>
    <n v="0"/>
    <n v="0"/>
    <n v="83671.87"/>
  </r>
  <r>
    <x v="63"/>
    <s v="000056098"/>
    <d v="2025-07-21T00:00:00"/>
    <d v="2026-03-20T00:00:00"/>
    <n v="41545"/>
    <n v="79"/>
    <n v="0"/>
    <n v="0"/>
    <n v="0"/>
    <n v="0"/>
    <n v="0"/>
    <n v="0"/>
    <n v="0"/>
    <x v="371"/>
    <n v="0"/>
    <n v="0"/>
    <n v="41545"/>
    <n v="0"/>
    <n v="0"/>
    <n v="41545"/>
  </r>
  <r>
    <x v="130"/>
    <s v="000068049"/>
    <d v="2025-12-10T00:00:00"/>
    <d v="2026-03-20T00:00:00"/>
    <n v="27233.34"/>
    <n v="79"/>
    <n v="0"/>
    <n v="0"/>
    <n v="0"/>
    <n v="0"/>
    <n v="0"/>
    <n v="0"/>
    <n v="0"/>
    <x v="371"/>
    <n v="0"/>
    <n v="0"/>
    <n v="27233.34"/>
    <n v="0"/>
    <n v="0"/>
    <n v="27233.34"/>
  </r>
  <r>
    <x v="137"/>
    <s v="000012759"/>
    <d v="2025-12-22T00:00:00"/>
    <d v="2026-03-21T00:00:00"/>
    <n v="30387.5"/>
    <n v="80"/>
    <n v="0"/>
    <n v="0"/>
    <n v="0"/>
    <n v="0"/>
    <n v="0"/>
    <n v="0"/>
    <n v="0"/>
    <x v="371"/>
    <n v="0"/>
    <n v="0"/>
    <n v="30387.5"/>
    <n v="0"/>
    <n v="0"/>
    <n v="30387.5"/>
  </r>
  <r>
    <x v="1"/>
    <s v="000068254"/>
    <d v="2025-12-17T00:00:00"/>
    <d v="2026-03-22T00:00:00"/>
    <n v="60018"/>
    <n v="81"/>
    <n v="0"/>
    <n v="0"/>
    <n v="0"/>
    <n v="0"/>
    <n v="0"/>
    <n v="0"/>
    <n v="0"/>
    <x v="371"/>
    <n v="0"/>
    <n v="0"/>
    <n v="60018"/>
    <n v="0"/>
    <n v="0"/>
    <n v="60018"/>
  </r>
  <r>
    <x v="170"/>
    <s v="000068460"/>
    <d v="2025-12-23T00:00:00"/>
    <d v="2026-03-23T00:00:00"/>
    <n v="38060"/>
    <n v="82"/>
    <n v="0"/>
    <n v="0"/>
    <n v="0"/>
    <n v="0"/>
    <n v="0"/>
    <n v="0"/>
    <n v="0"/>
    <x v="371"/>
    <n v="0"/>
    <n v="0"/>
    <n v="38060"/>
    <n v="0"/>
    <n v="0"/>
    <n v="38060"/>
  </r>
  <r>
    <x v="102"/>
    <s v="000068450"/>
    <d v="2025-12-23T00:00:00"/>
    <d v="2026-03-23T00:00:00"/>
    <n v="9822.25"/>
    <n v="82"/>
    <n v="0"/>
    <n v="0"/>
    <n v="0"/>
    <n v="0"/>
    <n v="0"/>
    <n v="0"/>
    <n v="0"/>
    <x v="371"/>
    <n v="0"/>
    <n v="0"/>
    <n v="9822.25"/>
    <n v="0"/>
    <n v="0"/>
    <n v="9822.25"/>
  </r>
  <r>
    <x v="125"/>
    <s v="000068426"/>
    <d v="2025-12-23T00:00:00"/>
    <d v="2026-03-23T00:00:00"/>
    <n v="40375"/>
    <n v="82"/>
    <n v="0"/>
    <n v="0"/>
    <n v="0"/>
    <n v="0"/>
    <n v="0"/>
    <n v="0"/>
    <n v="0"/>
    <x v="371"/>
    <n v="0"/>
    <n v="0"/>
    <n v="40375"/>
    <n v="0"/>
    <n v="0"/>
    <n v="40375"/>
  </r>
  <r>
    <x v="125"/>
    <s v="000068434"/>
    <d v="2025-12-23T00:00:00"/>
    <d v="2026-03-23T00:00:00"/>
    <n v="11618"/>
    <n v="82"/>
    <n v="0"/>
    <n v="0"/>
    <n v="0"/>
    <n v="0"/>
    <n v="0"/>
    <n v="0"/>
    <n v="0"/>
    <x v="371"/>
    <n v="0"/>
    <n v="0"/>
    <n v="11618"/>
    <n v="0"/>
    <n v="0"/>
    <n v="11618"/>
  </r>
  <r>
    <x v="125"/>
    <s v="000068438"/>
    <d v="2025-12-23T00:00:00"/>
    <d v="2026-03-23T00:00:00"/>
    <n v="10974"/>
    <n v="82"/>
    <n v="0"/>
    <n v="0"/>
    <n v="0"/>
    <n v="0"/>
    <n v="0"/>
    <n v="0"/>
    <n v="0"/>
    <x v="371"/>
    <n v="0"/>
    <n v="0"/>
    <n v="10974"/>
    <n v="0"/>
    <n v="0"/>
    <n v="10974"/>
  </r>
  <r>
    <x v="125"/>
    <s v="000068439"/>
    <d v="2025-12-23T00:00:00"/>
    <d v="2026-03-23T00:00:00"/>
    <n v="10974"/>
    <n v="82"/>
    <n v="0"/>
    <n v="0"/>
    <n v="0"/>
    <n v="0"/>
    <n v="0"/>
    <n v="0"/>
    <n v="0"/>
    <x v="371"/>
    <n v="0"/>
    <n v="0"/>
    <n v="10974"/>
    <n v="0"/>
    <n v="0"/>
    <n v="10974"/>
  </r>
  <r>
    <x v="125"/>
    <s v="000068440"/>
    <d v="2025-12-23T00:00:00"/>
    <d v="2026-03-23T00:00:00"/>
    <n v="3966.5"/>
    <n v="82"/>
    <n v="0"/>
    <n v="0"/>
    <n v="0"/>
    <n v="0"/>
    <n v="0"/>
    <n v="0"/>
    <n v="0"/>
    <x v="371"/>
    <n v="0"/>
    <n v="0"/>
    <n v="3966.5"/>
    <n v="0"/>
    <n v="0"/>
    <n v="3966.5"/>
  </r>
  <r>
    <x v="125"/>
    <s v="000068441"/>
    <d v="2025-12-23T00:00:00"/>
    <d v="2026-03-23T00:00:00"/>
    <n v="3966.5"/>
    <n v="82"/>
    <n v="0"/>
    <n v="0"/>
    <n v="0"/>
    <n v="0"/>
    <n v="0"/>
    <n v="0"/>
    <n v="0"/>
    <x v="371"/>
    <n v="0"/>
    <n v="0"/>
    <n v="3966.5"/>
    <n v="0"/>
    <n v="0"/>
    <n v="3966.5"/>
  </r>
  <r>
    <x v="125"/>
    <s v="000068447"/>
    <d v="2025-12-23T00:00:00"/>
    <d v="2026-03-23T00:00:00"/>
    <n v="10414"/>
    <n v="82"/>
    <n v="0"/>
    <n v="0"/>
    <n v="0"/>
    <n v="0"/>
    <n v="0"/>
    <n v="0"/>
    <n v="0"/>
    <x v="371"/>
    <n v="0"/>
    <n v="0"/>
    <n v="10414"/>
    <n v="0"/>
    <n v="0"/>
    <n v="10414"/>
  </r>
  <r>
    <x v="171"/>
    <s v="000067491"/>
    <d v="2025-11-24T00:00:00"/>
    <d v="2026-03-24T00:00:00"/>
    <n v="320000"/>
    <n v="83"/>
    <n v="0"/>
    <n v="0"/>
    <n v="0"/>
    <n v="0"/>
    <n v="0"/>
    <n v="0"/>
    <n v="0"/>
    <x v="371"/>
    <n v="0"/>
    <n v="0"/>
    <n v="320000"/>
    <n v="0"/>
    <n v="0"/>
    <n v="320000"/>
  </r>
  <r>
    <x v="54"/>
    <s v="000012606"/>
    <d v="2025-11-24T00:00:00"/>
    <d v="2026-03-24T00:00:00"/>
    <n v="33433.019999999997"/>
    <n v="83"/>
    <n v="0"/>
    <n v="0"/>
    <n v="0"/>
    <n v="0"/>
    <n v="0"/>
    <n v="0"/>
    <n v="0"/>
    <x v="371"/>
    <n v="0"/>
    <n v="0"/>
    <n v="33433.019999999997"/>
    <n v="0"/>
    <n v="0"/>
    <n v="33433.019999999997"/>
  </r>
  <r>
    <x v="142"/>
    <s v="000067492"/>
    <d v="2025-11-24T00:00:00"/>
    <d v="2026-03-24T00:00:00"/>
    <n v="50695.34"/>
    <n v="83"/>
    <n v="0"/>
    <n v="0"/>
    <n v="0"/>
    <n v="0"/>
    <n v="0"/>
    <n v="0"/>
    <n v="0"/>
    <x v="371"/>
    <n v="0"/>
    <n v="0"/>
    <n v="50695.34"/>
    <n v="0"/>
    <n v="0"/>
    <n v="50695.34"/>
  </r>
  <r>
    <x v="103"/>
    <s v="000067551"/>
    <d v="2025-11-26T00:00:00"/>
    <d v="2026-03-26T00:00:00"/>
    <n v="38630.199999999997"/>
    <n v="85"/>
    <n v="0"/>
    <n v="0"/>
    <n v="0"/>
    <n v="0"/>
    <n v="0"/>
    <n v="0"/>
    <n v="0"/>
    <x v="371"/>
    <n v="0"/>
    <n v="0"/>
    <n v="38630.199999999997"/>
    <n v="0"/>
    <n v="0"/>
    <n v="38630.199999999997"/>
  </r>
  <r>
    <x v="103"/>
    <s v="000067552"/>
    <d v="2025-11-26T00:00:00"/>
    <d v="2026-03-26T00:00:00"/>
    <n v="12600"/>
    <n v="85"/>
    <n v="0"/>
    <n v="0"/>
    <n v="0"/>
    <n v="0"/>
    <n v="0"/>
    <n v="0"/>
    <n v="0"/>
    <x v="371"/>
    <n v="0"/>
    <n v="0"/>
    <n v="12600"/>
    <n v="0"/>
    <n v="0"/>
    <n v="12600"/>
  </r>
  <r>
    <x v="103"/>
    <s v="000067555"/>
    <d v="2025-11-26T00:00:00"/>
    <d v="2026-03-26T00:00:00"/>
    <n v="38630.199999999997"/>
    <n v="85"/>
    <n v="0"/>
    <n v="0"/>
    <n v="0"/>
    <n v="0"/>
    <n v="0"/>
    <n v="0"/>
    <n v="0"/>
    <x v="371"/>
    <n v="0"/>
    <n v="0"/>
    <n v="38630.199999999997"/>
    <n v="0"/>
    <n v="0"/>
    <n v="38630.199999999997"/>
  </r>
  <r>
    <x v="1"/>
    <s v="000068494"/>
    <d v="2025-12-26T00:00:00"/>
    <d v="2026-03-26T00:00:00"/>
    <n v="190200"/>
    <n v="85"/>
    <n v="0"/>
    <n v="0"/>
    <n v="0"/>
    <n v="0"/>
    <n v="0"/>
    <n v="0"/>
    <n v="0"/>
    <x v="371"/>
    <n v="0"/>
    <n v="0"/>
    <n v="190200"/>
    <n v="0"/>
    <n v="0"/>
    <n v="190200"/>
  </r>
  <r>
    <x v="103"/>
    <s v="000067678"/>
    <d v="2025-11-28T00:00:00"/>
    <d v="2026-03-28T00:00:00"/>
    <n v="68850"/>
    <n v="87"/>
    <n v="0"/>
    <n v="0"/>
    <n v="0"/>
    <n v="0"/>
    <n v="0"/>
    <n v="0"/>
    <n v="0"/>
    <x v="371"/>
    <n v="0"/>
    <n v="0"/>
    <n v="68850"/>
    <n v="0"/>
    <n v="0"/>
    <n v="68850"/>
  </r>
  <r>
    <x v="34"/>
    <s v="000053815"/>
    <d v="2025-08-21T00:00:00"/>
    <d v="2026-03-29T00:00:00"/>
    <n v="8760.35"/>
    <n v="88"/>
    <n v="0"/>
    <n v="0"/>
    <n v="0"/>
    <n v="0"/>
    <n v="0"/>
    <n v="0"/>
    <n v="0"/>
    <x v="371"/>
    <n v="0"/>
    <n v="0"/>
    <n v="8760.35"/>
    <n v="0"/>
    <n v="0"/>
    <n v="8760.35"/>
  </r>
  <r>
    <x v="34"/>
    <s v="12082027"/>
    <d v="2025-12-03T00:00:00"/>
    <d v="2026-03-29T00:00:00"/>
    <n v="20348.07"/>
    <n v="88"/>
    <n v="0"/>
    <n v="0"/>
    <n v="0"/>
    <n v="0"/>
    <n v="0"/>
    <n v="0"/>
    <n v="0"/>
    <x v="371"/>
    <n v="0"/>
    <n v="0"/>
    <n v="20348.07"/>
    <n v="0"/>
    <n v="0"/>
    <n v="20348.07"/>
  </r>
  <r>
    <x v="165"/>
    <s v="000068529"/>
    <d v="2025-12-29T00:00:00"/>
    <d v="2026-03-29T00:00:00"/>
    <n v="28675"/>
    <n v="88"/>
    <n v="0"/>
    <n v="0"/>
    <n v="0"/>
    <n v="0"/>
    <n v="0"/>
    <n v="0"/>
    <n v="0"/>
    <x v="371"/>
    <n v="0"/>
    <n v="0"/>
    <n v="28675"/>
    <n v="0"/>
    <n v="0"/>
    <n v="28675"/>
  </r>
  <r>
    <x v="165"/>
    <s v="000068530"/>
    <d v="2025-12-29T00:00:00"/>
    <d v="2026-03-29T00:00:00"/>
    <n v="250"/>
    <n v="88"/>
    <n v="0"/>
    <n v="0"/>
    <n v="0"/>
    <n v="0"/>
    <n v="0"/>
    <n v="0"/>
    <n v="0"/>
    <x v="371"/>
    <n v="0"/>
    <n v="0"/>
    <n v="250"/>
    <n v="0"/>
    <n v="0"/>
    <n v="250"/>
  </r>
  <r>
    <x v="111"/>
    <s v="000066755"/>
    <d v="2025-10-31T00:00:00"/>
    <d v="2026-03-29T00:00:00"/>
    <n v="7300"/>
    <n v="88"/>
    <n v="0"/>
    <n v="0"/>
    <n v="0"/>
    <n v="0"/>
    <n v="0"/>
    <n v="0"/>
    <n v="0"/>
    <x v="371"/>
    <n v="0"/>
    <n v="0"/>
    <n v="7300"/>
    <n v="0"/>
    <n v="0"/>
    <n v="7300"/>
  </r>
  <r>
    <x v="147"/>
    <s v="000068557"/>
    <d v="2025-12-30T00:00:00"/>
    <d v="2026-03-30T00:00:00"/>
    <n v="42922.45"/>
    <n v="89"/>
    <n v="0"/>
    <n v="0"/>
    <n v="0"/>
    <n v="0"/>
    <n v="0"/>
    <n v="0"/>
    <n v="0"/>
    <x v="371"/>
    <n v="0"/>
    <n v="0"/>
    <n v="42922.45"/>
    <n v="0"/>
    <n v="0"/>
    <n v="42922.45"/>
  </r>
  <r>
    <x v="147"/>
    <s v="000068558"/>
    <d v="2025-12-30T00:00:00"/>
    <d v="2026-03-30T00:00:00"/>
    <n v="42308.56"/>
    <n v="89"/>
    <n v="0"/>
    <n v="0"/>
    <n v="0"/>
    <n v="0"/>
    <n v="0"/>
    <n v="0"/>
    <n v="0"/>
    <x v="371"/>
    <n v="0"/>
    <n v="0"/>
    <n v="42308.56"/>
    <n v="0"/>
    <n v="0"/>
    <n v="42308.56"/>
  </r>
  <r>
    <x v="147"/>
    <s v="000068559"/>
    <d v="2025-12-30T00:00:00"/>
    <d v="2026-03-30T00:00:00"/>
    <n v="42308.56"/>
    <n v="89"/>
    <n v="0"/>
    <n v="0"/>
    <n v="0"/>
    <n v="0"/>
    <n v="0"/>
    <n v="0"/>
    <n v="0"/>
    <x v="371"/>
    <n v="0"/>
    <n v="0"/>
    <n v="42308.56"/>
    <n v="0"/>
    <n v="0"/>
    <n v="42308.56"/>
  </r>
  <r>
    <x v="114"/>
    <s v="000068552"/>
    <d v="2025-12-30T00:00:00"/>
    <d v="2026-03-30T00:00:00"/>
    <n v="17500"/>
    <n v="89"/>
    <n v="0"/>
    <n v="0"/>
    <n v="0"/>
    <n v="0"/>
    <n v="0"/>
    <n v="0"/>
    <n v="0"/>
    <x v="371"/>
    <n v="0"/>
    <n v="0"/>
    <n v="17500"/>
    <n v="0"/>
    <n v="0"/>
    <n v="17500"/>
  </r>
  <r>
    <x v="99"/>
    <s v="000058965"/>
    <d v="2025-07-07T00:00:00"/>
    <d v="2026-03-31T00:00:00"/>
    <n v="9166.67"/>
    <n v="90"/>
    <n v="0"/>
    <n v="0"/>
    <n v="0"/>
    <n v="0"/>
    <n v="0"/>
    <n v="0"/>
    <n v="0"/>
    <x v="371"/>
    <n v="0"/>
    <n v="0"/>
    <n v="9166.67"/>
    <n v="0"/>
    <n v="0"/>
    <n v="9166.67"/>
  </r>
  <r>
    <x v="162"/>
    <s v="000068549"/>
    <d v="2025-12-30T00:00:00"/>
    <d v="2026-04-01T00:00:00"/>
    <n v="39238.339999999997"/>
    <n v="91"/>
    <n v="0"/>
    <n v="0"/>
    <n v="0"/>
    <n v="0"/>
    <n v="0"/>
    <n v="0"/>
    <n v="0"/>
    <x v="371"/>
    <n v="0"/>
    <n v="0"/>
    <n v="0"/>
    <n v="39238.339999999997"/>
    <n v="0"/>
    <n v="39238.339999999997"/>
  </r>
  <r>
    <x v="152"/>
    <s v="000067823"/>
    <d v="2025-12-03T00:00:00"/>
    <d v="2026-04-02T00:00:00"/>
    <n v="30377.47"/>
    <n v="92"/>
    <n v="0"/>
    <n v="0"/>
    <n v="0"/>
    <n v="0"/>
    <n v="0"/>
    <n v="0"/>
    <n v="0"/>
    <x v="371"/>
    <n v="0"/>
    <n v="0"/>
    <n v="0"/>
    <n v="30377.47"/>
    <n v="0"/>
    <n v="30377.47"/>
  </r>
  <r>
    <x v="172"/>
    <s v="000012780"/>
    <d v="2025-12-23T00:00:00"/>
    <d v="2026-04-02T00:00:00"/>
    <n v="118100"/>
    <n v="92"/>
    <n v="0"/>
    <n v="0"/>
    <n v="0"/>
    <n v="0"/>
    <n v="0"/>
    <n v="0"/>
    <n v="0"/>
    <x v="371"/>
    <n v="0"/>
    <n v="0"/>
    <n v="0"/>
    <n v="118100"/>
    <n v="0"/>
    <n v="118100"/>
  </r>
  <r>
    <x v="171"/>
    <s v="000067869"/>
    <d v="2025-12-04T00:00:00"/>
    <d v="2026-04-03T00:00:00"/>
    <n v="111840.73"/>
    <n v="93"/>
    <n v="0"/>
    <n v="0"/>
    <n v="0"/>
    <n v="0"/>
    <n v="0"/>
    <n v="0"/>
    <n v="0"/>
    <x v="371"/>
    <n v="0"/>
    <n v="0"/>
    <n v="0"/>
    <n v="111840.73"/>
    <n v="0"/>
    <n v="111840.73"/>
  </r>
  <r>
    <x v="111"/>
    <s v="000066082"/>
    <d v="2025-10-10T00:00:00"/>
    <d v="2026-04-07T00:00:00"/>
    <n v="13333.35"/>
    <n v="97"/>
    <n v="0"/>
    <n v="0"/>
    <n v="0"/>
    <n v="0"/>
    <n v="0"/>
    <n v="0"/>
    <n v="0"/>
    <x v="371"/>
    <n v="0"/>
    <n v="0"/>
    <n v="0"/>
    <n v="13333.35"/>
    <n v="0"/>
    <n v="13333.35"/>
  </r>
  <r>
    <x v="128"/>
    <s v="000012700"/>
    <d v="2025-12-10T00:00:00"/>
    <d v="2026-04-09T00:00:00"/>
    <n v="97403.7"/>
    <n v="99"/>
    <n v="0"/>
    <n v="0"/>
    <n v="0"/>
    <n v="0"/>
    <n v="0"/>
    <n v="0"/>
    <n v="0"/>
    <x v="371"/>
    <n v="0"/>
    <n v="0"/>
    <n v="0"/>
    <n v="97403.7"/>
    <n v="0"/>
    <n v="97403.7"/>
  </r>
  <r>
    <x v="104"/>
    <s v="000068059"/>
    <d v="2025-12-10T00:00:00"/>
    <d v="2026-04-09T00:00:00"/>
    <n v="18000"/>
    <n v="99"/>
    <n v="0"/>
    <n v="0"/>
    <n v="0"/>
    <n v="0"/>
    <n v="0"/>
    <n v="0"/>
    <n v="0"/>
    <x v="371"/>
    <n v="0"/>
    <n v="0"/>
    <n v="0"/>
    <n v="18000"/>
    <n v="0"/>
    <n v="18000"/>
  </r>
  <r>
    <x v="48"/>
    <s v="048398"/>
    <d v="2025-02-24T00:00:00"/>
    <d v="2026-04-10T00:00:00"/>
    <n v="4057.02"/>
    <n v="100"/>
    <n v="0"/>
    <n v="0"/>
    <n v="0"/>
    <n v="0"/>
    <n v="0"/>
    <n v="0"/>
    <n v="0"/>
    <x v="371"/>
    <n v="0"/>
    <n v="0"/>
    <n v="0"/>
    <n v="4057.02"/>
    <n v="0"/>
    <n v="4057.02"/>
  </r>
  <r>
    <x v="48"/>
    <s v="054077"/>
    <d v="2025-02-24T00:00:00"/>
    <d v="2026-04-10T00:00:00"/>
    <n v="6824.09"/>
    <n v="100"/>
    <n v="0"/>
    <n v="0"/>
    <n v="0"/>
    <n v="0"/>
    <n v="0"/>
    <n v="0"/>
    <n v="0"/>
    <x v="371"/>
    <n v="0"/>
    <n v="0"/>
    <n v="0"/>
    <n v="6824.09"/>
    <n v="0"/>
    <n v="6824.09"/>
  </r>
  <r>
    <x v="122"/>
    <s v="000061892"/>
    <d v="2025-12-08T00:00:00"/>
    <d v="2026-04-10T00:00:00"/>
    <n v="36174.17"/>
    <n v="100"/>
    <n v="0"/>
    <n v="0"/>
    <n v="0"/>
    <n v="0"/>
    <n v="0"/>
    <n v="0"/>
    <n v="0"/>
    <x v="371"/>
    <n v="0"/>
    <n v="0"/>
    <n v="0"/>
    <n v="36174.17"/>
    <n v="0"/>
    <n v="36174.17"/>
  </r>
  <r>
    <x v="134"/>
    <s v="000068497"/>
    <d v="2025-12-26T00:00:00"/>
    <d v="2026-04-15T00:00:00"/>
    <n v="6133.34"/>
    <n v="105"/>
    <n v="0"/>
    <n v="0"/>
    <n v="0"/>
    <n v="0"/>
    <n v="0"/>
    <n v="0"/>
    <n v="0"/>
    <x v="371"/>
    <n v="0"/>
    <n v="0"/>
    <n v="0"/>
    <n v="6133.34"/>
    <n v="0"/>
    <n v="6133.34"/>
  </r>
  <r>
    <x v="107"/>
    <s v="000068251"/>
    <d v="2025-12-17T00:00:00"/>
    <d v="2026-04-15T00:00:00"/>
    <n v="28016.67"/>
    <n v="105"/>
    <n v="0"/>
    <n v="0"/>
    <n v="0"/>
    <n v="0"/>
    <n v="0"/>
    <n v="0"/>
    <n v="0"/>
    <x v="371"/>
    <n v="0"/>
    <n v="0"/>
    <n v="0"/>
    <n v="28016.67"/>
    <n v="0"/>
    <n v="28016.67"/>
  </r>
  <r>
    <x v="129"/>
    <s v="004675402"/>
    <d v="2024-01-15T00:00:00"/>
    <d v="2026-04-15T00:00:00"/>
    <n v="1390.65"/>
    <n v="105"/>
    <n v="0"/>
    <n v="0"/>
    <n v="0"/>
    <n v="0"/>
    <n v="0"/>
    <n v="0"/>
    <n v="0"/>
    <x v="371"/>
    <n v="0"/>
    <n v="0"/>
    <n v="0"/>
    <n v="1390.65"/>
    <n v="0"/>
    <n v="1390.65"/>
  </r>
  <r>
    <x v="171"/>
    <s v="000068250"/>
    <d v="2025-12-17T00:00:00"/>
    <d v="2026-04-16T00:00:00"/>
    <n v="117036.53"/>
    <n v="106"/>
    <n v="0"/>
    <n v="0"/>
    <n v="0"/>
    <n v="0"/>
    <n v="0"/>
    <n v="0"/>
    <n v="0"/>
    <x v="371"/>
    <n v="0"/>
    <n v="0"/>
    <n v="0"/>
    <n v="117036.53"/>
    <n v="0"/>
    <n v="117036.53"/>
  </r>
  <r>
    <x v="111"/>
    <s v="000068268"/>
    <d v="2025-12-18T00:00:00"/>
    <d v="2026-04-16T00:00:00"/>
    <n v="27300"/>
    <n v="106"/>
    <n v="0"/>
    <n v="0"/>
    <n v="0"/>
    <n v="0"/>
    <n v="0"/>
    <n v="0"/>
    <n v="0"/>
    <x v="371"/>
    <n v="0"/>
    <n v="0"/>
    <n v="0"/>
    <n v="27300"/>
    <n v="0"/>
    <n v="27300"/>
  </r>
  <r>
    <x v="61"/>
    <s v="000005317"/>
    <d v="2024-12-16T00:00:00"/>
    <d v="2026-04-16T00:00:00"/>
    <n v="21923.5"/>
    <n v="106"/>
    <n v="0"/>
    <n v="0"/>
    <n v="0"/>
    <n v="0"/>
    <n v="0"/>
    <n v="0"/>
    <n v="0"/>
    <x v="371"/>
    <n v="0"/>
    <n v="0"/>
    <n v="0"/>
    <n v="21923.5"/>
    <n v="0"/>
    <n v="21923.5"/>
  </r>
  <r>
    <x v="152"/>
    <s v="000068322"/>
    <d v="2025-12-18T00:00:00"/>
    <d v="2026-04-17T00:00:00"/>
    <n v="29763.58"/>
    <n v="107"/>
    <n v="0"/>
    <n v="0"/>
    <n v="0"/>
    <n v="0"/>
    <n v="0"/>
    <n v="0"/>
    <n v="0"/>
    <x v="371"/>
    <n v="0"/>
    <n v="0"/>
    <n v="0"/>
    <n v="29763.58"/>
    <n v="0"/>
    <n v="29763.58"/>
  </r>
  <r>
    <x v="107"/>
    <s v="000066317"/>
    <d v="2025-10-20T00:00:00"/>
    <d v="2026-04-18T00:00:00"/>
    <n v="138500"/>
    <n v="108"/>
    <n v="0"/>
    <n v="0"/>
    <n v="0"/>
    <n v="0"/>
    <n v="0"/>
    <n v="0"/>
    <n v="0"/>
    <x v="371"/>
    <n v="0"/>
    <n v="0"/>
    <n v="0"/>
    <n v="138500"/>
    <n v="0"/>
    <n v="138500"/>
  </r>
  <r>
    <x v="133"/>
    <s v="12082026"/>
    <d v="2025-11-17T00:00:00"/>
    <d v="2026-04-20T00:00:00"/>
    <n v="83671.87"/>
    <n v="110"/>
    <n v="0"/>
    <n v="0"/>
    <n v="0"/>
    <n v="0"/>
    <n v="0"/>
    <n v="0"/>
    <n v="0"/>
    <x v="371"/>
    <n v="0"/>
    <n v="0"/>
    <n v="0"/>
    <n v="83671.87"/>
    <n v="0"/>
    <n v="83671.87"/>
  </r>
  <r>
    <x v="137"/>
    <s v="000012759"/>
    <d v="2025-12-22T00:00:00"/>
    <d v="2026-04-20T00:00:00"/>
    <n v="30387.5"/>
    <n v="110"/>
    <n v="0"/>
    <n v="0"/>
    <n v="0"/>
    <n v="0"/>
    <n v="0"/>
    <n v="0"/>
    <n v="0"/>
    <x v="371"/>
    <n v="0"/>
    <n v="0"/>
    <n v="0"/>
    <n v="30387.5"/>
    <n v="0"/>
    <n v="30387.5"/>
  </r>
  <r>
    <x v="102"/>
    <s v="000068450"/>
    <d v="2025-12-23T00:00:00"/>
    <d v="2026-04-22T00:00:00"/>
    <n v="9822.25"/>
    <n v="112"/>
    <n v="0"/>
    <n v="0"/>
    <n v="0"/>
    <n v="0"/>
    <n v="0"/>
    <n v="0"/>
    <n v="0"/>
    <x v="371"/>
    <n v="0"/>
    <n v="0"/>
    <n v="0"/>
    <n v="9822.25"/>
    <n v="0"/>
    <n v="9822.25"/>
  </r>
  <r>
    <x v="125"/>
    <s v="000068426"/>
    <d v="2025-12-23T00:00:00"/>
    <d v="2026-04-22T00:00:00"/>
    <n v="40375"/>
    <n v="112"/>
    <n v="0"/>
    <n v="0"/>
    <n v="0"/>
    <n v="0"/>
    <n v="0"/>
    <n v="0"/>
    <n v="0"/>
    <x v="371"/>
    <n v="0"/>
    <n v="0"/>
    <n v="0"/>
    <n v="40375"/>
    <n v="0"/>
    <n v="40375"/>
  </r>
  <r>
    <x v="111"/>
    <s v="000066755"/>
    <d v="2025-10-31T00:00:00"/>
    <d v="2026-04-28T00:00:00"/>
    <n v="7300"/>
    <n v="118"/>
    <n v="0"/>
    <n v="0"/>
    <n v="0"/>
    <n v="0"/>
    <n v="0"/>
    <n v="0"/>
    <n v="0"/>
    <x v="371"/>
    <n v="0"/>
    <n v="0"/>
    <n v="0"/>
    <n v="7300"/>
    <n v="0"/>
    <n v="7300"/>
  </r>
  <r>
    <x v="78"/>
    <s v="000068546"/>
    <d v="2025-12-30T00:00:00"/>
    <d v="2026-04-29T00:00:00"/>
    <n v="56249.23"/>
    <n v="119"/>
    <n v="0"/>
    <n v="0"/>
    <n v="0"/>
    <n v="0"/>
    <n v="0"/>
    <n v="0"/>
    <n v="0"/>
    <x v="371"/>
    <n v="0"/>
    <n v="0"/>
    <n v="0"/>
    <n v="56249.23"/>
    <n v="0"/>
    <n v="56249.23"/>
  </r>
  <r>
    <x v="152"/>
    <s v="000068562"/>
    <d v="2025-12-30T00:00:00"/>
    <d v="2026-04-29T00:00:00"/>
    <n v="29763.58"/>
    <n v="119"/>
    <n v="0"/>
    <n v="0"/>
    <n v="0"/>
    <n v="0"/>
    <n v="0"/>
    <n v="0"/>
    <n v="0"/>
    <x v="371"/>
    <n v="0"/>
    <n v="0"/>
    <n v="0"/>
    <n v="29763.58"/>
    <n v="0"/>
    <n v="29763.58"/>
  </r>
  <r>
    <x v="34"/>
    <s v="000053815"/>
    <d v="2025-08-21T00:00:00"/>
    <d v="2026-04-29T00:00:00"/>
    <n v="8760.35"/>
    <n v="119"/>
    <n v="0"/>
    <n v="0"/>
    <n v="0"/>
    <n v="0"/>
    <n v="0"/>
    <n v="0"/>
    <n v="0"/>
    <x v="371"/>
    <n v="0"/>
    <n v="0"/>
    <n v="0"/>
    <n v="8760.35"/>
    <n v="0"/>
    <n v="8760.35"/>
  </r>
  <r>
    <x v="34"/>
    <s v="000053815"/>
    <d v="2025-08-21T00:00:00"/>
    <d v="2026-04-29T00:00:00"/>
    <n v="8760.35"/>
    <n v="119"/>
    <n v="0"/>
    <n v="0"/>
    <n v="0"/>
    <n v="0"/>
    <n v="0"/>
    <n v="0"/>
    <n v="0"/>
    <x v="371"/>
    <n v="0"/>
    <n v="0"/>
    <n v="0"/>
    <n v="8760.35"/>
    <n v="0"/>
    <n v="8760.35"/>
  </r>
  <r>
    <x v="34"/>
    <s v="12082027"/>
    <d v="2025-12-03T00:00:00"/>
    <d v="2026-04-29T00:00:00"/>
    <n v="20348.07"/>
    <n v="119"/>
    <n v="0"/>
    <n v="0"/>
    <n v="0"/>
    <n v="0"/>
    <n v="0"/>
    <n v="0"/>
    <n v="0"/>
    <x v="371"/>
    <n v="0"/>
    <n v="0"/>
    <n v="0"/>
    <n v="20348.07"/>
    <n v="0"/>
    <n v="20348.07"/>
  </r>
  <r>
    <x v="99"/>
    <s v="000058965"/>
    <d v="2025-07-07T00:00:00"/>
    <d v="2026-04-30T00:00:00"/>
    <n v="9166.67"/>
    <n v="120"/>
    <n v="0"/>
    <n v="0"/>
    <n v="0"/>
    <n v="0"/>
    <n v="0"/>
    <n v="0"/>
    <n v="0"/>
    <x v="371"/>
    <n v="0"/>
    <n v="0"/>
    <n v="0"/>
    <n v="9166.67"/>
    <n v="0"/>
    <n v="9166.67"/>
  </r>
  <r>
    <x v="48"/>
    <s v="048398"/>
    <d v="2025-02-24T00:00:00"/>
    <d v="2026-05-10T00:00:00"/>
    <n v="4057.02"/>
    <n v="130"/>
    <n v="0"/>
    <n v="0"/>
    <n v="0"/>
    <n v="0"/>
    <n v="0"/>
    <n v="0"/>
    <n v="0"/>
    <x v="371"/>
    <n v="0"/>
    <n v="0"/>
    <n v="0"/>
    <n v="0"/>
    <n v="4057.02"/>
    <n v="4057.02"/>
  </r>
  <r>
    <x v="48"/>
    <s v="054077"/>
    <d v="2025-02-24T00:00:00"/>
    <d v="2026-05-10T00:00:00"/>
    <n v="6824.09"/>
    <n v="130"/>
    <n v="0"/>
    <n v="0"/>
    <n v="0"/>
    <n v="0"/>
    <n v="0"/>
    <n v="0"/>
    <n v="0"/>
    <x v="371"/>
    <n v="0"/>
    <n v="0"/>
    <n v="0"/>
    <n v="0"/>
    <n v="6824.09"/>
    <n v="6824.09"/>
  </r>
  <r>
    <x v="122"/>
    <s v="000061892"/>
    <d v="2025-12-08T00:00:00"/>
    <d v="2026-05-10T00:00:00"/>
    <n v="36174.17"/>
    <n v="130"/>
    <n v="0"/>
    <n v="0"/>
    <n v="0"/>
    <n v="0"/>
    <n v="0"/>
    <n v="0"/>
    <n v="0"/>
    <x v="371"/>
    <n v="0"/>
    <n v="0"/>
    <n v="0"/>
    <n v="0"/>
    <n v="36174.17"/>
    <n v="36174.17"/>
  </r>
  <r>
    <x v="107"/>
    <s v="000067166"/>
    <d v="2025-11-12T00:00:00"/>
    <d v="2026-05-11T00:00:00"/>
    <n v="95500"/>
    <n v="131"/>
    <n v="0"/>
    <n v="0"/>
    <n v="0"/>
    <n v="0"/>
    <n v="0"/>
    <n v="0"/>
    <n v="0"/>
    <x v="371"/>
    <n v="0"/>
    <n v="0"/>
    <n v="0"/>
    <n v="0"/>
    <n v="95500"/>
    <n v="95500"/>
  </r>
  <r>
    <x v="107"/>
    <s v="000067168"/>
    <d v="2025-11-12T00:00:00"/>
    <d v="2026-05-11T00:00:00"/>
    <n v="138500"/>
    <n v="131"/>
    <n v="0"/>
    <n v="0"/>
    <n v="0"/>
    <n v="0"/>
    <n v="0"/>
    <n v="0"/>
    <n v="0"/>
    <x v="371"/>
    <n v="0"/>
    <n v="0"/>
    <n v="0"/>
    <n v="0"/>
    <n v="138500"/>
    <n v="138500"/>
  </r>
  <r>
    <x v="107"/>
    <s v="000068251"/>
    <d v="2025-12-17T00:00:00"/>
    <d v="2026-05-15T00:00:00"/>
    <n v="28016.67"/>
    <n v="135"/>
    <n v="0"/>
    <n v="0"/>
    <n v="0"/>
    <n v="0"/>
    <n v="0"/>
    <n v="0"/>
    <n v="0"/>
    <x v="371"/>
    <n v="0"/>
    <n v="0"/>
    <n v="0"/>
    <n v="0"/>
    <n v="28016.67"/>
    <n v="28016.67"/>
  </r>
  <r>
    <x v="129"/>
    <s v="004675402"/>
    <d v="2024-01-15T00:00:00"/>
    <d v="2026-05-15T00:00:00"/>
    <n v="1390.65"/>
    <n v="135"/>
    <n v="0"/>
    <n v="0"/>
    <n v="0"/>
    <n v="0"/>
    <n v="0"/>
    <n v="0"/>
    <n v="0"/>
    <x v="371"/>
    <n v="0"/>
    <n v="0"/>
    <n v="0"/>
    <n v="0"/>
    <n v="1390.65"/>
    <n v="1390.65"/>
  </r>
  <r>
    <x v="111"/>
    <s v="000068268"/>
    <d v="2025-12-18T00:00:00"/>
    <d v="2026-05-16T00:00:00"/>
    <n v="27300"/>
    <n v="136"/>
    <n v="0"/>
    <n v="0"/>
    <n v="0"/>
    <n v="0"/>
    <n v="0"/>
    <n v="0"/>
    <n v="0"/>
    <x v="371"/>
    <n v="0"/>
    <n v="0"/>
    <n v="0"/>
    <n v="0"/>
    <n v="27300"/>
    <n v="27300"/>
  </r>
  <r>
    <x v="61"/>
    <s v="000005317"/>
    <d v="2024-12-16T00:00:00"/>
    <d v="2026-05-16T00:00:00"/>
    <n v="21923.5"/>
    <n v="136"/>
    <n v="0"/>
    <n v="0"/>
    <n v="0"/>
    <n v="0"/>
    <n v="0"/>
    <n v="0"/>
    <n v="0"/>
    <x v="371"/>
    <n v="0"/>
    <n v="0"/>
    <n v="0"/>
    <n v="0"/>
    <n v="21923.5"/>
    <n v="21923.5"/>
  </r>
  <r>
    <x v="133"/>
    <s v="12082026"/>
    <d v="2025-11-17T00:00:00"/>
    <d v="2026-05-18T00:00:00"/>
    <n v="83671.87"/>
    <n v="138"/>
    <n v="0"/>
    <n v="0"/>
    <n v="0"/>
    <n v="0"/>
    <n v="0"/>
    <n v="0"/>
    <n v="0"/>
    <x v="371"/>
    <n v="0"/>
    <n v="0"/>
    <n v="0"/>
    <n v="0"/>
    <n v="83671.87"/>
    <n v="83671.87"/>
  </r>
  <r>
    <x v="137"/>
    <s v="000012759"/>
    <d v="2025-12-22T00:00:00"/>
    <d v="2026-05-20T00:00:00"/>
    <n v="30387.5"/>
    <n v="140"/>
    <n v="0"/>
    <n v="0"/>
    <n v="0"/>
    <n v="0"/>
    <n v="0"/>
    <n v="0"/>
    <n v="0"/>
    <x v="371"/>
    <n v="0"/>
    <n v="0"/>
    <n v="0"/>
    <n v="0"/>
    <n v="30387.5"/>
    <n v="30387.5"/>
  </r>
  <r>
    <x v="99"/>
    <s v="000058965"/>
    <d v="2025-07-07T00:00:00"/>
    <d v="2026-05-29T00:00:00"/>
    <n v="9166.6299999999992"/>
    <n v="149"/>
    <n v="0"/>
    <n v="0"/>
    <n v="0"/>
    <n v="0"/>
    <n v="0"/>
    <n v="0"/>
    <n v="0"/>
    <x v="371"/>
    <n v="0"/>
    <n v="0"/>
    <n v="0"/>
    <n v="0"/>
    <n v="9166.6299999999992"/>
    <n v="9166.6299999999992"/>
  </r>
  <r>
    <x v="34"/>
    <s v="000053815"/>
    <d v="2025-08-21T00:00:00"/>
    <d v="2026-05-29T00:00:00"/>
    <n v="8760.31"/>
    <n v="149"/>
    <n v="0"/>
    <n v="0"/>
    <n v="0"/>
    <n v="0"/>
    <n v="0"/>
    <n v="0"/>
    <n v="0"/>
    <x v="371"/>
    <n v="0"/>
    <n v="0"/>
    <n v="0"/>
    <n v="0"/>
    <n v="8760.31"/>
    <n v="8760.31"/>
  </r>
  <r>
    <x v="48"/>
    <s v="048398"/>
    <d v="2025-02-24T00:00:00"/>
    <d v="2026-06-10T00:00:00"/>
    <n v="4057.02"/>
    <n v="161"/>
    <n v="0"/>
    <n v="0"/>
    <n v="0"/>
    <n v="0"/>
    <n v="0"/>
    <n v="0"/>
    <n v="0"/>
    <x v="371"/>
    <n v="0"/>
    <n v="0"/>
    <n v="0"/>
    <n v="0"/>
    <n v="4057.02"/>
    <n v="4057.02"/>
  </r>
  <r>
    <x v="48"/>
    <s v="054077"/>
    <d v="2025-02-24T00:00:00"/>
    <d v="2026-06-10T00:00:00"/>
    <n v="6824.09"/>
    <n v="161"/>
    <n v="0"/>
    <n v="0"/>
    <n v="0"/>
    <n v="0"/>
    <n v="0"/>
    <n v="0"/>
    <n v="0"/>
    <x v="371"/>
    <n v="0"/>
    <n v="0"/>
    <n v="0"/>
    <n v="0"/>
    <n v="6824.09"/>
    <n v="6824.09"/>
  </r>
  <r>
    <x v="122"/>
    <s v="000061892"/>
    <d v="2025-12-08T00:00:00"/>
    <d v="2026-06-10T00:00:00"/>
    <n v="36174.17"/>
    <n v="161"/>
    <n v="0"/>
    <n v="0"/>
    <n v="0"/>
    <n v="0"/>
    <n v="0"/>
    <n v="0"/>
    <n v="0"/>
    <x v="371"/>
    <n v="0"/>
    <n v="0"/>
    <n v="0"/>
    <n v="0"/>
    <n v="36174.17"/>
    <n v="36174.17"/>
  </r>
  <r>
    <x v="107"/>
    <s v="000068251"/>
    <d v="2025-12-17T00:00:00"/>
    <d v="2026-06-14T00:00:00"/>
    <n v="28016.65"/>
    <n v="165"/>
    <n v="0"/>
    <n v="0"/>
    <n v="0"/>
    <n v="0"/>
    <n v="0"/>
    <n v="0"/>
    <n v="0"/>
    <x v="371"/>
    <n v="0"/>
    <n v="0"/>
    <n v="0"/>
    <n v="0"/>
    <n v="28016.65"/>
    <n v="28016.65"/>
  </r>
  <r>
    <x v="129"/>
    <s v="004675402"/>
    <d v="2024-01-15T00:00:00"/>
    <d v="2026-06-15T00:00:00"/>
    <n v="1390.65"/>
    <n v="166"/>
    <n v="0"/>
    <n v="0"/>
    <n v="0"/>
    <n v="0"/>
    <n v="0"/>
    <n v="0"/>
    <n v="0"/>
    <x v="371"/>
    <n v="0"/>
    <n v="0"/>
    <n v="0"/>
    <n v="0"/>
    <n v="1390.65"/>
    <n v="1390.65"/>
  </r>
  <r>
    <x v="61"/>
    <s v="000005317"/>
    <d v="2024-12-16T00:00:00"/>
    <d v="2026-06-16T00:00:00"/>
    <n v="21923.5"/>
    <n v="167"/>
    <n v="0"/>
    <n v="0"/>
    <n v="0"/>
    <n v="0"/>
    <n v="0"/>
    <n v="0"/>
    <n v="0"/>
    <x v="371"/>
    <n v="0"/>
    <n v="0"/>
    <n v="0"/>
    <n v="0"/>
    <n v="21923.5"/>
    <n v="21923.5"/>
  </r>
  <r>
    <x v="133"/>
    <s v="12082026"/>
    <d v="2025-11-17T00:00:00"/>
    <d v="2026-06-18T00:00:00"/>
    <n v="83671.850000000006"/>
    <n v="169"/>
    <n v="0"/>
    <n v="0"/>
    <n v="0"/>
    <n v="0"/>
    <n v="0"/>
    <n v="0"/>
    <n v="0"/>
    <x v="371"/>
    <n v="0"/>
    <n v="0"/>
    <n v="0"/>
    <n v="0"/>
    <n v="83671.850000000006"/>
    <n v="83671.850000000006"/>
  </r>
  <r>
    <x v="137"/>
    <s v="000012759"/>
    <d v="2025-12-22T00:00:00"/>
    <d v="2026-06-19T00:00:00"/>
    <n v="30387.5"/>
    <n v="170"/>
    <n v="0"/>
    <n v="0"/>
    <n v="0"/>
    <n v="0"/>
    <n v="0"/>
    <n v="0"/>
    <n v="0"/>
    <x v="371"/>
    <n v="0"/>
    <n v="0"/>
    <n v="0"/>
    <n v="0"/>
    <n v="30387.5"/>
    <n v="30387.5"/>
  </r>
  <r>
    <x v="48"/>
    <s v="048398"/>
    <d v="2025-02-24T00:00:00"/>
    <d v="2026-07-10T00:00:00"/>
    <n v="4057.02"/>
    <n v="191"/>
    <n v="0"/>
    <n v="0"/>
    <n v="0"/>
    <n v="0"/>
    <n v="0"/>
    <n v="0"/>
    <n v="0"/>
    <x v="371"/>
    <n v="0"/>
    <n v="0"/>
    <n v="0"/>
    <n v="0"/>
    <n v="4057.02"/>
    <n v="4057.02"/>
  </r>
  <r>
    <x v="48"/>
    <s v="054077"/>
    <d v="2025-02-24T00:00:00"/>
    <d v="2026-07-10T00:00:00"/>
    <n v="6824.09"/>
    <n v="191"/>
    <n v="0"/>
    <n v="0"/>
    <n v="0"/>
    <n v="0"/>
    <n v="0"/>
    <n v="0"/>
    <n v="0"/>
    <x v="371"/>
    <n v="0"/>
    <n v="0"/>
    <n v="0"/>
    <n v="0"/>
    <n v="6824.09"/>
    <n v="6824.09"/>
  </r>
  <r>
    <x v="122"/>
    <s v="000061892"/>
    <d v="2025-12-08T00:00:00"/>
    <d v="2026-07-10T00:00:00"/>
    <n v="36174.17"/>
    <n v="191"/>
    <n v="0"/>
    <n v="0"/>
    <n v="0"/>
    <n v="0"/>
    <n v="0"/>
    <n v="0"/>
    <n v="0"/>
    <x v="371"/>
    <n v="0"/>
    <n v="0"/>
    <n v="0"/>
    <n v="0"/>
    <n v="36174.17"/>
    <n v="36174.17"/>
  </r>
  <r>
    <x v="129"/>
    <s v="004675402"/>
    <d v="2024-01-15T00:00:00"/>
    <d v="2026-07-15T00:00:00"/>
    <n v="1390.65"/>
    <n v="196"/>
    <n v="0"/>
    <n v="0"/>
    <n v="0"/>
    <n v="0"/>
    <n v="0"/>
    <n v="0"/>
    <n v="0"/>
    <x v="371"/>
    <n v="0"/>
    <n v="0"/>
    <n v="0"/>
    <n v="0"/>
    <n v="1390.65"/>
    <n v="1390.65"/>
  </r>
  <r>
    <x v="61"/>
    <s v="000005317"/>
    <d v="2024-12-16T00:00:00"/>
    <d v="2026-07-16T00:00:00"/>
    <n v="21923.5"/>
    <n v="197"/>
    <n v="0"/>
    <n v="0"/>
    <n v="0"/>
    <n v="0"/>
    <n v="0"/>
    <n v="0"/>
    <n v="0"/>
    <x v="371"/>
    <n v="0"/>
    <n v="0"/>
    <n v="0"/>
    <n v="0"/>
    <n v="21923.5"/>
    <n v="21923.5"/>
  </r>
  <r>
    <x v="137"/>
    <s v="000012759"/>
    <d v="2025-12-22T00:00:00"/>
    <d v="2026-07-19T00:00:00"/>
    <n v="30387.5"/>
    <n v="200"/>
    <n v="0"/>
    <n v="0"/>
    <n v="0"/>
    <n v="0"/>
    <n v="0"/>
    <n v="0"/>
    <n v="0"/>
    <x v="371"/>
    <n v="0"/>
    <n v="0"/>
    <n v="0"/>
    <n v="0"/>
    <n v="30387.5"/>
    <n v="30387.5"/>
  </r>
  <r>
    <x v="48"/>
    <s v="048398"/>
    <d v="2025-02-24T00:00:00"/>
    <d v="2026-08-10T00:00:00"/>
    <n v="4057.02"/>
    <n v="222"/>
    <n v="0"/>
    <n v="0"/>
    <n v="0"/>
    <n v="0"/>
    <n v="0"/>
    <n v="0"/>
    <n v="0"/>
    <x v="371"/>
    <n v="0"/>
    <n v="0"/>
    <n v="0"/>
    <n v="0"/>
    <n v="4057.02"/>
    <n v="4057.02"/>
  </r>
  <r>
    <x v="48"/>
    <s v="054077"/>
    <d v="2025-02-24T00:00:00"/>
    <d v="2026-08-10T00:00:00"/>
    <n v="6824.09"/>
    <n v="222"/>
    <n v="0"/>
    <n v="0"/>
    <n v="0"/>
    <n v="0"/>
    <n v="0"/>
    <n v="0"/>
    <n v="0"/>
    <x v="371"/>
    <n v="0"/>
    <n v="0"/>
    <n v="0"/>
    <n v="0"/>
    <n v="6824.09"/>
    <n v="6824.09"/>
  </r>
  <r>
    <x v="122"/>
    <s v="000061892"/>
    <d v="2025-12-08T00:00:00"/>
    <d v="2026-08-10T00:00:00"/>
    <n v="36174.17"/>
    <n v="222"/>
    <n v="0"/>
    <n v="0"/>
    <n v="0"/>
    <n v="0"/>
    <n v="0"/>
    <n v="0"/>
    <n v="0"/>
    <x v="371"/>
    <n v="0"/>
    <n v="0"/>
    <n v="0"/>
    <n v="0"/>
    <n v="36174.17"/>
    <n v="36174.17"/>
  </r>
  <r>
    <x v="129"/>
    <s v="004675402"/>
    <d v="2024-01-15T00:00:00"/>
    <d v="2026-08-15T00:00:00"/>
    <n v="1390.65"/>
    <n v="227"/>
    <n v="0"/>
    <n v="0"/>
    <n v="0"/>
    <n v="0"/>
    <n v="0"/>
    <n v="0"/>
    <n v="0"/>
    <x v="371"/>
    <n v="0"/>
    <n v="0"/>
    <n v="0"/>
    <n v="0"/>
    <n v="1390.65"/>
    <n v="1390.65"/>
  </r>
  <r>
    <x v="61"/>
    <s v="000005317"/>
    <d v="2024-12-16T00:00:00"/>
    <d v="2026-08-16T00:00:00"/>
    <n v="21923.5"/>
    <n v="228"/>
    <n v="0"/>
    <n v="0"/>
    <n v="0"/>
    <n v="0"/>
    <n v="0"/>
    <n v="0"/>
    <n v="0"/>
    <x v="371"/>
    <n v="0"/>
    <n v="0"/>
    <n v="0"/>
    <n v="0"/>
    <n v="21923.5"/>
    <n v="21923.5"/>
  </r>
  <r>
    <x v="137"/>
    <s v="000012759"/>
    <d v="2025-12-22T00:00:00"/>
    <d v="2026-08-18T00:00:00"/>
    <n v="30387.5"/>
    <n v="230"/>
    <n v="0"/>
    <n v="0"/>
    <n v="0"/>
    <n v="0"/>
    <n v="0"/>
    <n v="0"/>
    <n v="0"/>
    <x v="371"/>
    <n v="0"/>
    <n v="0"/>
    <n v="0"/>
    <n v="0"/>
    <n v="30387.5"/>
    <n v="30387.5"/>
  </r>
  <r>
    <x v="48"/>
    <s v="048398"/>
    <d v="2025-02-24T00:00:00"/>
    <d v="2026-09-10T00:00:00"/>
    <n v="4057.02"/>
    <n v="253"/>
    <n v="0"/>
    <n v="0"/>
    <n v="0"/>
    <n v="0"/>
    <n v="0"/>
    <n v="0"/>
    <n v="0"/>
    <x v="371"/>
    <n v="0"/>
    <n v="0"/>
    <n v="0"/>
    <n v="0"/>
    <n v="4057.02"/>
    <n v="4057.02"/>
  </r>
  <r>
    <x v="48"/>
    <s v="054077"/>
    <d v="2025-02-24T00:00:00"/>
    <d v="2026-09-10T00:00:00"/>
    <n v="6824.09"/>
    <n v="253"/>
    <n v="0"/>
    <n v="0"/>
    <n v="0"/>
    <n v="0"/>
    <n v="0"/>
    <n v="0"/>
    <n v="0"/>
    <x v="371"/>
    <n v="0"/>
    <n v="0"/>
    <n v="0"/>
    <n v="0"/>
    <n v="6824.09"/>
    <n v="6824.09"/>
  </r>
  <r>
    <x v="122"/>
    <s v="000061892"/>
    <d v="2025-12-08T00:00:00"/>
    <d v="2026-09-10T00:00:00"/>
    <n v="36174.17"/>
    <n v="253"/>
    <n v="0"/>
    <n v="0"/>
    <n v="0"/>
    <n v="0"/>
    <n v="0"/>
    <n v="0"/>
    <n v="0"/>
    <x v="371"/>
    <n v="0"/>
    <n v="0"/>
    <n v="0"/>
    <n v="0"/>
    <n v="36174.17"/>
    <n v="36174.17"/>
  </r>
  <r>
    <x v="129"/>
    <s v="004675402"/>
    <d v="2024-01-15T00:00:00"/>
    <d v="2026-09-15T00:00:00"/>
    <n v="1390.65"/>
    <n v="258"/>
    <n v="0"/>
    <n v="0"/>
    <n v="0"/>
    <n v="0"/>
    <n v="0"/>
    <n v="0"/>
    <n v="0"/>
    <x v="371"/>
    <n v="0"/>
    <n v="0"/>
    <n v="0"/>
    <n v="0"/>
    <n v="1390.65"/>
    <n v="1390.65"/>
  </r>
  <r>
    <x v="61"/>
    <s v="000005317"/>
    <d v="2024-12-16T00:00:00"/>
    <d v="2026-09-16T00:00:00"/>
    <n v="21923.5"/>
    <n v="259"/>
    <n v="0"/>
    <n v="0"/>
    <n v="0"/>
    <n v="0"/>
    <n v="0"/>
    <n v="0"/>
    <n v="0"/>
    <x v="371"/>
    <n v="0"/>
    <n v="0"/>
    <n v="0"/>
    <n v="0"/>
    <n v="21923.5"/>
    <n v="21923.5"/>
  </r>
  <r>
    <x v="48"/>
    <s v="048398"/>
    <d v="2025-02-24T00:00:00"/>
    <d v="2026-10-10T00:00:00"/>
    <n v="4057.02"/>
    <n v="283"/>
    <n v="0"/>
    <n v="0"/>
    <n v="0"/>
    <n v="0"/>
    <n v="0"/>
    <n v="0"/>
    <n v="0"/>
    <x v="371"/>
    <n v="0"/>
    <n v="0"/>
    <n v="0"/>
    <n v="0"/>
    <n v="4057.02"/>
    <n v="4057.02"/>
  </r>
  <r>
    <x v="48"/>
    <s v="054077"/>
    <d v="2025-02-24T00:00:00"/>
    <d v="2026-10-10T00:00:00"/>
    <n v="6824.09"/>
    <n v="283"/>
    <n v="0"/>
    <n v="0"/>
    <n v="0"/>
    <n v="0"/>
    <n v="0"/>
    <n v="0"/>
    <n v="0"/>
    <x v="371"/>
    <n v="0"/>
    <n v="0"/>
    <n v="0"/>
    <n v="0"/>
    <n v="6824.09"/>
    <n v="6824.09"/>
  </r>
  <r>
    <x v="122"/>
    <s v="000061892"/>
    <d v="2025-12-08T00:00:00"/>
    <d v="2026-10-10T00:00:00"/>
    <n v="36174.17"/>
    <n v="283"/>
    <n v="0"/>
    <n v="0"/>
    <n v="0"/>
    <n v="0"/>
    <n v="0"/>
    <n v="0"/>
    <n v="0"/>
    <x v="371"/>
    <n v="0"/>
    <n v="0"/>
    <n v="0"/>
    <n v="0"/>
    <n v="36174.17"/>
    <n v="36174.17"/>
  </r>
  <r>
    <x v="129"/>
    <s v="004675402"/>
    <d v="2024-01-15T00:00:00"/>
    <d v="2026-10-15T00:00:00"/>
    <n v="1390.65"/>
    <n v="288"/>
    <n v="0"/>
    <n v="0"/>
    <n v="0"/>
    <n v="0"/>
    <n v="0"/>
    <n v="0"/>
    <n v="0"/>
    <x v="371"/>
    <n v="0"/>
    <n v="0"/>
    <n v="0"/>
    <n v="0"/>
    <n v="1390.65"/>
    <n v="1390.65"/>
  </r>
  <r>
    <x v="61"/>
    <s v="000005317"/>
    <d v="2024-12-16T00:00:00"/>
    <d v="2026-10-16T00:00:00"/>
    <n v="21923.5"/>
    <n v="289"/>
    <n v="0"/>
    <n v="0"/>
    <n v="0"/>
    <n v="0"/>
    <n v="0"/>
    <n v="0"/>
    <n v="0"/>
    <x v="371"/>
    <n v="0"/>
    <n v="0"/>
    <n v="0"/>
    <n v="0"/>
    <n v="21923.5"/>
    <n v="21923.5"/>
  </r>
  <r>
    <x v="48"/>
    <s v="048398"/>
    <d v="2025-02-24T00:00:00"/>
    <d v="2026-11-10T00:00:00"/>
    <n v="4057.02"/>
    <n v="314"/>
    <n v="0"/>
    <n v="0"/>
    <n v="0"/>
    <n v="0"/>
    <n v="0"/>
    <n v="0"/>
    <n v="0"/>
    <x v="371"/>
    <n v="0"/>
    <n v="0"/>
    <n v="0"/>
    <n v="0"/>
    <n v="4057.02"/>
    <n v="4057.02"/>
  </r>
  <r>
    <x v="48"/>
    <s v="054077"/>
    <d v="2025-02-24T00:00:00"/>
    <d v="2026-11-10T00:00:00"/>
    <n v="6824.09"/>
    <n v="314"/>
    <n v="0"/>
    <n v="0"/>
    <n v="0"/>
    <n v="0"/>
    <n v="0"/>
    <n v="0"/>
    <n v="0"/>
    <x v="371"/>
    <n v="0"/>
    <n v="0"/>
    <n v="0"/>
    <n v="0"/>
    <n v="6824.09"/>
    <n v="6824.09"/>
  </r>
  <r>
    <x v="122"/>
    <s v="000061892"/>
    <d v="2025-12-08T00:00:00"/>
    <d v="2026-11-10T00:00:00"/>
    <n v="36174.17"/>
    <n v="314"/>
    <n v="0"/>
    <n v="0"/>
    <n v="0"/>
    <n v="0"/>
    <n v="0"/>
    <n v="0"/>
    <n v="0"/>
    <x v="371"/>
    <n v="0"/>
    <n v="0"/>
    <n v="0"/>
    <n v="0"/>
    <n v="36174.17"/>
    <n v="36174.17"/>
  </r>
  <r>
    <x v="129"/>
    <s v="004675402"/>
    <d v="2024-01-15T00:00:00"/>
    <d v="2026-11-15T00:00:00"/>
    <n v="1390.65"/>
    <n v="319"/>
    <n v="0"/>
    <n v="0"/>
    <n v="0"/>
    <n v="0"/>
    <n v="0"/>
    <n v="0"/>
    <n v="0"/>
    <x v="371"/>
    <n v="0"/>
    <n v="0"/>
    <n v="0"/>
    <n v="0"/>
    <n v="1390.65"/>
    <n v="1390.65"/>
  </r>
  <r>
    <x v="61"/>
    <s v="000005317"/>
    <d v="2024-12-16T00:00:00"/>
    <d v="2026-11-16T00:00:00"/>
    <n v="21923.5"/>
    <n v="320"/>
    <n v="0"/>
    <n v="0"/>
    <n v="0"/>
    <n v="0"/>
    <n v="0"/>
    <n v="0"/>
    <n v="0"/>
    <x v="371"/>
    <n v="0"/>
    <n v="0"/>
    <n v="0"/>
    <n v="0"/>
    <n v="21923.5"/>
    <n v="21923.5"/>
  </r>
  <r>
    <x v="48"/>
    <s v="048398"/>
    <d v="2025-02-24T00:00:00"/>
    <d v="2026-12-10T00:00:00"/>
    <n v="4057.02"/>
    <n v="344"/>
    <n v="0"/>
    <n v="0"/>
    <n v="0"/>
    <n v="0"/>
    <n v="0"/>
    <n v="0"/>
    <n v="0"/>
    <x v="371"/>
    <n v="0"/>
    <n v="0"/>
    <n v="0"/>
    <n v="0"/>
    <n v="4057.02"/>
    <n v="4057.02"/>
  </r>
  <r>
    <x v="48"/>
    <s v="054077"/>
    <d v="2025-02-24T00:00:00"/>
    <d v="2026-12-10T00:00:00"/>
    <n v="6824.09"/>
    <n v="344"/>
    <n v="0"/>
    <n v="0"/>
    <n v="0"/>
    <n v="0"/>
    <n v="0"/>
    <n v="0"/>
    <n v="0"/>
    <x v="371"/>
    <n v="0"/>
    <n v="0"/>
    <n v="0"/>
    <n v="0"/>
    <n v="6824.09"/>
    <n v="6824.09"/>
  </r>
  <r>
    <x v="122"/>
    <s v="000061892"/>
    <d v="2025-12-08T00:00:00"/>
    <d v="2026-12-10T00:00:00"/>
    <n v="36174.17"/>
    <n v="344"/>
    <n v="0"/>
    <n v="0"/>
    <n v="0"/>
    <n v="0"/>
    <n v="0"/>
    <n v="0"/>
    <n v="0"/>
    <x v="371"/>
    <n v="0"/>
    <n v="0"/>
    <n v="0"/>
    <n v="0"/>
    <n v="36174.17"/>
    <n v="36174.17"/>
  </r>
  <r>
    <x v="129"/>
    <s v="004675402"/>
    <d v="2024-01-15T00:00:00"/>
    <d v="2026-12-15T00:00:00"/>
    <n v="1390.65"/>
    <n v="349"/>
    <n v="0"/>
    <n v="0"/>
    <n v="0"/>
    <n v="0"/>
    <n v="0"/>
    <n v="0"/>
    <n v="0"/>
    <x v="371"/>
    <n v="0"/>
    <n v="0"/>
    <n v="0"/>
    <n v="0"/>
    <n v="1390.65"/>
    <n v="1390.65"/>
  </r>
  <r>
    <x v="48"/>
    <s v="048398"/>
    <d v="2025-02-24T00:00:00"/>
    <d v="2027-01-10T00:00:00"/>
    <n v="4057.02"/>
    <n v="375"/>
    <n v="0"/>
    <n v="0"/>
    <n v="0"/>
    <n v="0"/>
    <n v="0"/>
    <n v="0"/>
    <n v="0"/>
    <x v="371"/>
    <n v="0"/>
    <n v="0"/>
    <n v="0"/>
    <n v="0"/>
    <n v="4057.02"/>
    <n v="4057.02"/>
  </r>
  <r>
    <x v="48"/>
    <s v="054077"/>
    <d v="2025-02-24T00:00:00"/>
    <d v="2027-01-10T00:00:00"/>
    <n v="6824.09"/>
    <n v="375"/>
    <n v="0"/>
    <n v="0"/>
    <n v="0"/>
    <n v="0"/>
    <n v="0"/>
    <n v="0"/>
    <n v="0"/>
    <x v="371"/>
    <n v="0"/>
    <n v="0"/>
    <n v="0"/>
    <n v="0"/>
    <n v="6824.09"/>
    <n v="6824.09"/>
  </r>
  <r>
    <x v="122"/>
    <s v="000061892"/>
    <d v="2025-12-08T00:00:00"/>
    <d v="2027-01-10T00:00:00"/>
    <n v="36174.120000000003"/>
    <n v="375"/>
    <n v="0"/>
    <n v="0"/>
    <n v="0"/>
    <n v="0"/>
    <n v="0"/>
    <n v="0"/>
    <n v="0"/>
    <x v="371"/>
    <n v="0"/>
    <n v="0"/>
    <n v="0"/>
    <n v="0"/>
    <n v="36174.120000000003"/>
    <n v="36174.120000000003"/>
  </r>
  <r>
    <x v="129"/>
    <s v="004675402"/>
    <d v="2024-01-15T00:00:00"/>
    <d v="2027-01-15T00:00:00"/>
    <n v="1390.65"/>
    <n v="380"/>
    <n v="0"/>
    <n v="0"/>
    <n v="0"/>
    <n v="0"/>
    <n v="0"/>
    <n v="0"/>
    <n v="0"/>
    <x v="371"/>
    <n v="0"/>
    <n v="0"/>
    <n v="0"/>
    <n v="0"/>
    <n v="1390.65"/>
    <n v="1390.65"/>
  </r>
  <r>
    <x v="48"/>
    <s v="048398"/>
    <d v="2025-02-24T00:00:00"/>
    <d v="2027-02-10T00:00:00"/>
    <n v="4057.02"/>
    <n v="406"/>
    <n v="0"/>
    <n v="0"/>
    <n v="0"/>
    <n v="0"/>
    <n v="0"/>
    <n v="0"/>
    <n v="0"/>
    <x v="371"/>
    <n v="0"/>
    <n v="0"/>
    <n v="0"/>
    <n v="0"/>
    <n v="4057.02"/>
    <n v="4057.02"/>
  </r>
  <r>
    <x v="48"/>
    <s v="054077"/>
    <d v="2025-02-24T00:00:00"/>
    <d v="2027-02-10T00:00:00"/>
    <n v="6824.09"/>
    <n v="406"/>
    <n v="0"/>
    <n v="0"/>
    <n v="0"/>
    <n v="0"/>
    <n v="0"/>
    <n v="0"/>
    <n v="0"/>
    <x v="371"/>
    <n v="0"/>
    <n v="0"/>
    <n v="0"/>
    <n v="0"/>
    <n v="6824.09"/>
    <n v="6824.09"/>
  </r>
  <r>
    <x v="129"/>
    <s v="004675402"/>
    <d v="2024-01-15T00:00:00"/>
    <d v="2027-02-15T00:00:00"/>
    <n v="1390.65"/>
    <n v="411"/>
    <n v="0"/>
    <n v="0"/>
    <n v="0"/>
    <n v="0"/>
    <n v="0"/>
    <n v="0"/>
    <n v="0"/>
    <x v="371"/>
    <n v="0"/>
    <n v="0"/>
    <n v="0"/>
    <n v="0"/>
    <n v="1390.65"/>
    <n v="1390.65"/>
  </r>
  <r>
    <x v="48"/>
    <s v="048398"/>
    <d v="2025-02-24T00:00:00"/>
    <d v="2027-03-10T00:00:00"/>
    <n v="4057.02"/>
    <n v="434"/>
    <n v="0"/>
    <n v="0"/>
    <n v="0"/>
    <n v="0"/>
    <n v="0"/>
    <n v="0"/>
    <n v="0"/>
    <x v="371"/>
    <n v="0"/>
    <n v="0"/>
    <n v="0"/>
    <n v="0"/>
    <n v="4057.02"/>
    <n v="4057.02"/>
  </r>
  <r>
    <x v="48"/>
    <s v="054077"/>
    <d v="2025-02-24T00:00:00"/>
    <d v="2027-03-10T00:00:00"/>
    <n v="6824.09"/>
    <n v="434"/>
    <n v="0"/>
    <n v="0"/>
    <n v="0"/>
    <n v="0"/>
    <n v="0"/>
    <n v="0"/>
    <n v="0"/>
    <x v="371"/>
    <n v="0"/>
    <n v="0"/>
    <n v="0"/>
    <n v="0"/>
    <n v="6824.09"/>
    <n v="6824.09"/>
  </r>
  <r>
    <x v="129"/>
    <s v="004675402"/>
    <d v="2024-01-15T00:00:00"/>
    <d v="2027-03-15T00:00:00"/>
    <n v="1390.65"/>
    <n v="439"/>
    <n v="0"/>
    <n v="0"/>
    <n v="0"/>
    <n v="0"/>
    <n v="0"/>
    <n v="0"/>
    <n v="0"/>
    <x v="371"/>
    <n v="0"/>
    <n v="0"/>
    <n v="0"/>
    <n v="0"/>
    <n v="1390.65"/>
    <n v="1390.65"/>
  </r>
  <r>
    <x v="48"/>
    <s v="048398"/>
    <d v="2025-02-24T00:00:00"/>
    <d v="2027-04-10T00:00:00"/>
    <n v="4057.02"/>
    <n v="465"/>
    <n v="0"/>
    <n v="0"/>
    <n v="0"/>
    <n v="0"/>
    <n v="0"/>
    <n v="0"/>
    <n v="0"/>
    <x v="371"/>
    <n v="0"/>
    <n v="0"/>
    <n v="0"/>
    <n v="0"/>
    <n v="4057.02"/>
    <n v="4057.02"/>
  </r>
  <r>
    <x v="48"/>
    <s v="054077"/>
    <d v="2025-02-24T00:00:00"/>
    <d v="2027-04-10T00:00:00"/>
    <n v="6824.09"/>
    <n v="465"/>
    <n v="0"/>
    <n v="0"/>
    <n v="0"/>
    <n v="0"/>
    <n v="0"/>
    <n v="0"/>
    <n v="0"/>
    <x v="371"/>
    <n v="0"/>
    <n v="0"/>
    <n v="0"/>
    <n v="0"/>
    <n v="6824.09"/>
    <n v="6824.09"/>
  </r>
  <r>
    <x v="129"/>
    <s v="004675402"/>
    <d v="2024-01-15T00:00:00"/>
    <d v="2027-04-15T00:00:00"/>
    <n v="1390.65"/>
    <n v="470"/>
    <n v="0"/>
    <n v="0"/>
    <n v="0"/>
    <n v="0"/>
    <n v="0"/>
    <n v="0"/>
    <n v="0"/>
    <x v="371"/>
    <n v="0"/>
    <n v="0"/>
    <n v="0"/>
    <n v="0"/>
    <n v="1390.65"/>
    <n v="1390.65"/>
  </r>
  <r>
    <x v="48"/>
    <s v="048398"/>
    <d v="2025-02-24T00:00:00"/>
    <d v="2027-05-10T00:00:00"/>
    <n v="4057.02"/>
    <n v="495"/>
    <n v="0"/>
    <n v="0"/>
    <n v="0"/>
    <n v="0"/>
    <n v="0"/>
    <n v="0"/>
    <n v="0"/>
    <x v="371"/>
    <n v="0"/>
    <n v="0"/>
    <n v="0"/>
    <n v="0"/>
    <n v="4057.02"/>
    <n v="4057.02"/>
  </r>
  <r>
    <x v="48"/>
    <s v="054077"/>
    <d v="2025-02-24T00:00:00"/>
    <d v="2027-05-10T00:00:00"/>
    <n v="6824.09"/>
    <n v="495"/>
    <n v="0"/>
    <n v="0"/>
    <n v="0"/>
    <n v="0"/>
    <n v="0"/>
    <n v="0"/>
    <n v="0"/>
    <x v="371"/>
    <n v="0"/>
    <n v="0"/>
    <n v="0"/>
    <n v="0"/>
    <n v="6824.09"/>
    <n v="6824.09"/>
  </r>
  <r>
    <x v="129"/>
    <s v="004675402"/>
    <d v="2024-01-15T00:00:00"/>
    <d v="2027-05-15T00:00:00"/>
    <n v="1390.65"/>
    <n v="500"/>
    <n v="0"/>
    <n v="0"/>
    <n v="0"/>
    <n v="0"/>
    <n v="0"/>
    <n v="0"/>
    <n v="0"/>
    <x v="371"/>
    <n v="0"/>
    <n v="0"/>
    <n v="0"/>
    <n v="0"/>
    <n v="1390.65"/>
    <n v="1390.65"/>
  </r>
  <r>
    <x v="48"/>
    <s v="048398"/>
    <d v="2025-02-24T00:00:00"/>
    <d v="2027-06-10T00:00:00"/>
    <n v="4057.1"/>
    <n v="526"/>
    <n v="0"/>
    <n v="0"/>
    <n v="0"/>
    <n v="0"/>
    <n v="0"/>
    <n v="0"/>
    <n v="0"/>
    <x v="371"/>
    <n v="0"/>
    <n v="0"/>
    <n v="0"/>
    <n v="0"/>
    <n v="4057.1"/>
    <n v="4057.1"/>
  </r>
  <r>
    <x v="48"/>
    <s v="054077"/>
    <d v="2025-02-24T00:00:00"/>
    <d v="2027-06-10T00:00:00"/>
    <n v="6824.17"/>
    <n v="526"/>
    <n v="0"/>
    <n v="0"/>
    <n v="0"/>
    <n v="0"/>
    <n v="0"/>
    <n v="0"/>
    <n v="0"/>
    <x v="371"/>
    <n v="0"/>
    <n v="0"/>
    <n v="0"/>
    <n v="0"/>
    <n v="6824.17"/>
    <n v="6824.17"/>
  </r>
  <r>
    <x v="129"/>
    <s v="004675402"/>
    <d v="2024-01-15T00:00:00"/>
    <d v="2027-06-15T00:00:00"/>
    <n v="1390.65"/>
    <n v="531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27-07-15T00:00:00"/>
    <n v="1390.65"/>
    <n v="561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27-08-15T00:00:00"/>
    <n v="1390.65"/>
    <n v="592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27-09-15T00:00:00"/>
    <n v="1390.65"/>
    <n v="623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27-10-15T00:00:00"/>
    <n v="1390.65"/>
    <n v="653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27-11-15T00:00:00"/>
    <n v="1390.65"/>
    <n v="684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27-12-15T00:00:00"/>
    <n v="1390.65"/>
    <n v="714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28-01-15T00:00:00"/>
    <n v="1390.65"/>
    <n v="745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28-02-15T00:00:00"/>
    <n v="1390.65"/>
    <n v="776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28-03-15T00:00:00"/>
    <n v="1390.65"/>
    <n v="805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28-04-15T00:00:00"/>
    <n v="1390.65"/>
    <n v="836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28-05-15T00:00:00"/>
    <n v="1390.65"/>
    <n v="866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28-06-15T00:00:00"/>
    <n v="1390.65"/>
    <n v="897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28-07-15T00:00:00"/>
    <n v="1390.65"/>
    <n v="927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28-08-15T00:00:00"/>
    <n v="1390.65"/>
    <n v="958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28-09-15T00:00:00"/>
    <n v="1390.65"/>
    <n v="989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28-10-15T00:00:00"/>
    <n v="1390.65"/>
    <n v="1019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28-11-15T00:00:00"/>
    <n v="1390.65"/>
    <n v="1050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28-12-15T00:00:00"/>
    <n v="1390.65"/>
    <n v="1080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29-01-15T00:00:00"/>
    <n v="1390.65"/>
    <n v="1111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29-02-15T00:00:00"/>
    <n v="1390.65"/>
    <n v="1142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29-03-15T00:00:00"/>
    <n v="1390.65"/>
    <n v="1170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29-04-15T00:00:00"/>
    <n v="1390.65"/>
    <n v="1201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29-05-15T00:00:00"/>
    <n v="1390.65"/>
    <n v="1231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29-06-15T00:00:00"/>
    <n v="1390.65"/>
    <n v="1262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29-07-15T00:00:00"/>
    <n v="1390.65"/>
    <n v="1292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29-08-15T00:00:00"/>
    <n v="1390.65"/>
    <n v="1323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29-09-15T00:00:00"/>
    <n v="1390.65"/>
    <n v="1354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29-10-15T00:00:00"/>
    <n v="1390.65"/>
    <n v="1384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29-11-15T00:00:00"/>
    <n v="1390.65"/>
    <n v="1415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29-12-15T00:00:00"/>
    <n v="1390.65"/>
    <n v="1445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0-01-15T00:00:00"/>
    <n v="1390.65"/>
    <n v="1476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0-02-15T00:00:00"/>
    <n v="1390.65"/>
    <n v="1507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0-03-15T00:00:00"/>
    <n v="1390.65"/>
    <n v="1535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0-04-15T00:00:00"/>
    <n v="1390.65"/>
    <n v="1566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0-05-15T00:00:00"/>
    <n v="1390.65"/>
    <n v="1596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0-06-15T00:00:00"/>
    <n v="1390.65"/>
    <n v="1627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0-07-15T00:00:00"/>
    <n v="1390.65"/>
    <n v="1657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0-08-15T00:00:00"/>
    <n v="1390.65"/>
    <n v="1688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0-09-15T00:00:00"/>
    <n v="1390.65"/>
    <n v="1719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0-10-15T00:00:00"/>
    <n v="1390.65"/>
    <n v="1749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0-11-15T00:00:00"/>
    <n v="1390.65"/>
    <n v="1780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0-12-15T00:00:00"/>
    <n v="1390.65"/>
    <n v="1810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1-01-15T00:00:00"/>
    <n v="1390.65"/>
    <n v="1841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1-02-15T00:00:00"/>
    <n v="1390.65"/>
    <n v="1872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1-03-15T00:00:00"/>
    <n v="1390.65"/>
    <n v="1900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1-04-15T00:00:00"/>
    <n v="1390.65"/>
    <n v="1931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1-05-15T00:00:00"/>
    <n v="1390.65"/>
    <n v="1961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1-06-15T00:00:00"/>
    <n v="1390.65"/>
    <n v="1992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1-07-15T00:00:00"/>
    <n v="1390.65"/>
    <n v="2022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1-08-15T00:00:00"/>
    <n v="1390.65"/>
    <n v="2053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1-09-15T00:00:00"/>
    <n v="1390.65"/>
    <n v="2084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1-10-15T00:00:00"/>
    <n v="1390.65"/>
    <n v="2114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1-11-15T00:00:00"/>
    <n v="1390.65"/>
    <n v="2145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1-12-15T00:00:00"/>
    <n v="1390.65"/>
    <n v="2175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2-01-15T00:00:00"/>
    <n v="1390.65"/>
    <n v="2206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2-02-15T00:00:00"/>
    <n v="1390.65"/>
    <n v="2237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2-03-15T00:00:00"/>
    <n v="1390.65"/>
    <n v="2266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2-04-15T00:00:00"/>
    <n v="1390.65"/>
    <n v="2297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2-05-15T00:00:00"/>
    <n v="1390.65"/>
    <n v="2327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2-06-15T00:00:00"/>
    <n v="1390.65"/>
    <n v="2358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2-07-15T00:00:00"/>
    <n v="1390.65"/>
    <n v="2388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2-08-15T00:00:00"/>
    <n v="1390.65"/>
    <n v="2419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2-09-15T00:00:00"/>
    <n v="1390.65"/>
    <n v="2450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2-10-15T00:00:00"/>
    <n v="1390.65"/>
    <n v="2480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2-11-15T00:00:00"/>
    <n v="1390.65"/>
    <n v="2511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2-12-15T00:00:00"/>
    <n v="1390.65"/>
    <n v="2541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3-01-15T00:00:00"/>
    <n v="1390.65"/>
    <n v="2572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3-02-15T00:00:00"/>
    <n v="1390.65"/>
    <n v="2603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3-03-15T00:00:00"/>
    <n v="1390.65"/>
    <n v="2631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3-04-15T00:00:00"/>
    <n v="1390.65"/>
    <n v="2662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3-05-15T00:00:00"/>
    <n v="1390.65"/>
    <n v="2692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3-06-15T00:00:00"/>
    <n v="1390.65"/>
    <n v="2723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3-07-15T00:00:00"/>
    <n v="1390.65"/>
    <n v="2753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3-08-15T00:00:00"/>
    <n v="1390.65"/>
    <n v="2784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3-09-15T00:00:00"/>
    <n v="1390.65"/>
    <n v="2815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3-10-15T00:00:00"/>
    <n v="1390.65"/>
    <n v="2845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3-11-15T00:00:00"/>
    <n v="1390.65"/>
    <n v="2876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3-12-15T00:00:00"/>
    <n v="1390.65"/>
    <n v="2906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4-01-15T00:00:00"/>
    <n v="1390.65"/>
    <n v="2937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4-02-15T00:00:00"/>
    <n v="1390.65"/>
    <n v="2968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4-03-15T00:00:00"/>
    <n v="1390.65"/>
    <n v="2996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4-04-15T00:00:00"/>
    <n v="1390.65"/>
    <n v="3027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4-05-15T00:00:00"/>
    <n v="1390.65"/>
    <n v="3057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4-06-15T00:00:00"/>
    <n v="1390.65"/>
    <n v="3088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4-07-15T00:00:00"/>
    <n v="1390.65"/>
    <n v="3118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4-08-15T00:00:00"/>
    <n v="1390.65"/>
    <n v="3149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4-09-15T00:00:00"/>
    <n v="1390.65"/>
    <n v="3180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4-10-15T00:00:00"/>
    <n v="1390.65"/>
    <n v="3210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4-11-15T00:00:00"/>
    <n v="1390.65"/>
    <n v="3241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4-12-15T00:00:00"/>
    <n v="1390.65"/>
    <n v="3271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5-01-15T00:00:00"/>
    <n v="1390.65"/>
    <n v="3302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5-02-15T00:00:00"/>
    <n v="1390.65"/>
    <n v="3333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5-03-15T00:00:00"/>
    <n v="1390.65"/>
    <n v="3361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5-04-15T00:00:00"/>
    <n v="1390.65"/>
    <n v="3392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5-05-15T00:00:00"/>
    <n v="1390.65"/>
    <n v="3422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5-06-15T00:00:00"/>
    <n v="1390.65"/>
    <n v="3453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5-07-15T00:00:00"/>
    <n v="1390.65"/>
    <n v="3483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5-08-15T00:00:00"/>
    <n v="1390.65"/>
    <n v="3514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5-09-15T00:00:00"/>
    <n v="1390.65"/>
    <n v="3545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5-10-15T00:00:00"/>
    <n v="1390.65"/>
    <n v="3575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5-11-15T00:00:00"/>
    <n v="1390.65"/>
    <n v="3606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5-12-15T00:00:00"/>
    <n v="1390.65"/>
    <n v="3636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6-01-15T00:00:00"/>
    <n v="1390.65"/>
    <n v="3667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6-02-15T00:00:00"/>
    <n v="1390.65"/>
    <n v="3698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6-03-15T00:00:00"/>
    <n v="1390.65"/>
    <n v="3727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6-04-15T00:00:00"/>
    <n v="1390.65"/>
    <n v="3758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6-05-15T00:00:00"/>
    <n v="1390.65"/>
    <n v="3788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6-06-15T00:00:00"/>
    <n v="1390.65"/>
    <n v="3819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6-07-15T00:00:00"/>
    <n v="1390.65"/>
    <n v="3849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6-08-15T00:00:00"/>
    <n v="1390.65"/>
    <n v="3880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6-09-15T00:00:00"/>
    <n v="1390.65"/>
    <n v="3911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6-10-15T00:00:00"/>
    <n v="1390.65"/>
    <n v="3941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6-11-15T00:00:00"/>
    <n v="1390.65"/>
    <n v="3972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6-12-15T00:00:00"/>
    <n v="1390.65"/>
    <n v="4002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7-01-15T00:00:00"/>
    <n v="1390.65"/>
    <n v="4033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7-02-15T00:00:00"/>
    <n v="1390.65"/>
    <n v="4064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7-03-15T00:00:00"/>
    <n v="1390.65"/>
    <n v="4092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7-04-15T00:00:00"/>
    <n v="1390.65"/>
    <n v="4123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7-05-15T00:00:00"/>
    <n v="1390.65"/>
    <n v="4153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7-06-15T00:00:00"/>
    <n v="1390.65"/>
    <n v="4184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7-07-15T00:00:00"/>
    <n v="1390.65"/>
    <n v="4214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7-08-15T00:00:00"/>
    <n v="1390.65"/>
    <n v="4245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7-09-15T00:00:00"/>
    <n v="1390.65"/>
    <n v="4276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7-10-15T00:00:00"/>
    <n v="1390.65"/>
    <n v="4306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7-11-15T00:00:00"/>
    <n v="1390.65"/>
    <n v="4337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7-12-15T00:00:00"/>
    <n v="1390.65"/>
    <n v="4367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8-01-15T00:00:00"/>
    <n v="1390.65"/>
    <n v="4398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8-02-15T00:00:00"/>
    <n v="1390.65"/>
    <n v="4429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8-03-15T00:00:00"/>
    <n v="1390.65"/>
    <n v="4457"/>
    <n v="0"/>
    <n v="0"/>
    <n v="0"/>
    <n v="0"/>
    <n v="0"/>
    <n v="0"/>
    <n v="0"/>
    <x v="371"/>
    <n v="0"/>
    <n v="0"/>
    <n v="0"/>
    <n v="0"/>
    <n v="1390.65"/>
    <n v="1390.65"/>
  </r>
  <r>
    <x v="129"/>
    <s v="004675402"/>
    <d v="2024-01-15T00:00:00"/>
    <d v="2038-04-15T00:00:00"/>
    <n v="1390.65"/>
    <n v="4488"/>
    <n v="0"/>
    <n v="0"/>
    <n v="0"/>
    <n v="0"/>
    <n v="0"/>
    <n v="0"/>
    <n v="0"/>
    <x v="371"/>
    <n v="0"/>
    <n v="0"/>
    <n v="0"/>
    <n v="0"/>
    <n v="1390.65"/>
    <n v="1390.6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9A3CCE-D38E-4DCD-9D6F-23619DB7BB22}" name="Tabela dinâmica2" cacheId="2" applyNumberFormats="0" applyBorderFormats="0" applyFontFormats="0" applyPatternFormats="0" applyAlignmentFormats="0" applyWidthHeightFormats="1" dataCaption="Dados" updatedVersion="8" minRefreshableVersion="3" showMemberPropertyTips="0" itemPrintTitles="1" createdVersion="8" indent="0" compact="0" compactData="0" gridDropZones="1">
  <location ref="B32:Q210" firstHeaderRow="1" firstDataRow="2" firstDataCol="2"/>
  <pivotFields count="20">
    <pivotField axis="axisRow" compact="0" outline="0" subtotalTop="0" showAll="0" includeNewItemsInFilter="1">
      <items count="475">
        <item sd="0" m="1" x="396"/>
        <item sd="0" m="1" x="283"/>
        <item sd="0" x="97"/>
        <item sd="0" m="1" x="202"/>
        <item sd="0" m="1" x="360"/>
        <item sd="0" m="1" x="300"/>
        <item sd="0" x="126"/>
        <item sd="0" m="1" x="424"/>
        <item sd="0" x="63"/>
        <item sd="0" m="1" x="354"/>
        <item sd="0" m="1" x="220"/>
        <item sd="0" m="1" x="361"/>
        <item sd="0" m="1" x="397"/>
        <item sd="0" m="1" x="196"/>
        <item sd="0" m="1" x="221"/>
        <item sd="0" m="1" x="250"/>
        <item sd="0" x="80"/>
        <item sd="0" x="0"/>
        <item sd="0" m="1" x="302"/>
        <item sd="0" x="14"/>
        <item sd="0" m="1" x="303"/>
        <item sd="0" x="28"/>
        <item sd="0" m="1" x="425"/>
        <item sd="0" m="1" x="398"/>
        <item sd="0" m="1" x="362"/>
        <item sd="0" m="1" x="304"/>
        <item sd="0" m="1" x="315"/>
        <item sd="0" m="1" x="265"/>
        <item sd="0" m="1" x="355"/>
        <item sd="0" m="1" x="222"/>
        <item sd="0" m="1" x="254"/>
        <item sd="0" m="1" x="426"/>
        <item sd="0" x="86"/>
        <item sd="0" m="1" x="262"/>
        <item sd="0" x="26"/>
        <item sd="0" m="1" x="305"/>
        <item sd="0" x="25"/>
        <item sd="0" m="1" x="306"/>
        <item sd="0" x="98"/>
        <item sd="0" m="1" x="363"/>
        <item sd="0" m="1" x="399"/>
        <item sd="0" x="170"/>
        <item sd="0" m="1" x="210"/>
        <item sd="0" x="19"/>
        <item sd="0" m="1" x="307"/>
        <item sd="0" m="1" x="201"/>
        <item sd="0" x="22"/>
        <item sd="0" m="1" x="175"/>
        <item sd="0" m="1" x="427"/>
        <item sd="0" x="112"/>
        <item sd="0" x="6"/>
        <item sd="0" m="1" x="267"/>
        <item sd="0" m="1" x="268"/>
        <item sd="0" x="46"/>
        <item sd="0" m="1" x="223"/>
        <item sd="0" m="1" x="308"/>
        <item sd="0" x="71"/>
        <item sd="0" m="1" x="280"/>
        <item sd="0" x="77"/>
        <item sd="0" m="1" x="364"/>
        <item sd="0" m="1" x="365"/>
        <item sd="0" m="1" x="263"/>
        <item sd="0" m="1" x="366"/>
        <item sd="0" x="141"/>
        <item sd="0" m="1" x="367"/>
        <item sd="0" x="168"/>
        <item sd="0" m="1" x="429"/>
        <item sd="0" x="62"/>
        <item sd="0" x="160"/>
        <item sd="0" m="1" x="173"/>
        <item sd="0" x="60"/>
        <item sd="0" m="1" x="309"/>
        <item sd="0" x="161"/>
        <item sd="0" m="1" x="176"/>
        <item sd="0" m="1" x="224"/>
        <item sd="0" m="1" x="341"/>
        <item sd="0" x="2"/>
        <item sd="0" m="1" x="400"/>
        <item sd="0" m="1" x="293"/>
        <item x="87"/>
        <item sd="0" m="1" x="368"/>
        <item sd="0" m="1" x="460"/>
        <item sd="0" x="78"/>
        <item sd="0" m="1" x="177"/>
        <item sd="0" m="1" x="285"/>
        <item sd="0" m="1" x="200"/>
        <item sd="0" m="1" x="269"/>
        <item sd="0" x="59"/>
        <item sd="0" m="1" x="178"/>
        <item sd="0" m="1" x="401"/>
        <item sd="0" x="152"/>
        <item sd="0" m="1" x="225"/>
        <item sd="0" x="102"/>
        <item sd="0" x="92"/>
        <item sd="0" x="18"/>
        <item sd="0" m="1" x="461"/>
        <item sd="0" m="1" x="313"/>
        <item sd="0" m="1" x="431"/>
        <item sd="0" m="1" x="462"/>
        <item sd="0" m="1" x="226"/>
        <item sd="0" m="1" x="432"/>
        <item sd="0" x="109"/>
        <item sd="0" m="1" x="312"/>
        <item sd="0" m="1" x="271"/>
        <item sd="0" m="1" x="270"/>
        <item sd="0" m="1" x="311"/>
        <item sd="0" m="1" x="214"/>
        <item sd="0" m="1" x="369"/>
        <item sd="0" m="1" x="227"/>
        <item sd="0" x="73"/>
        <item sd="0" x="9"/>
        <item sd="0" m="1" x="251"/>
        <item sd="0" x="36"/>
        <item sd="0" m="1" x="316"/>
        <item sd="0" m="1" x="433"/>
        <item sd="0" x="23"/>
        <item sd="0" x="124"/>
        <item sd="0" m="1" x="434"/>
        <item sd="0" m="1" x="317"/>
        <item sd="0" m="1" x="370"/>
        <item sd="0" m="1" x="252"/>
        <item sd="0" m="1" x="228"/>
        <item sd="0" m="1" x="402"/>
        <item sd="0" x="93"/>
        <item sd="0" m="1" x="318"/>
        <item sd="0" x="82"/>
        <item sd="0" x="15"/>
        <item sd="0" x="12"/>
        <item sd="0" x="27"/>
        <item sd="0" m="1" x="319"/>
        <item sd="0" x="110"/>
        <item sd="0" m="1" x="320"/>
        <item sd="0" m="1" x="435"/>
        <item sd="0" x="21"/>
        <item sd="0" m="1" x="321"/>
        <item sd="0" m="1" x="209"/>
        <item sd="0" m="1" x="463"/>
        <item sd="0" m="1" x="229"/>
        <item sd="0" m="1" x="294"/>
        <item sd="0" x="100"/>
        <item sd="0" m="1" x="310"/>
        <item sd="0" m="1" x="179"/>
        <item sd="0" m="1" x="205"/>
        <item sd="0" x="20"/>
        <item sd="0" m="1" x="199"/>
        <item sd="0" x="118"/>
        <item sd="0" m="1" x="217"/>
        <item sd="0" x="106"/>
        <item sd="0" x="171"/>
        <item sd="0" m="1" x="253"/>
        <item sd="0" m="1" x="403"/>
        <item sd="0" m="1" x="438"/>
        <item sd="0" m="1" x="180"/>
        <item sd="0" m="1" x="207"/>
        <item sd="0" m="1" x="371"/>
        <item sd="0" x="134"/>
        <item sd="0" x="33"/>
        <item sd="0" m="1" x="322"/>
        <item sd="0" x="70"/>
        <item sd="0" x="116"/>
        <item sd="0" m="1" x="181"/>
        <item sd="0" x="103"/>
        <item sd="0" x="147"/>
        <item sd="0" m="1" x="405"/>
        <item sd="0" m="1" x="404"/>
        <item sd="0" m="1" x="182"/>
        <item sd="0" m="1" x="183"/>
        <item sd="0" x="91"/>
        <item sd="0" m="1" x="264"/>
        <item sd="0" m="1" x="323"/>
        <item sd="0" x="138"/>
        <item sd="0" m="1" x="184"/>
        <item sd="0" x="128"/>
        <item sd="0" x="1"/>
        <item sd="0" m="1" x="428"/>
        <item sd="0" m="1" x="325"/>
        <item sd="0" m="1" x="327"/>
        <item sd="0" m="1" x="373"/>
        <item sd="0" m="1" x="326"/>
        <item sd="0" m="1" x="439"/>
        <item sd="0" m="1" x="324"/>
        <item sd="0" x="96"/>
        <item sd="0" x="119"/>
        <item sd="0" x="169"/>
        <item sd="0" m="1" x="230"/>
        <item sd="0" m="1" x="440"/>
        <item sd="0" m="1" x="372"/>
        <item sd="0" m="1" x="406"/>
        <item sd="0" x="54"/>
        <item sd="0" x="39"/>
        <item sd="0" m="1" x="328"/>
        <item sd="0" m="1" x="185"/>
        <item sd="0" m="1" x="266"/>
        <item sd="0" m="1" x="231"/>
        <item sd="0" x="79"/>
        <item sd="0" m="1" x="329"/>
        <item sd="0" m="1" x="255"/>
        <item sd="0" x="157"/>
        <item sd="0" m="1" x="249"/>
        <item sd="0" m="1" x="287"/>
        <item sd="0" m="1" x="430"/>
        <item sd="0" x="155"/>
        <item sd="0" x="29"/>
        <item sd="0" m="1" x="441"/>
        <item sd="0" m="1" x="330"/>
        <item sd="0" m="1" x="331"/>
        <item sd="0" m="1" x="464"/>
        <item sd="0" m="1" x="465"/>
        <item sd="0" m="1" x="232"/>
        <item sd="0" m="1" x="374"/>
        <item sd="0" m="1" x="466"/>
        <item sd="0" m="1" x="261"/>
        <item sd="0" m="1" x="375"/>
        <item sd="0" m="1" x="407"/>
        <item sd="0" m="1" x="436"/>
        <item sd="0" x="142"/>
        <item sd="0" x="89"/>
        <item sd="0" x="159"/>
        <item sd="0" x="127"/>
        <item sd="0" x="113"/>
        <item sd="0" m="1" x="233"/>
        <item sd="0" m="1" x="216"/>
        <item sd="0" x="153"/>
        <item sd="0" m="1" x="277"/>
        <item sd="0" m="1" x="174"/>
        <item sd="0" m="1" x="467"/>
        <item sd="0" x="149"/>
        <item sd="0" x="48"/>
        <item sd="0" x="11"/>
        <item sd="0" m="1" x="332"/>
        <item sd="0" m="1" x="215"/>
        <item sd="0" x="135"/>
        <item sd="0" m="1" x="376"/>
        <item sd="0" m="1" x="443"/>
        <item sd="0" x="143"/>
        <item sd="0" m="1" x="377"/>
        <item sd="0" m="1" x="234"/>
        <item sd="0" m="1" x="378"/>
        <item sd="0" x="150"/>
        <item sd="0" m="1" x="379"/>
        <item sd="0" m="1" x="468"/>
        <item sd="0" x="146"/>
        <item sd="0" m="1" x="286"/>
        <item sd="0" x="172"/>
        <item sd="0" x="99"/>
        <item sd="0" m="1" x="289"/>
        <item sd="0" x="45"/>
        <item sd="0" x="55"/>
        <item sd="0" m="1" x="334"/>
        <item sd="0" m="1" x="381"/>
        <item sd="0" m="1" x="380"/>
        <item sd="0" m="1" x="235"/>
        <item sd="0" x="107"/>
        <item sd="0" x="123"/>
        <item sd="0" m="1" x="292"/>
        <item sd="0" m="1" x="236"/>
        <item sd="0" m="1" x="444"/>
        <item sd="0" m="1" x="408"/>
        <item sd="0" m="1" x="445"/>
        <item sd="0" m="1" x="186"/>
        <item sd="0" m="1" x="437"/>
        <item sd="0" m="1" x="382"/>
        <item sd="0" x="85"/>
        <item sd="0" m="1" x="446"/>
        <item sd="0" m="1" x="203"/>
        <item sd="0" x="30"/>
        <item sd="0" m="1" x="187"/>
        <item sd="0" x="40"/>
        <item sd="0" m="1" x="335"/>
        <item sd="0" x="164"/>
        <item sd="0" x="120"/>
        <item sd="0" x="74"/>
        <item sd="0" m="1" x="447"/>
        <item sd="0" x="158"/>
        <item sd="0" x="162"/>
        <item sd="0" m="1" x="257"/>
        <item sd="0" m="1" x="258"/>
        <item sd="0" m="1" x="295"/>
        <item sd="0" m="1" x="272"/>
        <item sd="0" x="56"/>
        <item sd="0" m="1" x="336"/>
        <item sd="0" x="88"/>
        <item sd="0" m="1" x="448"/>
        <item sd="0" x="10"/>
        <item sd="0" m="1" x="337"/>
        <item sd="0" x="34"/>
        <item sd="0" m="1" x="449"/>
        <item sd="0" m="1" x="333"/>
        <item sd="0" m="1" x="339"/>
        <item sd="0" m="1" x="340"/>
        <item sd="0" m="1" x="384"/>
        <item sd="0" m="1" x="342"/>
        <item sd="0" m="1" x="383"/>
        <item sd="0" m="1" x="409"/>
        <item sd="0" m="1" x="237"/>
        <item sd="0" x="83"/>
        <item sd="0" m="1" x="411"/>
        <item sd="0" m="1" x="273"/>
        <item sd="0" x="167"/>
        <item sd="0" m="1" x="211"/>
        <item sd="0" x="121"/>
        <item sd="0" m="1" x="274"/>
        <item sd="0" m="1" x="238"/>
        <item sd="0" m="1" x="188"/>
        <item sd="0" x="67"/>
        <item sd="0" x="132"/>
        <item sd="0" m="1" x="450"/>
        <item sd="0" x="43"/>
        <item sd="0" x="53"/>
        <item sd="0" x="7"/>
        <item sd="0" m="1" x="343"/>
        <item sd="0" m="1" x="189"/>
        <item sd="0" m="1" x="281"/>
        <item sd="0" x="50"/>
        <item sd="0" m="1" x="410"/>
        <item sd="0" m="1" x="259"/>
        <item sd="0" m="1" x="218"/>
        <item sd="0" x="101"/>
        <item sd="0" x="37"/>
        <item sd="0" m="1" x="301"/>
        <item sd="0" m="1" x="412"/>
        <item sd="0" m="1" x="208"/>
        <item sd="0" x="131"/>
        <item sd="0" x="95"/>
        <item sd="0" m="1" x="275"/>
        <item sd="0" m="1" x="451"/>
        <item sd="0" x="84"/>
        <item sd="0" m="1" x="345"/>
        <item sd="0" x="5"/>
        <item sd="0" x="156"/>
        <item sd="0" m="1" x="276"/>
        <item sd="0" x="35"/>
        <item sd="0" m="1" x="296"/>
        <item sd="0" x="3"/>
        <item sd="0" x="72"/>
        <item sd="0" x="51"/>
        <item sd="0" m="1" x="413"/>
        <item sd="0" m="1" x="197"/>
        <item sd="0" x="13"/>
        <item sd="0" m="1" x="346"/>
        <item sd="0" x="129"/>
        <item sd="0" x="24"/>
        <item sd="0" m="1" x="190"/>
        <item sd="0" x="165"/>
        <item sd="0" x="90"/>
        <item sd="0" m="1" x="452"/>
        <item sd="0" m="1" x="239"/>
        <item x="144"/>
        <item sd="0" x="52"/>
        <item sd="0" m="1" x="297"/>
        <item sd="0" m="1" x="453"/>
        <item sd="0" m="1" x="414"/>
        <item sd="0" x="75"/>
        <item sd="0" m="1" x="240"/>
        <item sd="0" m="1" x="454"/>
        <item sd="0" x="81"/>
        <item sd="0" m="1" x="469"/>
        <item sd="0" m="1" x="347"/>
        <item sd="0" m="1" x="351"/>
        <item sd="0" m="1" x="385"/>
        <item sd="0" x="58"/>
        <item sd="0" x="17"/>
        <item sd="0" m="1" x="348"/>
        <item sd="0" m="1" x="284"/>
        <item sd="0" m="1" x="288"/>
        <item sd="0" m="1" x="344"/>
        <item sd="0" m="1" x="191"/>
        <item sd="0" x="139"/>
        <item sd="0" x="16"/>
        <item sd="0" m="1" x="241"/>
        <item sd="0" m="1" x="242"/>
        <item sd="0" m="1" x="243"/>
        <item sd="0" m="1" x="470"/>
        <item sd="0" m="1" x="278"/>
        <item sd="0" x="47"/>
        <item sd="0" m="1" x="192"/>
        <item sd="0" m="1" x="282"/>
        <item sd="0" x="64"/>
        <item sd="0" x="4"/>
        <item sd="0" m="1" x="349"/>
        <item sd="0" x="163"/>
        <item sd="0" m="1" x="219"/>
        <item sd="0" x="66"/>
        <item sd="0" m="1" x="291"/>
        <item sd="0" x="41"/>
        <item sd="0" m="1" x="415"/>
        <item sd="0" m="1" x="455"/>
        <item sd="0" m="1" x="386"/>
        <item sd="0" x="68"/>
        <item sd="0" x="65"/>
        <item sd="0" m="1" x="387"/>
        <item sd="0" x="44"/>
        <item sd="0" m="1" x="442"/>
        <item sd="0" x="104"/>
        <item sd="0" m="1" x="416"/>
        <item sd="0" x="49"/>
        <item sd="0" x="8"/>
        <item sd="0" m="1" x="350"/>
        <item sd="0" m="1" x="206"/>
        <item sd="0" m="1" x="204"/>
        <item sd="0" x="154"/>
        <item sd="0" m="1" x="193"/>
        <item sd="0" m="1" x="244"/>
        <item sd="0" m="1" x="245"/>
        <item sd="0" x="148"/>
        <item sd="0" x="57"/>
        <item sd="0" m="1" x="417"/>
        <item sd="0" m="1" x="213"/>
        <item sd="0" m="1" x="246"/>
        <item sd="0" m="1" x="298"/>
        <item sd="0" m="1" x="418"/>
        <item sd="0" x="32"/>
        <item sd="0" m="1" x="419"/>
        <item sd="0" x="108"/>
        <item sd="0" x="130"/>
        <item sd="0" m="1" x="388"/>
        <item sd="0" m="1" x="194"/>
        <item sd="0" x="145"/>
        <item sd="0" m="1" x="195"/>
        <item sd="0" m="1" x="260"/>
        <item sd="0" m="1" x="299"/>
        <item sd="0" x="111"/>
        <item sd="0" m="1" x="389"/>
        <item sd="0" x="114"/>
        <item sd="0" m="1" x="352"/>
        <item sd="0" m="1" x="420"/>
        <item sd="0" x="151"/>
        <item sd="0" m="1" x="421"/>
        <item sd="0" x="117"/>
        <item sd="0" m="1" x="390"/>
        <item sd="0" m="1" x="422"/>
        <item sd="0" m="1" x="456"/>
        <item sd="0" m="1" x="353"/>
        <item sd="0" x="69"/>
        <item sd="0" m="1" x="391"/>
        <item sd="0" m="1" x="314"/>
        <item sd="0" m="1" x="471"/>
        <item sd="0" x="133"/>
        <item sd="0" m="1" x="392"/>
        <item sd="0" x="42"/>
        <item sd="0" m="1" x="247"/>
        <item sd="0" m="1" x="457"/>
        <item sd="0" m="1" x="393"/>
        <item sd="0" m="1" x="256"/>
        <item sd="0" x="136"/>
        <item sd="0" m="1" x="356"/>
        <item sd="0" x="105"/>
        <item sd="0" m="1" x="357"/>
        <item sd="0" x="94"/>
        <item sd="0" x="122"/>
        <item sd="0" x="137"/>
        <item sd="0" m="1" x="248"/>
        <item sd="0" x="31"/>
        <item sd="0" m="1" x="338"/>
        <item sd="0" m="1" x="198"/>
        <item sd="0" m="1" x="358"/>
        <item sd="0" m="1" x="423"/>
        <item sd="0" x="140"/>
        <item sd="0" x="125"/>
        <item sd="0" x="115"/>
        <item sd="0" m="1" x="472"/>
        <item sd="0" m="1" x="212"/>
        <item sd="0" m="1" x="458"/>
        <item sd="0" m="1" x="290"/>
        <item sd="0" m="1" x="459"/>
        <item sd="0" m="1" x="473"/>
        <item sd="0" x="61"/>
        <item sd="0" x="166"/>
        <item sd="0" x="38"/>
        <item sd="0" m="1" x="394"/>
        <item sd="0" m="1" x="359"/>
        <item sd="0" m="1" x="395"/>
        <item sd="0" x="76"/>
        <item sd="0" m="1" x="279"/>
        <item t="default" sd="0"/>
      </items>
    </pivotField>
    <pivotField compact="0" outline="0" subtotalTop="0" showAll="0" includeNewItemsInFilter="1"/>
    <pivotField compact="0" numFmtId="14" outline="0" subtotalTop="0" showAll="0" includeNewItemsInFilter="1"/>
    <pivotField compact="0" numFmtId="14" outline="0" subtotalTop="0" showAll="0" includeNewItemsInFilter="1"/>
    <pivotField compact="0" numFmtId="165" outline="0" subtotalTop="0" showAll="0" includeNewItemsInFilter="1"/>
    <pivotField compact="0" numFmtId="166" outline="0" subtotalTop="0" showAll="0" includeNewItemsInFilter="1"/>
    <pivotField dataField="1" compact="0" numFmtId="165" outline="0" subtotalTop="0" showAll="0" includeNewItemsInFilter="1"/>
    <pivotField dataField="1" compact="0" numFmtId="165" outline="0" subtotalTop="0" showAll="0" includeNewItemsInFilter="1"/>
    <pivotField dataField="1" compact="0" numFmtId="165" outline="0" subtotalTop="0" showAll="0" includeNewItemsInFilter="1"/>
    <pivotField dataField="1" compact="0" numFmtId="165" outline="0" subtotalTop="0" showAll="0" includeNewItemsInFilter="1"/>
    <pivotField dataField="1" compact="0" numFmtId="165" outline="0" subtotalTop="0" showAll="0" includeNewItemsInFilter="1"/>
    <pivotField dataField="1" compact="0" numFmtId="165" outline="0" subtotalTop="0" showAll="0" includeNewItemsInFilter="1"/>
    <pivotField dataField="1" compact="0" numFmtId="165" outline="0" subtotalTop="0" showAll="0" includeNewItemsInFilter="1"/>
    <pivotField axis="axisRow" dataField="1" compact="0" numFmtId="165" outline="0" subtotalTop="0" showAll="0" includeNewItemsInFilter="1" defaultSubtotal="0">
      <items count="372">
        <item x="371"/>
        <item x="259"/>
        <item x="149"/>
        <item x="284"/>
        <item x="25"/>
        <item x="24"/>
        <item x="107"/>
        <item x="142"/>
        <item x="222"/>
        <item x="22"/>
        <item x="145"/>
        <item x="11"/>
        <item x="26"/>
        <item x="102"/>
        <item x="49"/>
        <item x="64"/>
        <item x="57"/>
        <item x="36"/>
        <item x="13"/>
        <item x="12"/>
        <item x="343"/>
        <item x="202"/>
        <item x="8"/>
        <item x="65"/>
        <item x="23"/>
        <item x="18"/>
        <item x="56"/>
        <item x="37"/>
        <item x="14"/>
        <item x="54"/>
        <item x="220"/>
        <item x="39"/>
        <item x="50"/>
        <item x="129"/>
        <item x="66"/>
        <item x="3"/>
        <item x="19"/>
        <item x="5"/>
        <item x="126"/>
        <item x="351"/>
        <item x="67"/>
        <item x="183"/>
        <item x="55"/>
        <item x="216"/>
        <item x="63"/>
        <item x="266"/>
        <item x="339"/>
        <item x="97"/>
        <item x="198"/>
        <item x="38"/>
        <item x="52"/>
        <item x="80"/>
        <item x="238"/>
        <item x="41"/>
        <item x="179"/>
        <item x="225"/>
        <item x="17"/>
        <item x="6"/>
        <item x="229"/>
        <item x="79"/>
        <item x="51"/>
        <item x="356"/>
        <item x="241"/>
        <item x="297"/>
        <item x="280"/>
        <item x="353"/>
        <item x="0"/>
        <item x="189"/>
        <item x="21"/>
        <item x="20"/>
        <item x="59"/>
        <item x="262"/>
        <item x="260"/>
        <item x="278"/>
        <item x="166"/>
        <item x="148"/>
        <item x="233"/>
        <item x="10"/>
        <item x="224"/>
        <item x="34"/>
        <item x="47"/>
        <item x="311"/>
        <item x="256"/>
        <item x="223"/>
        <item x="7"/>
        <item x="124"/>
        <item x="76"/>
        <item x="355"/>
        <item x="99"/>
        <item x="332"/>
        <item x="16"/>
        <item x="180"/>
        <item x="281"/>
        <item x="296"/>
        <item x="35"/>
        <item x="282"/>
        <item x="257"/>
        <item x="357"/>
        <item x="2"/>
        <item x="116"/>
        <item x="123"/>
        <item x="81"/>
        <item x="292"/>
        <item x="249"/>
        <item x="121"/>
        <item x="205"/>
        <item x="104"/>
        <item x="133"/>
        <item x="28"/>
        <item x="27"/>
        <item x="322"/>
        <item x="251"/>
        <item x="307"/>
        <item x="234"/>
        <item x="100"/>
        <item x="252"/>
        <item x="367"/>
        <item x="271"/>
        <item x="83"/>
        <item x="103"/>
        <item x="101"/>
        <item x="246"/>
        <item x="131"/>
        <item x="96"/>
        <item x="232"/>
        <item x="239"/>
        <item x="194"/>
        <item x="295"/>
        <item x="276"/>
        <item x="122"/>
        <item x="141"/>
        <item x="240"/>
        <item x="9"/>
        <item x="333"/>
        <item x="365"/>
        <item x="349"/>
        <item x="46"/>
        <item x="196"/>
        <item x="248"/>
        <item x="308"/>
        <item x="206"/>
        <item x="204"/>
        <item x="108"/>
        <item x="338"/>
        <item x="370"/>
        <item x="164"/>
        <item x="155"/>
        <item x="329"/>
        <item x="361"/>
        <item x="71"/>
        <item x="221"/>
        <item x="1"/>
        <item x="61"/>
        <item x="158"/>
        <item x="300"/>
        <item x="290"/>
        <item x="235"/>
        <item x="72"/>
        <item x="91"/>
        <item x="301"/>
        <item x="289"/>
        <item x="62"/>
        <item x="326"/>
        <item x="337"/>
        <item x="181"/>
        <item x="136"/>
        <item x="134"/>
        <item x="156"/>
        <item x="48"/>
        <item x="15"/>
        <item x="363"/>
        <item x="298"/>
        <item x="33"/>
        <item x="44"/>
        <item x="165"/>
        <item x="210"/>
        <item x="143"/>
        <item x="88"/>
        <item x="132"/>
        <item x="139"/>
        <item x="146"/>
        <item x="128"/>
        <item x="120"/>
        <item x="89"/>
        <item x="125"/>
        <item x="106"/>
        <item x="291"/>
        <item x="162"/>
        <item x="208"/>
        <item x="117"/>
        <item x="207"/>
        <item x="184"/>
        <item x="287"/>
        <item x="286"/>
        <item x="118"/>
        <item x="263"/>
        <item x="288"/>
        <item x="314"/>
        <item x="270"/>
        <item x="95"/>
        <item x="267"/>
        <item x="309"/>
        <item x="45"/>
        <item x="154"/>
        <item x="85"/>
        <item x="112"/>
        <item x="92"/>
        <item x="310"/>
        <item x="168"/>
        <item x="90"/>
        <item x="69"/>
        <item x="272"/>
        <item x="152"/>
        <item x="93"/>
        <item x="182"/>
        <item x="70"/>
        <item x="285"/>
        <item x="315"/>
        <item x="84"/>
        <item x="283"/>
        <item x="105"/>
        <item x="293"/>
        <item x="29"/>
        <item x="195"/>
        <item x="305"/>
        <item x="264"/>
        <item x="60"/>
        <item x="94"/>
        <item x="327"/>
        <item x="68"/>
        <item x="279"/>
        <item x="119"/>
        <item x="341"/>
        <item x="258"/>
        <item x="317"/>
        <item x="331"/>
        <item x="352"/>
        <item x="318"/>
        <item x="157"/>
        <item x="347"/>
        <item x="328"/>
        <item x="243"/>
        <item x="345"/>
        <item x="237"/>
        <item x="192"/>
        <item x="330"/>
        <item x="167"/>
        <item x="32"/>
        <item x="98"/>
        <item x="316"/>
        <item x="147"/>
        <item x="304"/>
        <item x="312"/>
        <item x="244"/>
        <item x="218"/>
        <item x="364"/>
        <item x="230"/>
        <item x="213"/>
        <item x="86"/>
        <item x="4"/>
        <item x="350"/>
        <item x="187"/>
        <item x="174"/>
        <item x="274"/>
        <item x="366"/>
        <item x="313"/>
        <item x="177"/>
        <item x="277"/>
        <item x="369"/>
        <item x="161"/>
        <item x="236"/>
        <item x="265"/>
        <item x="340"/>
        <item x="226"/>
        <item x="30"/>
        <item x="348"/>
        <item x="178"/>
        <item x="163"/>
        <item x="58"/>
        <item x="203"/>
        <item x="255"/>
        <item x="294"/>
        <item x="303"/>
        <item x="306"/>
        <item x="190"/>
        <item x="227"/>
        <item x="169"/>
        <item x="245"/>
        <item x="109"/>
        <item x="242"/>
        <item x="160"/>
        <item x="170"/>
        <item x="114"/>
        <item x="342"/>
        <item x="359"/>
        <item x="151"/>
        <item x="212"/>
        <item x="250"/>
        <item x="197"/>
        <item x="321"/>
        <item x="40"/>
        <item x="186"/>
        <item x="173"/>
        <item x="175"/>
        <item x="358"/>
        <item x="31"/>
        <item x="228"/>
        <item x="193"/>
        <item x="320"/>
        <item x="171"/>
        <item x="53"/>
        <item x="153"/>
        <item x="336"/>
        <item x="110"/>
        <item x="127"/>
        <item x="113"/>
        <item x="215"/>
        <item x="214"/>
        <item x="219"/>
        <item x="159"/>
        <item x="269"/>
        <item x="188"/>
        <item x="176"/>
        <item x="360"/>
        <item x="275"/>
        <item x="111"/>
        <item x="144"/>
        <item x="42"/>
        <item x="261"/>
        <item x="247"/>
        <item x="115"/>
        <item x="302"/>
        <item x="77"/>
        <item x="82"/>
        <item x="130"/>
        <item x="87"/>
        <item x="231"/>
        <item x="43"/>
        <item x="200"/>
        <item x="74"/>
        <item x="185"/>
        <item x="346"/>
        <item x="299"/>
        <item x="211"/>
        <item x="334"/>
        <item x="140"/>
        <item x="78"/>
        <item x="325"/>
        <item x="73"/>
        <item x="135"/>
        <item x="323"/>
        <item x="324"/>
        <item x="319"/>
        <item x="335"/>
        <item x="75"/>
        <item x="268"/>
        <item x="191"/>
        <item x="138"/>
        <item x="253"/>
        <item x="137"/>
        <item x="201"/>
        <item x="344"/>
        <item x="172"/>
        <item x="368"/>
        <item x="354"/>
        <item x="150"/>
        <item x="199"/>
        <item x="273"/>
        <item x="209"/>
        <item x="217"/>
        <item x="362"/>
        <item x="254"/>
      </items>
    </pivotField>
    <pivotField dataField="1" compact="0" numFmtId="165" outline="0" subtotalTop="0" showAll="0" includeNewItemsInFilter="1"/>
    <pivotField dataField="1" compact="0" numFmtId="165" outline="0" subtotalTop="0" showAll="0" includeNewItemsInFilter="1"/>
    <pivotField dataField="1" compact="0" numFmtId="165" outline="0" subtotalTop="0" showAll="0" includeNewItemsInFilter="1"/>
    <pivotField dataField="1" compact="0" numFmtId="165" outline="0" subtotalTop="0" showAll="0" includeNewItemsInFilter="1"/>
    <pivotField dataField="1" compact="0" numFmtId="165" outline="0" subtotalTop="0" showAll="0" includeNewItemsInFilter="1"/>
    <pivotField dataField="1" compact="0" numFmtId="165" outline="0" subtotalTop="0" showAll="0" includeNewItemsInFilter="1" defaultSubtotal="0"/>
  </pivotFields>
  <rowFields count="2">
    <field x="0"/>
    <field x="13"/>
  </rowFields>
  <rowItems count="177">
    <i>
      <x v="2"/>
    </i>
    <i>
      <x v="6"/>
    </i>
    <i>
      <x v="8"/>
    </i>
    <i>
      <x v="16"/>
    </i>
    <i>
      <x v="17"/>
    </i>
    <i>
      <x v="19"/>
    </i>
    <i>
      <x v="21"/>
    </i>
    <i>
      <x v="32"/>
    </i>
    <i>
      <x v="34"/>
    </i>
    <i>
      <x v="36"/>
    </i>
    <i>
      <x v="38"/>
    </i>
    <i>
      <x v="41"/>
    </i>
    <i>
      <x v="43"/>
    </i>
    <i>
      <x v="46"/>
    </i>
    <i>
      <x v="49"/>
    </i>
    <i>
      <x v="50"/>
    </i>
    <i>
      <x v="53"/>
    </i>
    <i>
      <x v="56"/>
    </i>
    <i>
      <x v="58"/>
    </i>
    <i>
      <x v="63"/>
    </i>
    <i>
      <x v="65"/>
    </i>
    <i>
      <x v="67"/>
    </i>
    <i>
      <x v="68"/>
    </i>
    <i>
      <x v="70"/>
    </i>
    <i>
      <x v="72"/>
    </i>
    <i>
      <x v="76"/>
    </i>
    <i>
      <x v="79"/>
      <x/>
    </i>
    <i r="1">
      <x v="342"/>
    </i>
    <i t="default">
      <x v="79"/>
    </i>
    <i>
      <x v="82"/>
    </i>
    <i>
      <x v="87"/>
    </i>
    <i>
      <x v="90"/>
    </i>
    <i>
      <x v="92"/>
    </i>
    <i>
      <x v="93"/>
    </i>
    <i>
      <x v="94"/>
    </i>
    <i>
      <x v="101"/>
    </i>
    <i>
      <x v="109"/>
    </i>
    <i>
      <x v="110"/>
    </i>
    <i>
      <x v="112"/>
    </i>
    <i>
      <x v="115"/>
    </i>
    <i>
      <x v="116"/>
    </i>
    <i>
      <x v="123"/>
    </i>
    <i>
      <x v="125"/>
    </i>
    <i>
      <x v="126"/>
    </i>
    <i>
      <x v="127"/>
    </i>
    <i>
      <x v="128"/>
    </i>
    <i>
      <x v="130"/>
    </i>
    <i>
      <x v="133"/>
    </i>
    <i>
      <x v="139"/>
    </i>
    <i>
      <x v="143"/>
    </i>
    <i>
      <x v="145"/>
    </i>
    <i>
      <x v="147"/>
    </i>
    <i>
      <x v="148"/>
    </i>
    <i>
      <x v="155"/>
    </i>
    <i>
      <x v="156"/>
    </i>
    <i>
      <x v="158"/>
    </i>
    <i>
      <x v="159"/>
    </i>
    <i>
      <x v="161"/>
    </i>
    <i>
      <x v="162"/>
    </i>
    <i>
      <x v="167"/>
    </i>
    <i>
      <x v="170"/>
    </i>
    <i>
      <x v="172"/>
    </i>
    <i>
      <x v="173"/>
    </i>
    <i>
      <x v="181"/>
    </i>
    <i>
      <x v="182"/>
    </i>
    <i>
      <x v="183"/>
    </i>
    <i>
      <x v="188"/>
    </i>
    <i>
      <x v="189"/>
    </i>
    <i>
      <x v="194"/>
    </i>
    <i>
      <x v="197"/>
    </i>
    <i>
      <x v="201"/>
    </i>
    <i>
      <x v="202"/>
    </i>
    <i>
      <x v="215"/>
    </i>
    <i>
      <x v="216"/>
    </i>
    <i>
      <x v="217"/>
    </i>
    <i>
      <x v="218"/>
    </i>
    <i>
      <x v="219"/>
    </i>
    <i>
      <x v="222"/>
    </i>
    <i>
      <x v="226"/>
    </i>
    <i>
      <x v="227"/>
    </i>
    <i>
      <x v="228"/>
    </i>
    <i>
      <x v="231"/>
    </i>
    <i>
      <x v="234"/>
    </i>
    <i>
      <x v="238"/>
    </i>
    <i>
      <x v="241"/>
    </i>
    <i>
      <x v="243"/>
    </i>
    <i>
      <x v="244"/>
    </i>
    <i>
      <x v="246"/>
    </i>
    <i>
      <x v="247"/>
    </i>
    <i>
      <x v="252"/>
    </i>
    <i>
      <x v="253"/>
    </i>
    <i>
      <x v="262"/>
    </i>
    <i>
      <x v="265"/>
    </i>
    <i>
      <x v="267"/>
    </i>
    <i>
      <x v="269"/>
    </i>
    <i>
      <x v="270"/>
    </i>
    <i>
      <x v="271"/>
    </i>
    <i>
      <x v="273"/>
    </i>
    <i>
      <x v="274"/>
    </i>
    <i>
      <x v="279"/>
    </i>
    <i>
      <x v="281"/>
    </i>
    <i>
      <x v="283"/>
    </i>
    <i>
      <x v="285"/>
    </i>
    <i>
      <x v="295"/>
    </i>
    <i>
      <x v="298"/>
    </i>
    <i>
      <x v="300"/>
    </i>
    <i>
      <x v="304"/>
    </i>
    <i>
      <x v="305"/>
    </i>
    <i>
      <x v="307"/>
    </i>
    <i>
      <x v="308"/>
    </i>
    <i>
      <x v="309"/>
    </i>
    <i>
      <x v="313"/>
    </i>
    <i>
      <x v="317"/>
    </i>
    <i>
      <x v="318"/>
    </i>
    <i>
      <x v="322"/>
    </i>
    <i>
      <x v="323"/>
    </i>
    <i>
      <x v="326"/>
    </i>
    <i>
      <x v="328"/>
    </i>
    <i>
      <x v="329"/>
    </i>
    <i>
      <x v="331"/>
    </i>
    <i>
      <x v="333"/>
    </i>
    <i>
      <x v="334"/>
    </i>
    <i>
      <x v="335"/>
    </i>
    <i>
      <x v="338"/>
    </i>
    <i>
      <x v="340"/>
    </i>
    <i>
      <x v="341"/>
    </i>
    <i>
      <x v="343"/>
    </i>
    <i>
      <x v="344"/>
    </i>
    <i>
      <x v="347"/>
      <x/>
    </i>
    <i t="default">
      <x v="347"/>
    </i>
    <i>
      <x v="348"/>
    </i>
    <i>
      <x v="352"/>
    </i>
    <i>
      <x v="355"/>
    </i>
    <i>
      <x v="360"/>
    </i>
    <i>
      <x v="361"/>
    </i>
    <i>
      <x v="367"/>
    </i>
    <i>
      <x v="368"/>
    </i>
    <i>
      <x v="374"/>
    </i>
    <i>
      <x v="377"/>
    </i>
    <i>
      <x v="378"/>
    </i>
    <i>
      <x v="380"/>
    </i>
    <i>
      <x v="382"/>
    </i>
    <i>
      <x v="384"/>
    </i>
    <i>
      <x v="388"/>
    </i>
    <i>
      <x v="389"/>
    </i>
    <i>
      <x v="391"/>
    </i>
    <i>
      <x v="393"/>
    </i>
    <i>
      <x v="395"/>
    </i>
    <i>
      <x v="396"/>
    </i>
    <i>
      <x v="400"/>
    </i>
    <i>
      <x v="404"/>
    </i>
    <i>
      <x v="405"/>
    </i>
    <i>
      <x v="411"/>
    </i>
    <i>
      <x v="413"/>
    </i>
    <i>
      <x v="414"/>
    </i>
    <i>
      <x v="417"/>
    </i>
    <i>
      <x v="421"/>
    </i>
    <i>
      <x v="423"/>
    </i>
    <i>
      <x v="426"/>
    </i>
    <i>
      <x v="428"/>
    </i>
    <i>
      <x v="433"/>
    </i>
    <i>
      <x v="437"/>
    </i>
    <i>
      <x v="439"/>
    </i>
    <i>
      <x v="444"/>
    </i>
    <i>
      <x v="446"/>
    </i>
    <i>
      <x v="448"/>
    </i>
    <i>
      <x v="449"/>
    </i>
    <i>
      <x v="450"/>
    </i>
    <i>
      <x v="452"/>
    </i>
    <i>
      <x v="457"/>
    </i>
    <i>
      <x v="458"/>
    </i>
    <i>
      <x v="459"/>
    </i>
    <i>
      <x v="466"/>
    </i>
    <i>
      <x v="467"/>
    </i>
    <i>
      <x v="468"/>
    </i>
    <i>
      <x v="472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dataFields count="14">
    <dataField name="acima de 181 dias " fld="6" baseField="0" baseItem="0"/>
    <dataField name="151 a 180 dias " fld="7" baseField="0" baseItem="0"/>
    <dataField name="  121 a 150 dias " fld="8" baseField="0" baseItem="0"/>
    <dataField name="91 a 120 dias " fld="9" baseField="0" baseItem="0"/>
    <dataField name="61 a 90 dias " fld="10" baseField="0" baseItem="0"/>
    <dataField name="31 a 60 dias " fld="11" baseField="0" baseItem="0"/>
    <dataField name="30 dias " fld="12" baseField="0" baseItem="0"/>
    <dataField name="TOTAL " fld="13" baseField="0" baseItem="0"/>
    <dataField name="30 dias  " fld="14" baseField="0" baseItem="0"/>
    <dataField name="31 a 60 dias  " fld="15" baseField="0" baseItem="0"/>
    <dataField name="61 a 90 dias  " fld="16" baseField="0" baseItem="0"/>
    <dataField name="91 a 120 dias  " fld="17" baseField="0" baseItem="0"/>
    <dataField name="acima de 120 dias  " fld="18" baseField="0" baseItem="0"/>
    <dataField name="TOTAL  " fld="19" baseField="0" baseItem="0"/>
  </dataFields>
  <formats count="461">
    <format dxfId="1430">
      <pivotArea outline="0" fieldPosition="0"/>
    </format>
    <format dxfId="1429">
      <pivotArea field="-2" type="button" dataOnly="0" labelOnly="1" outline="0" axis="axisCol" fieldPosition="0"/>
    </format>
    <format dxfId="1428">
      <pivotArea type="topRight" dataOnly="0" labelOnly="1" outline="0" fieldPosition="0"/>
    </format>
    <format dxfId="1427">
      <pivotArea field="-2" type="button" dataOnly="0" labelOnly="1" outline="0" axis="axisCol" fieldPosition="0"/>
    </format>
    <format dxfId="1426">
      <pivotArea type="topRight" dataOnly="0" labelOnly="1" outline="0" fieldPosition="0"/>
    </format>
    <format dxfId="1425">
      <pivotArea type="origin" dataOnly="0" labelOnly="1" outline="0" fieldPosition="0"/>
    </format>
    <format dxfId="1424">
      <pivotArea type="origin" dataOnly="0" labelOnly="1" outline="0" fieldPosition="0"/>
    </format>
    <format dxfId="1423">
      <pivotArea dataOnly="0" labelOnly="1" outline="0" fieldPosition="0">
        <references count="1">
          <reference field="4294967294" count="12">
            <x v="0"/>
            <x v="1"/>
            <x v="2"/>
            <x v="3"/>
            <x v="4"/>
            <x v="5"/>
            <x v="6"/>
            <x v="8"/>
            <x v="9"/>
            <x v="10"/>
            <x v="11"/>
            <x v="12"/>
          </reference>
        </references>
      </pivotArea>
    </format>
    <format dxfId="1422">
      <pivotArea type="topRight" dataOnly="0" labelOnly="1" outline="0" offset="G1:K1" fieldPosition="0"/>
    </format>
    <format dxfId="1421">
      <pivotArea dataOnly="0" labelOnly="1" outline="0" fieldPosition="0">
        <references count="1">
          <reference field="4294967294" count="5">
            <x v="8"/>
            <x v="9"/>
            <x v="10"/>
            <x v="11"/>
            <x v="12"/>
          </reference>
        </references>
      </pivotArea>
    </format>
    <format dxfId="1420">
      <pivotArea field="-2" type="button" dataOnly="0" labelOnly="1" outline="0" axis="axisCol" fieldPosition="0"/>
    </format>
    <format dxfId="1419">
      <pivotArea type="topRight" dataOnly="0" labelOnly="1" outline="0" fieldPosition="0"/>
    </format>
    <format dxfId="1418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1417">
      <pivotArea dataOnly="0" labelOnly="1" outline="0" fieldPosition="0">
        <references count="1">
          <reference field="4294967294" count="5">
            <x v="8"/>
            <x v="9"/>
            <x v="10"/>
            <x v="11"/>
            <x v="12"/>
          </reference>
        </references>
      </pivotArea>
    </format>
    <format dxfId="1416">
      <pivotArea outline="0" fieldPosition="0">
        <references count="1">
          <reference field="4294967294" count="7" selected="0">
            <x v="0"/>
            <x v="1"/>
            <x v="2"/>
            <x v="3"/>
            <x v="4"/>
            <x v="5"/>
            <x v="6"/>
          </reference>
        </references>
      </pivotArea>
    </format>
    <format dxfId="1415">
      <pivotArea field="-2" type="button" dataOnly="0" labelOnly="1" outline="0" axis="axisCol" fieldPosition="0"/>
    </format>
    <format dxfId="1414">
      <pivotArea type="topRight" dataOnly="0" labelOnly="1" outline="0" fieldPosition="0"/>
    </format>
    <format dxfId="1413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1412">
      <pivotArea field="0" type="button" dataOnly="0" labelOnly="1" outline="0" axis="axisRow" fieldPosition="0"/>
    </format>
    <format dxfId="141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410">
      <pivotArea type="all" dataOnly="0" outline="0" fieldPosition="0"/>
    </format>
    <format dxfId="1409">
      <pivotArea type="all" dataOnly="0" outline="0" fieldPosition="0"/>
    </format>
    <format dxfId="1408">
      <pivotArea type="origin" dataOnly="0" labelOnly="1" outline="0" fieldPosition="0"/>
    </format>
    <format dxfId="1407">
      <pivotArea type="origin" dataOnly="0" labelOnly="1" outline="0" fieldPosition="0"/>
    </format>
    <format dxfId="1406">
      <pivotArea outline="0" fieldPosition="0">
        <references count="1">
          <reference field="4294967294" count="5" selected="0">
            <x v="8"/>
            <x v="9"/>
            <x v="10"/>
            <x v="11"/>
            <x v="12"/>
          </reference>
        </references>
      </pivotArea>
    </format>
    <format dxfId="1405">
      <pivotArea type="topRight" dataOnly="0" labelOnly="1" outline="0" offset="G1:K1" fieldPosition="0"/>
    </format>
    <format dxfId="1404">
      <pivotArea dataOnly="0" labelOnly="1" outline="0" fieldPosition="0">
        <references count="1">
          <reference field="4294967294" count="5">
            <x v="8"/>
            <x v="9"/>
            <x v="10"/>
            <x v="11"/>
            <x v="12"/>
          </reference>
        </references>
      </pivotArea>
    </format>
    <format dxfId="1403">
      <pivotArea field="0" grandRow="1" outline="0" axis="axisRow" fieldPosition="0">
        <references count="1">
          <reference field="4294967294" count="7" selected="0">
            <x v="0"/>
            <x v="1"/>
            <x v="2"/>
            <x v="3"/>
            <x v="4"/>
            <x v="5"/>
            <x v="6"/>
          </reference>
        </references>
      </pivotArea>
    </format>
    <format dxfId="1402">
      <pivotArea dataOnly="0" labelOnly="1" grandRow="1" outline="0" fieldPosition="0"/>
    </format>
    <format dxfId="1401">
      <pivotArea field="0" type="button" dataOnly="0" labelOnly="1" outline="0" axis="axisRow" fieldPosition="0"/>
    </format>
    <format dxfId="1400">
      <pivotArea dataOnly="0" labelOnly="1" outline="0" fieldPosition="0">
        <references count="1">
          <reference field="4294967294" count="12">
            <x v="0"/>
            <x v="1"/>
            <x v="2"/>
            <x v="3"/>
            <x v="4"/>
            <x v="5"/>
            <x v="6"/>
            <x v="8"/>
            <x v="9"/>
            <x v="10"/>
            <x v="11"/>
            <x v="12"/>
          </reference>
        </references>
      </pivotArea>
    </format>
    <format dxfId="1399">
      <pivotArea field="-2" type="button" dataOnly="0" labelOnly="1" outline="0" axis="axisCol" fieldPosition="0"/>
    </format>
    <format dxfId="1398">
      <pivotArea type="topRight" dataOnly="0" labelOnly="1" outline="0" fieldPosition="0"/>
    </format>
    <format dxfId="1397">
      <pivotArea grandRow="1" outline="0" fieldPosition="0"/>
    </format>
    <format dxfId="1396">
      <pivotArea dataOnly="0" labelOnly="1" grandRow="1" outline="0" fieldPosition="0"/>
    </format>
    <format dxfId="1395">
      <pivotArea type="origin" dataOnly="0" labelOnly="1" outline="0" fieldPosition="0"/>
    </format>
    <format dxfId="1394">
      <pivotArea field="0" type="button" dataOnly="0" labelOnly="1" outline="0" axis="axisRow" fieldPosition="0"/>
    </format>
    <format dxfId="1393">
      <pivotArea field="-2" type="button" dataOnly="0" labelOnly="1" outline="0" axis="axisCol" fieldPosition="0"/>
    </format>
    <format dxfId="1392">
      <pivotArea type="topRight" dataOnly="0" labelOnly="1" outline="0" fieldPosition="0"/>
    </format>
    <format dxfId="1391">
      <pivotArea dataOnly="0" labelOnly="1" outline="0" fieldPosition="0">
        <references count="1">
          <reference field="4294967294" count="12">
            <x v="0"/>
            <x v="1"/>
            <x v="2"/>
            <x v="3"/>
            <x v="4"/>
            <x v="5"/>
            <x v="6"/>
            <x v="8"/>
            <x v="9"/>
            <x v="10"/>
            <x v="11"/>
            <x v="12"/>
          </reference>
        </references>
      </pivotArea>
    </format>
    <format dxfId="1390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1389">
      <pivotArea dataOnly="0" labelOnly="1" outline="0" fieldPosition="0">
        <references count="1">
          <reference field="4294967294" count="1">
            <x v="13"/>
          </reference>
        </references>
      </pivotArea>
    </format>
    <format dxfId="1388">
      <pivotArea dataOnly="0" labelOnly="1" outline="0" fieldPosition="0">
        <references count="1">
          <reference field="4294967294" count="1">
            <x v="13"/>
          </reference>
        </references>
      </pivotArea>
    </format>
    <format dxfId="1387">
      <pivotArea dataOnly="0" labelOnly="1" outline="0" fieldPosition="0">
        <references count="1">
          <reference field="4294967294" count="1">
            <x v="7"/>
          </reference>
        </references>
      </pivotArea>
    </format>
    <format dxfId="1386">
      <pivotArea dataOnly="0" labelOnly="1" outline="0" fieldPosition="0">
        <references count="1">
          <reference field="4294967294" count="1">
            <x v="7"/>
          </reference>
        </references>
      </pivotArea>
    </format>
    <format dxfId="1385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384">
      <pivotArea dataOnly="0" labelOnly="1" outline="0" fieldPosition="0">
        <references count="1">
          <reference field="4294967294" count="6">
            <x v="8"/>
            <x v="9"/>
            <x v="10"/>
            <x v="11"/>
            <x v="12"/>
            <x v="13"/>
          </reference>
        </references>
      </pivotArea>
    </format>
    <format dxfId="1383">
      <pivotArea outline="0" fieldPosition="0">
        <references count="1">
          <reference field="4294967294" count="6" selected="0">
            <x v="8"/>
            <x v="9"/>
            <x v="10"/>
            <x v="11"/>
            <x v="12"/>
            <x v="13"/>
          </reference>
        </references>
      </pivotArea>
    </format>
    <format dxfId="1382">
      <pivotArea dataOnly="0" labelOnly="1" outline="0" fieldPosition="0">
        <references count="1">
          <reference field="4294967294" count="6">
            <x v="8"/>
            <x v="9"/>
            <x v="10"/>
            <x v="11"/>
            <x v="12"/>
            <x v="13"/>
          </reference>
        </references>
      </pivotArea>
    </format>
    <format dxfId="1381">
      <pivotArea outline="0" fieldPosition="0">
        <references count="1">
          <reference field="4294967294" count="1" selected="0">
            <x v="7"/>
          </reference>
        </references>
      </pivotArea>
    </format>
    <format dxfId="1380">
      <pivotArea outline="0" fieldPosition="0">
        <references count="1">
          <reference field="4294967294" count="1" selected="0">
            <x v="7"/>
          </reference>
        </references>
      </pivotArea>
    </format>
    <format dxfId="1379">
      <pivotArea outline="0" fieldPosition="0">
        <references count="1">
          <reference field="4294967294" count="1" selected="0">
            <x v="13"/>
          </reference>
        </references>
      </pivotArea>
    </format>
    <format dxfId="1378">
      <pivotArea outline="0" fieldPosition="0">
        <references count="1">
          <reference field="0" count="0" selected="0"/>
        </references>
      </pivotArea>
    </format>
    <format dxfId="1377">
      <pivotArea dataOnly="0" labelOnly="1" outline="0" fieldPosition="0">
        <references count="1">
          <reference field="0" count="4">
            <x v="180"/>
            <x v="310"/>
            <x v="327"/>
            <x v="333"/>
          </reference>
        </references>
      </pivotArea>
    </format>
    <format dxfId="1376">
      <pivotArea dataOnly="0" labelOnly="1" outline="0" fieldPosition="0">
        <references count="1">
          <reference field="0" count="5">
            <x v="180"/>
            <x v="310"/>
            <x v="327"/>
            <x v="333"/>
            <x v="379"/>
          </reference>
        </references>
      </pivotArea>
    </format>
    <format dxfId="1375">
      <pivotArea dataOnly="0" labelOnly="1" outline="0" fieldPosition="0">
        <references count="1">
          <reference field="0" count="4">
            <x v="180"/>
            <x v="310"/>
            <x v="327"/>
            <x v="333"/>
          </reference>
        </references>
      </pivotArea>
    </format>
    <format dxfId="1374">
      <pivotArea dataOnly="0" labelOnly="1" outline="0" fieldPosition="0">
        <references count="1">
          <reference field="0" count="4">
            <x v="180"/>
            <x v="310"/>
            <x v="327"/>
            <x v="333"/>
          </reference>
        </references>
      </pivotArea>
    </format>
    <format dxfId="1373">
      <pivotArea dataOnly="0" labelOnly="1" outline="0" fieldPosition="0">
        <references count="1">
          <reference field="0" count="4">
            <x v="180"/>
            <x v="310"/>
            <x v="327"/>
            <x v="333"/>
          </reference>
        </references>
      </pivotArea>
    </format>
    <format dxfId="1372">
      <pivotArea dataOnly="0" labelOnly="1" outline="0" fieldPosition="0">
        <references count="1">
          <reference field="0" count="5">
            <x v="180"/>
            <x v="310"/>
            <x v="327"/>
            <x v="333"/>
            <x v="379"/>
          </reference>
        </references>
      </pivotArea>
    </format>
    <format dxfId="1371">
      <pivotArea dataOnly="0" labelOnly="1" outline="0" fieldPosition="0">
        <references count="1">
          <reference field="0" count="4">
            <x v="180"/>
            <x v="310"/>
            <x v="327"/>
            <x v="333"/>
          </reference>
        </references>
      </pivotArea>
    </format>
    <format dxfId="1370">
      <pivotArea dataOnly="0" labelOnly="1" outline="0" fieldPosition="0">
        <references count="1">
          <reference field="0" count="4">
            <x v="180"/>
            <x v="310"/>
            <x v="327"/>
            <x v="333"/>
          </reference>
        </references>
      </pivotArea>
    </format>
    <format dxfId="1369">
      <pivotArea dataOnly="0" labelOnly="1" outline="0" fieldPosition="0">
        <references count="1">
          <reference field="0" count="4">
            <x v="327"/>
            <x v="333"/>
            <x v="379"/>
            <x v="397"/>
          </reference>
        </references>
      </pivotArea>
    </format>
    <format dxfId="1368">
      <pivotArea dataOnly="0" labelOnly="1" outline="0" fieldPosition="0">
        <references count="1">
          <reference field="0" count="3">
            <x v="180"/>
            <x v="310"/>
            <x v="327"/>
          </reference>
        </references>
      </pivotArea>
    </format>
    <format dxfId="1367">
      <pivotArea dataOnly="0" labelOnly="1" outline="0" fieldPosition="0">
        <references count="1">
          <reference field="0" count="1">
            <x v="180"/>
          </reference>
        </references>
      </pivotArea>
    </format>
    <format dxfId="1366">
      <pivotArea dataOnly="0" labelOnly="1" outline="0" fieldPosition="0">
        <references count="1">
          <reference field="0" count="5">
            <x v="310"/>
            <x v="327"/>
            <x v="333"/>
            <x v="379"/>
            <x v="397"/>
          </reference>
        </references>
      </pivotArea>
    </format>
    <format dxfId="1365">
      <pivotArea dataOnly="0" labelOnly="1" outline="0" fieldPosition="0">
        <references count="1">
          <reference field="0" count="4">
            <x v="180"/>
            <x v="310"/>
            <x v="327"/>
            <x v="333"/>
          </reference>
        </references>
      </pivotArea>
    </format>
    <format dxfId="1364">
      <pivotArea dataOnly="0" labelOnly="1" outline="0" fieldPosition="0">
        <references count="1">
          <reference field="0" count="2">
            <x v="180"/>
            <x v="333"/>
          </reference>
        </references>
      </pivotArea>
    </format>
    <format dxfId="1363">
      <pivotArea dataOnly="0" labelOnly="1" outline="0" fieldPosition="0">
        <references count="1">
          <reference field="0" count="6">
            <x v="180"/>
            <x v="310"/>
            <x v="327"/>
            <x v="333"/>
            <x v="379"/>
            <x v="397"/>
          </reference>
        </references>
      </pivotArea>
    </format>
    <format dxfId="1362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1361">
      <pivotArea outline="0" fieldPosition="0">
        <references count="2">
          <reference field="4294967294" count="1" selected="0">
            <x v="0"/>
          </reference>
          <reference field="0" count="1" selected="0">
            <x v="180"/>
          </reference>
        </references>
      </pivotArea>
    </format>
    <format dxfId="1360">
      <pivotArea outline="0" fieldPosition="0">
        <references count="2">
          <reference field="4294967294" count="1" selected="0">
            <x v="0"/>
          </reference>
          <reference field="0" count="1" selected="0">
            <x v="310"/>
          </reference>
        </references>
      </pivotArea>
    </format>
    <format dxfId="1359">
      <pivotArea outline="0" fieldPosition="0">
        <references count="2">
          <reference field="4294967294" count="1" selected="0">
            <x v="0"/>
          </reference>
          <reference field="0" count="1" selected="0">
            <x v="327"/>
          </reference>
        </references>
      </pivotArea>
    </format>
    <format dxfId="1358">
      <pivotArea outline="0" fieldPosition="0">
        <references count="2">
          <reference field="4294967294" count="1" selected="0">
            <x v="0"/>
          </reference>
          <reference field="0" count="1" selected="0">
            <x v="333"/>
          </reference>
        </references>
      </pivotArea>
    </format>
    <format dxfId="1357">
      <pivotArea outline="0" fieldPosition="0">
        <references count="2">
          <reference field="4294967294" count="1" selected="0">
            <x v="0"/>
          </reference>
          <reference field="0" count="1" selected="0">
            <x v="379"/>
          </reference>
        </references>
      </pivotArea>
    </format>
    <format dxfId="1356">
      <pivotArea outline="0" fieldPosition="0">
        <references count="2">
          <reference field="4294967294" count="1" selected="0">
            <x v="0"/>
          </reference>
          <reference field="0" count="1" selected="0">
            <x v="397"/>
          </reference>
        </references>
      </pivotArea>
    </format>
    <format dxfId="1355">
      <pivotArea outline="0" fieldPosition="0">
        <references count="2">
          <reference field="4294967294" count="1" selected="0">
            <x v="0"/>
          </reference>
          <reference field="0" count="7" selected="0">
            <x v="20"/>
            <x v="180"/>
            <x v="310"/>
            <x v="327"/>
            <x v="333"/>
            <x v="379"/>
            <x v="397"/>
          </reference>
        </references>
      </pivotArea>
    </format>
    <format dxfId="1354">
      <pivotArea outline="0" fieldPosition="0">
        <references count="2">
          <reference field="4294967294" count="1" selected="0">
            <x v="0"/>
          </reference>
          <reference field="0" count="7" selected="0">
            <x v="20"/>
            <x v="180"/>
            <x v="310"/>
            <x v="327"/>
            <x v="333"/>
            <x v="379"/>
            <x v="397"/>
          </reference>
        </references>
      </pivotArea>
    </format>
    <format dxfId="1353">
      <pivotArea grandRow="1" outline="0" fieldPosition="0"/>
    </format>
    <format dxfId="1352">
      <pivotArea dataOnly="0" labelOnly="1" outline="0" fieldPosition="0">
        <references count="1">
          <reference field="0" count="0"/>
        </references>
      </pivotArea>
    </format>
    <format dxfId="1351">
      <pivotArea dataOnly="0" labelOnly="1" outline="0" fieldPosition="0">
        <references count="1">
          <reference field="0" count="5">
            <x v="20"/>
            <x v="180"/>
            <x v="310"/>
            <x v="327"/>
            <x v="333"/>
          </reference>
        </references>
      </pivotArea>
    </format>
    <format dxfId="1350">
      <pivotArea dataOnly="0" labelOnly="1" outline="0" fieldPosition="0">
        <references count="1">
          <reference field="0" count="3">
            <x v="345"/>
            <x v="379"/>
            <x v="397"/>
          </reference>
        </references>
      </pivotArea>
    </format>
    <format dxfId="1349">
      <pivotArea dataOnly="0" labelOnly="1" outline="0" fieldPosition="0">
        <references count="1">
          <reference field="0" count="5">
            <x v="20"/>
            <x v="180"/>
            <x v="310"/>
            <x v="327"/>
            <x v="333"/>
          </reference>
        </references>
      </pivotArea>
    </format>
    <format dxfId="1348">
      <pivotArea dataOnly="0" labelOnly="1" outline="0" fieldPosition="0">
        <references count="1">
          <reference field="0" count="5">
            <x v="20"/>
            <x v="180"/>
            <x v="310"/>
            <x v="327"/>
            <x v="333"/>
          </reference>
        </references>
      </pivotArea>
    </format>
    <format dxfId="1347">
      <pivotArea dataOnly="0" labelOnly="1" outline="0" fieldPosition="0">
        <references count="1">
          <reference field="0" count="5">
            <x v="20"/>
            <x v="180"/>
            <x v="310"/>
            <x v="327"/>
            <x v="333"/>
          </reference>
        </references>
      </pivotArea>
    </format>
    <format dxfId="1346">
      <pivotArea dataOnly="0" labelOnly="1" outline="0" fieldPosition="0">
        <references count="1">
          <reference field="0" count="5">
            <x v="20"/>
            <x v="180"/>
            <x v="310"/>
            <x v="327"/>
            <x v="333"/>
          </reference>
        </references>
      </pivotArea>
    </format>
    <format dxfId="1345">
      <pivotArea dataOnly="0" labelOnly="1" outline="0" fieldPosition="0">
        <references count="1">
          <reference field="0" count="5">
            <x v="20"/>
            <x v="180"/>
            <x v="310"/>
            <x v="327"/>
            <x v="333"/>
          </reference>
        </references>
      </pivotArea>
    </format>
    <format dxfId="1344">
      <pivotArea dataOnly="0" labelOnly="1" outline="0" fieldPosition="0">
        <references count="1">
          <reference field="0" count="5">
            <x v="20"/>
            <x v="180"/>
            <x v="310"/>
            <x v="327"/>
            <x v="333"/>
          </reference>
        </references>
      </pivotArea>
    </format>
    <format dxfId="1343">
      <pivotArea dataOnly="0" labelOnly="1" outline="0" fieldPosition="0">
        <references count="1">
          <reference field="0" count="5">
            <x v="20"/>
            <x v="180"/>
            <x v="310"/>
            <x v="327"/>
            <x v="333"/>
          </reference>
        </references>
      </pivotArea>
    </format>
    <format dxfId="1342">
      <pivotArea dataOnly="0" labelOnly="1" outline="0" fieldPosition="0">
        <references count="1">
          <reference field="0" count="3">
            <x v="20"/>
            <x v="180"/>
            <x v="310"/>
          </reference>
        </references>
      </pivotArea>
    </format>
    <format dxfId="1341">
      <pivotArea dataOnly="0" labelOnly="1" outline="0" fieldPosition="0">
        <references count="1">
          <reference field="0" count="4">
            <x v="327"/>
            <x v="333"/>
            <x v="379"/>
            <x v="397"/>
          </reference>
        </references>
      </pivotArea>
    </format>
    <format dxfId="1340">
      <pivotArea dataOnly="0" labelOnly="1" outline="0" fieldPosition="0">
        <references count="1">
          <reference field="0" count="4">
            <x v="20"/>
            <x v="180"/>
            <x v="310"/>
            <x v="327"/>
          </reference>
        </references>
      </pivotArea>
    </format>
    <format dxfId="1339">
      <pivotArea dataOnly="0" labelOnly="1" outline="0" fieldPosition="0">
        <references count="1">
          <reference field="0" count="5">
            <x v="20"/>
            <x v="180"/>
            <x v="310"/>
            <x v="327"/>
            <x v="333"/>
          </reference>
        </references>
      </pivotArea>
    </format>
    <format dxfId="1338">
      <pivotArea dataOnly="0" labelOnly="1" outline="0" fieldPosition="0">
        <references count="1">
          <reference field="0" count="5">
            <x v="20"/>
            <x v="180"/>
            <x v="310"/>
            <x v="327"/>
            <x v="333"/>
          </reference>
        </references>
      </pivotArea>
    </format>
    <format dxfId="1337">
      <pivotArea dataOnly="0" labelOnly="1" outline="0" fieldPosition="0">
        <references count="1">
          <reference field="0" count="5">
            <x v="20"/>
            <x v="180"/>
            <x v="310"/>
            <x v="327"/>
            <x v="333"/>
          </reference>
        </references>
      </pivotArea>
    </format>
    <format dxfId="1336">
      <pivotArea dataOnly="0" labelOnly="1" outline="0" fieldPosition="0">
        <references count="1">
          <reference field="0" count="6">
            <x v="20"/>
            <x v="180"/>
            <x v="310"/>
            <x v="327"/>
            <x v="333"/>
            <x v="379"/>
          </reference>
        </references>
      </pivotArea>
    </format>
    <format dxfId="1335">
      <pivotArea dataOnly="0" labelOnly="1" outline="0" fieldPosition="0">
        <references count="1">
          <reference field="0" count="5">
            <x v="20"/>
            <x v="180"/>
            <x v="310"/>
            <x v="327"/>
            <x v="333"/>
          </reference>
        </references>
      </pivotArea>
    </format>
    <format dxfId="1334">
      <pivotArea dataOnly="0" labelOnly="1" outline="0" fieldPosition="0">
        <references count="1">
          <reference field="0" count="6">
            <x v="20"/>
            <x v="180"/>
            <x v="310"/>
            <x v="327"/>
            <x v="333"/>
            <x v="379"/>
          </reference>
        </references>
      </pivotArea>
    </format>
    <format dxfId="1333">
      <pivotArea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format>
    <format dxfId="1332">
      <pivotArea outline="0" fieldPosition="0">
        <references count="2">
          <reference field="4294967294" count="1" selected="0">
            <x v="0"/>
          </reference>
          <reference field="0" count="1" selected="0">
            <x v="180"/>
          </reference>
        </references>
      </pivotArea>
    </format>
    <format dxfId="1331">
      <pivotArea outline="0" fieldPosition="0">
        <references count="2">
          <reference field="4294967294" count="1" selected="0">
            <x v="0"/>
          </reference>
          <reference field="0" count="2" selected="0">
            <x v="327"/>
            <x v="333"/>
          </reference>
        </references>
      </pivotArea>
    </format>
    <format dxfId="1330">
      <pivotArea outline="0" fieldPosition="0">
        <references count="2">
          <reference field="4294967294" count="1" selected="0">
            <x v="0"/>
          </reference>
          <reference field="0" count="0" selected="0"/>
        </references>
      </pivotArea>
    </format>
    <format dxfId="1329">
      <pivotArea outline="0" fieldPosition="0">
        <references count="2">
          <reference field="4294967294" count="1" selected="0">
            <x v="0"/>
          </reference>
          <reference field="0" count="0" selected="0"/>
        </references>
      </pivotArea>
    </format>
    <format dxfId="1328">
      <pivotArea dataOnly="0" labelOnly="1" outline="0" fieldPosition="0">
        <references count="1">
          <reference field="0" count="7">
            <x v="20"/>
            <x v="180"/>
            <x v="310"/>
            <x v="327"/>
            <x v="333"/>
            <x v="379"/>
            <x v="397"/>
          </reference>
        </references>
      </pivotArea>
    </format>
    <format dxfId="1327">
      <pivotArea dataOnly="0" labelOnly="1" outline="0" fieldPosition="0">
        <references count="1">
          <reference field="0" count="6">
            <x v="20"/>
            <x v="180"/>
            <x v="310"/>
            <x v="327"/>
            <x v="333"/>
            <x v="379"/>
          </reference>
        </references>
      </pivotArea>
    </format>
    <format dxfId="1326">
      <pivotArea dataOnly="0" labelOnly="1" outline="0" fieldPosition="0">
        <references count="1">
          <reference field="0" count="6">
            <x v="20"/>
            <x v="180"/>
            <x v="310"/>
            <x v="327"/>
            <x v="333"/>
            <x v="379"/>
          </reference>
        </references>
      </pivotArea>
    </format>
    <format dxfId="1325">
      <pivotArea dataOnly="0" labelOnly="1" outline="0" fieldPosition="0">
        <references count="1">
          <reference field="0" count="7">
            <x v="20"/>
            <x v="180"/>
            <x v="310"/>
            <x v="327"/>
            <x v="333"/>
            <x v="345"/>
            <x v="379"/>
          </reference>
        </references>
      </pivotArea>
    </format>
    <format dxfId="1324">
      <pivotArea dataOnly="0" labelOnly="1" outline="0" fieldPosition="0">
        <references count="1">
          <reference field="0" count="7">
            <x v="20"/>
            <x v="180"/>
            <x v="310"/>
            <x v="327"/>
            <x v="333"/>
            <x v="345"/>
            <x v="379"/>
          </reference>
        </references>
      </pivotArea>
    </format>
    <format dxfId="1323">
      <pivotArea dataOnly="0" labelOnly="1" outline="0" fieldPosition="0">
        <references count="1">
          <reference field="0" count="8">
            <x v="20"/>
            <x v="180"/>
            <x v="310"/>
            <x v="327"/>
            <x v="333"/>
            <x v="345"/>
            <x v="379"/>
            <x v="397"/>
          </reference>
        </references>
      </pivotArea>
    </format>
    <format dxfId="1322">
      <pivotArea dataOnly="0" labelOnly="1" outline="0" fieldPosition="0">
        <references count="1">
          <reference field="0" count="6">
            <x v="20"/>
            <x v="180"/>
            <x v="310"/>
            <x v="327"/>
            <x v="333"/>
            <x v="379"/>
          </reference>
        </references>
      </pivotArea>
    </format>
    <format dxfId="1321">
      <pivotArea dataOnly="0" labelOnly="1" outline="0" fieldPosition="0">
        <references count="1">
          <reference field="0" count="6">
            <x v="20"/>
            <x v="180"/>
            <x v="310"/>
            <x v="327"/>
            <x v="333"/>
            <x v="379"/>
          </reference>
        </references>
      </pivotArea>
    </format>
    <format dxfId="1320">
      <pivotArea dataOnly="0" labelOnly="1" outline="0" fieldPosition="0">
        <references count="1">
          <reference field="0" count="6">
            <x v="20"/>
            <x v="180"/>
            <x v="310"/>
            <x v="327"/>
            <x v="333"/>
            <x v="379"/>
          </reference>
        </references>
      </pivotArea>
    </format>
    <format dxfId="1319">
      <pivotArea dataOnly="0" labelOnly="1" outline="0" fieldPosition="0">
        <references count="1">
          <reference field="0" count="5">
            <x v="20"/>
            <x v="180"/>
            <x v="310"/>
            <x v="327"/>
            <x v="333"/>
          </reference>
        </references>
      </pivotArea>
    </format>
    <format dxfId="1318">
      <pivotArea dataOnly="0" labelOnly="1" outline="0" fieldPosition="0">
        <references count="1">
          <reference field="0" count="6">
            <x v="20"/>
            <x v="180"/>
            <x v="310"/>
            <x v="327"/>
            <x v="333"/>
            <x v="379"/>
          </reference>
        </references>
      </pivotArea>
    </format>
    <format dxfId="1317">
      <pivotArea outline="0" fieldPosition="0">
        <references count="2">
          <reference field="4294967294" count="1" selected="0">
            <x v="0"/>
          </reference>
          <reference field="0" count="0" selected="0"/>
        </references>
      </pivotArea>
    </format>
    <format dxfId="1316">
      <pivotArea dataOnly="0" labelOnly="1" outline="0" fieldPosition="0">
        <references count="1">
          <reference field="0" count="6">
            <x v="20"/>
            <x v="180"/>
            <x v="310"/>
            <x v="327"/>
            <x v="333"/>
            <x v="379"/>
          </reference>
        </references>
      </pivotArea>
    </format>
    <format dxfId="1315">
      <pivotArea dataOnly="0" labelOnly="1" outline="0" fieldPosition="0">
        <references count="1">
          <reference field="0" count="0"/>
        </references>
      </pivotArea>
    </format>
    <format dxfId="1314">
      <pivotArea dataOnly="0" labelOnly="1" outline="0" fieldPosition="0">
        <references count="1">
          <reference field="0" count="15">
            <x v="16"/>
            <x v="18"/>
            <x v="50"/>
            <x v="53"/>
            <x v="68"/>
            <x v="77"/>
            <x v="90"/>
            <x v="110"/>
            <x v="113"/>
            <x v="115"/>
            <x v="126"/>
            <x v="127"/>
            <x v="140"/>
            <x v="143"/>
            <x v="158"/>
          </reference>
        </references>
      </pivotArea>
    </format>
    <format dxfId="1313">
      <pivotArea dataOnly="0" labelOnly="1" outline="0" fieldPosition="0">
        <references count="1">
          <reference field="0" count="9">
            <x v="221"/>
            <x v="225"/>
            <x v="229"/>
            <x v="265"/>
            <x v="269"/>
            <x v="274"/>
            <x v="331"/>
            <x v="333"/>
            <x v="341"/>
          </reference>
        </references>
      </pivotArea>
    </format>
    <format dxfId="1312">
      <pivotArea dataOnly="0" labelOnly="1" outline="0" fieldPosition="0">
        <references count="1">
          <reference field="0" count="9">
            <x v="360"/>
            <x v="368"/>
            <x v="411"/>
            <x v="439"/>
            <x v="448"/>
            <x v="453"/>
            <x v="458"/>
            <x v="462"/>
            <x v="466"/>
          </reference>
        </references>
      </pivotArea>
    </format>
    <format dxfId="1311">
      <pivotArea dataOnly="0" labelOnly="1" outline="0" fieldPosition="0">
        <references count="1">
          <reference field="0" count="13">
            <x v="6"/>
            <x v="16"/>
            <x v="50"/>
            <x v="53"/>
            <x v="68"/>
            <x v="77"/>
            <x v="90"/>
            <x v="110"/>
            <x v="113"/>
            <x v="115"/>
            <x v="126"/>
            <x v="127"/>
            <x v="135"/>
          </reference>
        </references>
      </pivotArea>
    </format>
    <format dxfId="1310">
      <pivotArea dataOnly="0" labelOnly="1" outline="0" fieldPosition="0">
        <references count="1">
          <reference field="0" count="7">
            <x v="140"/>
            <x v="143"/>
            <x v="158"/>
            <x v="176"/>
            <x v="221"/>
            <x v="227"/>
            <x v="265"/>
          </reference>
        </references>
      </pivotArea>
    </format>
    <format dxfId="1309">
      <pivotArea dataOnly="0" labelOnly="1" outline="0" fieldPosition="0">
        <references count="1">
          <reference field="0" count="9">
            <x v="269"/>
            <x v="274"/>
            <x v="331"/>
            <x v="333"/>
            <x v="341"/>
            <x v="343"/>
            <x v="345"/>
            <x v="360"/>
            <x v="368"/>
          </reference>
        </references>
      </pivotArea>
    </format>
    <format dxfId="1308">
      <pivotArea dataOnly="0" labelOnly="1" outline="0" fieldPosition="0">
        <references count="1">
          <reference field="0" count="17">
            <x v="16"/>
            <x v="18"/>
            <x v="20"/>
            <x v="50"/>
            <x v="53"/>
            <x v="68"/>
            <x v="77"/>
            <x v="90"/>
            <x v="95"/>
            <x v="110"/>
            <x v="113"/>
            <x v="115"/>
            <x v="126"/>
            <x v="127"/>
            <x v="135"/>
            <x v="140"/>
            <x v="143"/>
          </reference>
        </references>
      </pivotArea>
    </format>
    <format dxfId="1307">
      <pivotArea dataOnly="0" labelOnly="1" outline="0" fieldPosition="0">
        <references count="1">
          <reference field="0" count="12">
            <x v="158"/>
            <x v="176"/>
            <x v="180"/>
            <x v="203"/>
            <x v="221"/>
            <x v="225"/>
            <x v="227"/>
            <x v="229"/>
            <x v="261"/>
            <x v="265"/>
            <x v="269"/>
            <x v="274"/>
          </reference>
        </references>
      </pivotArea>
    </format>
    <format dxfId="1306">
      <pivotArea dataOnly="0" labelOnly="1" outline="0" fieldPosition="0">
        <references count="1">
          <reference field="0" count="13">
            <x v="331"/>
            <x v="333"/>
            <x v="341"/>
            <x v="343"/>
            <x v="345"/>
            <x v="360"/>
            <x v="411"/>
            <x v="439"/>
            <x v="448"/>
            <x v="453"/>
            <x v="458"/>
            <x v="462"/>
            <x v="466"/>
          </reference>
        </references>
      </pivotArea>
    </format>
    <format dxfId="1305">
      <pivotArea dataOnly="0" labelOnly="1" outline="0" fieldPosition="0">
        <references count="1">
          <reference field="0" count="13">
            <x v="16"/>
            <x v="50"/>
            <x v="53"/>
            <x v="68"/>
            <x v="77"/>
            <x v="90"/>
            <x v="105"/>
            <x v="110"/>
            <x v="113"/>
            <x v="115"/>
            <x v="126"/>
            <x v="127"/>
            <x v="135"/>
          </reference>
        </references>
      </pivotArea>
    </format>
    <format dxfId="1304">
      <pivotArea dataOnly="0" labelOnly="1" outline="0" fieldPosition="0">
        <references count="1">
          <reference field="0" count="11">
            <x v="140"/>
            <x v="143"/>
            <x v="158"/>
            <x v="176"/>
            <x v="203"/>
            <x v="221"/>
            <x v="227"/>
            <x v="229"/>
            <x v="265"/>
            <x v="269"/>
            <x v="274"/>
          </reference>
        </references>
      </pivotArea>
    </format>
    <format dxfId="1303">
      <pivotArea dataOnly="0" labelOnly="1" outline="0" fieldPosition="0">
        <references count="1">
          <reference field="0" count="13">
            <x v="331"/>
            <x v="333"/>
            <x v="341"/>
            <x v="343"/>
            <x v="345"/>
            <x v="360"/>
            <x v="368"/>
            <x v="439"/>
            <x v="448"/>
            <x v="453"/>
            <x v="458"/>
            <x v="462"/>
            <x v="466"/>
          </reference>
        </references>
      </pivotArea>
    </format>
    <format dxfId="1302">
      <pivotArea dataOnly="0" labelOnly="1" outline="0" fieldPosition="0">
        <references count="1">
          <reference field="0" count="15">
            <x v="16"/>
            <x v="50"/>
            <x v="53"/>
            <x v="68"/>
            <x v="77"/>
            <x v="90"/>
            <x v="105"/>
            <x v="110"/>
            <x v="113"/>
            <x v="115"/>
            <x v="126"/>
            <x v="127"/>
            <x v="135"/>
            <x v="140"/>
            <x v="143"/>
          </reference>
        </references>
      </pivotArea>
    </format>
    <format dxfId="1301">
      <pivotArea dataOnly="0" labelOnly="1" outline="0" fieldPosition="0">
        <references count="1">
          <reference field="0" count="8">
            <x v="158"/>
            <x v="176"/>
            <x v="203"/>
            <x v="221"/>
            <x v="227"/>
            <x v="265"/>
            <x v="269"/>
            <x v="274"/>
          </reference>
        </references>
      </pivotArea>
    </format>
    <format dxfId="1300">
      <pivotArea dataOnly="0" labelOnly="1" outline="0" fieldPosition="0">
        <references count="1">
          <reference field="0" count="13">
            <x v="331"/>
            <x v="333"/>
            <x v="341"/>
            <x v="343"/>
            <x v="345"/>
            <x v="360"/>
            <x v="368"/>
            <x v="439"/>
            <x v="448"/>
            <x v="453"/>
            <x v="458"/>
            <x v="462"/>
            <x v="466"/>
          </reference>
        </references>
      </pivotArea>
    </format>
    <format dxfId="1299">
      <pivotArea dataOnly="0" labelOnly="1" outline="0" fieldPosition="0">
        <references count="1">
          <reference field="0" count="15">
            <x v="16"/>
            <x v="50"/>
            <x v="53"/>
            <x v="68"/>
            <x v="77"/>
            <x v="90"/>
            <x v="105"/>
            <x v="110"/>
            <x v="113"/>
            <x v="115"/>
            <x v="126"/>
            <x v="127"/>
            <x v="135"/>
            <x v="140"/>
            <x v="143"/>
          </reference>
        </references>
      </pivotArea>
    </format>
    <format dxfId="1298">
      <pivotArea dataOnly="0" labelOnly="1" outline="0" fieldPosition="0">
        <references count="1">
          <reference field="0" count="9">
            <x v="158"/>
            <x v="176"/>
            <x v="203"/>
            <x v="221"/>
            <x v="227"/>
            <x v="252"/>
            <x v="265"/>
            <x v="269"/>
            <x v="274"/>
          </reference>
        </references>
      </pivotArea>
    </format>
    <format dxfId="1297">
      <pivotArea dataOnly="0" labelOnly="1" outline="0" fieldPosition="0">
        <references count="1">
          <reference field="0" count="13">
            <x v="331"/>
            <x v="333"/>
            <x v="341"/>
            <x v="343"/>
            <x v="345"/>
            <x v="360"/>
            <x v="368"/>
            <x v="439"/>
            <x v="448"/>
            <x v="453"/>
            <x v="458"/>
            <x v="462"/>
            <x v="466"/>
          </reference>
        </references>
      </pivotArea>
    </format>
    <format dxfId="1296">
      <pivotArea dataOnly="0" labelOnly="1" outline="0" fieldPosition="0">
        <references count="1">
          <reference field="0" count="13">
            <x v="16"/>
            <x v="50"/>
            <x v="53"/>
            <x v="68"/>
            <x v="77"/>
            <x v="90"/>
            <x v="105"/>
            <x v="110"/>
            <x v="113"/>
            <x v="115"/>
            <x v="126"/>
            <x v="127"/>
            <x v="135"/>
          </reference>
        </references>
      </pivotArea>
    </format>
    <format dxfId="1295">
      <pivotArea dataOnly="0" labelOnly="1" outline="0" fieldPosition="0">
        <references count="1">
          <reference field="0" count="12">
            <x v="140"/>
            <x v="143"/>
            <x v="158"/>
            <x v="176"/>
            <x v="203"/>
            <x v="225"/>
            <x v="227"/>
            <x v="252"/>
            <x v="265"/>
            <x v="266"/>
            <x v="269"/>
            <x v="274"/>
          </reference>
        </references>
      </pivotArea>
    </format>
    <format dxfId="1294">
      <pivotArea dataOnly="0" labelOnly="1" outline="0" fieldPosition="0">
        <references count="1">
          <reference field="0" count="12">
            <x v="331"/>
            <x v="333"/>
            <x v="341"/>
            <x v="343"/>
            <x v="345"/>
            <x v="360"/>
            <x v="368"/>
            <x v="411"/>
            <x v="439"/>
            <x v="448"/>
            <x v="453"/>
            <x v="466"/>
          </reference>
        </references>
      </pivotArea>
    </format>
    <format dxfId="1293">
      <pivotArea dataOnly="0" labelOnly="1" outline="0" fieldPosition="0">
        <references count="1">
          <reference field="0" count="12">
            <x v="16"/>
            <x v="50"/>
            <x v="53"/>
            <x v="68"/>
            <x v="77"/>
            <x v="90"/>
            <x v="105"/>
            <x v="110"/>
            <x v="113"/>
            <x v="115"/>
            <x v="126"/>
            <x v="127"/>
          </reference>
        </references>
      </pivotArea>
    </format>
    <format dxfId="1292">
      <pivotArea dataOnly="0" labelOnly="1" outline="0" fieldPosition="0">
        <references count="1">
          <reference field="0" count="17">
            <x v="140"/>
            <x v="143"/>
            <x v="158"/>
            <x v="163"/>
            <x v="176"/>
            <x v="203"/>
            <x v="215"/>
            <x v="221"/>
            <x v="225"/>
            <x v="227"/>
            <x v="252"/>
            <x v="261"/>
            <x v="265"/>
            <x v="266"/>
            <x v="269"/>
            <x v="272"/>
            <x v="274"/>
          </reference>
        </references>
      </pivotArea>
    </format>
    <format dxfId="1291">
      <pivotArea dataOnly="0" labelOnly="1" outline="0" fieldPosition="0">
        <references count="1">
          <reference field="0" count="11">
            <x v="331"/>
            <x v="333"/>
            <x v="341"/>
            <x v="343"/>
            <x v="345"/>
            <x v="360"/>
            <x v="368"/>
            <x v="411"/>
            <x v="439"/>
            <x v="448"/>
            <x v="453"/>
          </reference>
        </references>
      </pivotArea>
    </format>
    <format dxfId="1290">
      <pivotArea outline="0" fieldPosition="0">
        <references count="2">
          <reference field="4294967294" count="1" selected="0">
            <x v="0"/>
          </reference>
          <reference field="0" count="0" selected="0"/>
        </references>
      </pivotArea>
    </format>
    <format dxfId="1289">
      <pivotArea dataOnly="0" labelOnly="1" outline="0" fieldPosition="0">
        <references count="1">
          <reference field="0" count="14">
            <x v="16"/>
            <x v="50"/>
            <x v="53"/>
            <x v="68"/>
            <x v="77"/>
            <x v="90"/>
            <x v="105"/>
            <x v="110"/>
            <x v="113"/>
            <x v="115"/>
            <x v="126"/>
            <x v="127"/>
            <x v="140"/>
            <x v="143"/>
          </reference>
        </references>
      </pivotArea>
    </format>
    <format dxfId="1288">
      <pivotArea dataOnly="0" labelOnly="1" outline="0" fieldPosition="0">
        <references count="1">
          <reference field="0" count="15">
            <x v="158"/>
            <x v="163"/>
            <x v="176"/>
            <x v="203"/>
            <x v="215"/>
            <x v="221"/>
            <x v="225"/>
            <x v="227"/>
            <x v="252"/>
            <x v="261"/>
            <x v="265"/>
            <x v="266"/>
            <x v="269"/>
            <x v="272"/>
            <x v="274"/>
          </reference>
        </references>
      </pivotArea>
    </format>
    <format dxfId="1287">
      <pivotArea dataOnly="0" labelOnly="1" outline="0" fieldPosition="0">
        <references count="1">
          <reference field="0" count="14">
            <x v="331"/>
            <x v="333"/>
            <x v="341"/>
            <x v="343"/>
            <x v="345"/>
            <x v="360"/>
            <x v="368"/>
            <x v="411"/>
            <x v="439"/>
            <x v="448"/>
            <x v="453"/>
            <x v="458"/>
            <x v="462"/>
            <x v="466"/>
          </reference>
        </references>
      </pivotArea>
    </format>
    <format dxfId="1286">
      <pivotArea dataOnly="0" labelOnly="1" outline="0" fieldPosition="0">
        <references count="1">
          <reference field="0" count="17">
            <x v="16"/>
            <x v="50"/>
            <x v="53"/>
            <x v="57"/>
            <x v="68"/>
            <x v="77"/>
            <x v="90"/>
            <x v="105"/>
            <x v="110"/>
            <x v="113"/>
            <x v="115"/>
            <x v="126"/>
            <x v="127"/>
            <x v="140"/>
            <x v="143"/>
            <x v="158"/>
            <x v="163"/>
          </reference>
        </references>
      </pivotArea>
    </format>
    <format dxfId="1285">
      <pivotArea dataOnly="0" labelOnly="1" outline="0" fieldPosition="0">
        <references count="1">
          <reference field="0" count="14">
            <x v="176"/>
            <x v="203"/>
            <x v="204"/>
            <x v="215"/>
            <x v="221"/>
            <x v="227"/>
            <x v="252"/>
            <x v="261"/>
            <x v="265"/>
            <x v="266"/>
            <x v="269"/>
            <x v="270"/>
            <x v="272"/>
            <x v="274"/>
          </reference>
        </references>
      </pivotArea>
    </format>
    <format dxfId="1284">
      <pivotArea dataOnly="0" labelOnly="1" outline="0" fieldPosition="0">
        <references count="1">
          <reference field="0" count="14">
            <x v="331"/>
            <x v="333"/>
            <x v="341"/>
            <x v="343"/>
            <x v="345"/>
            <x v="360"/>
            <x v="368"/>
            <x v="411"/>
            <x v="439"/>
            <x v="448"/>
            <x v="453"/>
            <x v="458"/>
            <x v="462"/>
            <x v="466"/>
          </reference>
        </references>
      </pivotArea>
    </format>
    <format dxfId="1283">
      <pivotArea dataOnly="0" labelOnly="1" outline="0" fieldPosition="0">
        <references count="1">
          <reference field="0" count="1">
            <x v="113"/>
          </reference>
        </references>
      </pivotArea>
    </format>
    <format dxfId="1282">
      <pivotArea dataOnly="0" labelOnly="1" outline="0" fieldPosition="0">
        <references count="1">
          <reference field="0" count="23">
            <x v="16"/>
            <x v="18"/>
            <x v="20"/>
            <x v="45"/>
            <x v="50"/>
            <x v="53"/>
            <x v="57"/>
            <x v="68"/>
            <x v="77"/>
            <x v="90"/>
            <x v="95"/>
            <x v="105"/>
            <x v="110"/>
            <x v="113"/>
            <x v="115"/>
            <x v="126"/>
            <x v="127"/>
            <x v="135"/>
            <x v="140"/>
            <x v="143"/>
            <x v="157"/>
            <x v="158"/>
            <x v="163"/>
          </reference>
        </references>
      </pivotArea>
    </format>
    <format dxfId="1281">
      <pivotArea dataOnly="0" labelOnly="1" outline="0" fieldPosition="0">
        <references count="1">
          <reference field="0" count="17">
            <x v="176"/>
            <x v="180"/>
            <x v="203"/>
            <x v="204"/>
            <x v="215"/>
            <x v="221"/>
            <x v="227"/>
            <x v="229"/>
            <x v="252"/>
            <x v="261"/>
            <x v="265"/>
            <x v="266"/>
            <x v="269"/>
            <x v="270"/>
            <x v="272"/>
            <x v="274"/>
            <x v="316"/>
          </reference>
        </references>
      </pivotArea>
    </format>
    <format dxfId="1280">
      <pivotArea dataOnly="0" labelOnly="1" outline="0" fieldPosition="0">
        <references count="1">
          <reference field="0" count="13">
            <x v="331"/>
            <x v="333"/>
            <x v="341"/>
            <x v="343"/>
            <x v="345"/>
            <x v="360"/>
            <x v="411"/>
            <x v="439"/>
            <x v="448"/>
            <x v="453"/>
            <x v="458"/>
            <x v="462"/>
            <x v="466"/>
          </reference>
        </references>
      </pivotArea>
    </format>
    <format dxfId="1279">
      <pivotArea dataOnly="0" labelOnly="1" outline="0" fieldPosition="0">
        <references count="1">
          <reference field="0" count="2">
            <x v="18"/>
            <x v="20"/>
          </reference>
        </references>
      </pivotArea>
    </format>
    <format dxfId="1278">
      <pivotArea dataOnly="0" labelOnly="1" outline="0" fieldPosition="0">
        <references count="1">
          <reference field="0" count="1">
            <x v="45"/>
          </reference>
        </references>
      </pivotArea>
    </format>
    <format dxfId="1277">
      <pivotArea dataOnly="0" labelOnly="1" outline="0" fieldPosition="0">
        <references count="1">
          <reference field="0" count="1">
            <x v="180"/>
          </reference>
        </references>
      </pivotArea>
    </format>
    <format dxfId="1276">
      <pivotArea dataOnly="0" labelOnly="1" outline="0" fieldPosition="0">
        <references count="1">
          <reference field="0" count="1">
            <x v="229"/>
          </reference>
        </references>
      </pivotArea>
    </format>
    <format dxfId="1275">
      <pivotArea dataOnly="0" labelOnly="1" outline="0" fieldPosition="0">
        <references count="1">
          <reference field="0" count="1">
            <x v="95"/>
          </reference>
        </references>
      </pivotArea>
    </format>
    <format dxfId="1274">
      <pivotArea dataOnly="0" labelOnly="1" outline="0" fieldPosition="0">
        <references count="1">
          <reference field="0" count="22">
            <x v="16"/>
            <x v="18"/>
            <x v="20"/>
            <x v="50"/>
            <x v="53"/>
            <x v="57"/>
            <x v="68"/>
            <x v="77"/>
            <x v="90"/>
            <x v="95"/>
            <x v="102"/>
            <x v="105"/>
            <x v="110"/>
            <x v="113"/>
            <x v="115"/>
            <x v="126"/>
            <x v="127"/>
            <x v="135"/>
            <x v="140"/>
            <x v="143"/>
            <x v="155"/>
            <x v="157"/>
          </reference>
        </references>
      </pivotArea>
    </format>
    <format dxfId="1273">
      <pivotArea dataOnly="0" labelOnly="1" outline="0" fieldPosition="0">
        <references count="1">
          <reference field="0" count="19">
            <x v="158"/>
            <x v="163"/>
            <x v="176"/>
            <x v="180"/>
            <x v="203"/>
            <x v="204"/>
            <x v="215"/>
            <x v="221"/>
            <x v="225"/>
            <x v="227"/>
            <x v="229"/>
            <x v="237"/>
            <x v="252"/>
            <x v="265"/>
            <x v="266"/>
            <x v="269"/>
            <x v="270"/>
            <x v="274"/>
            <x v="316"/>
          </reference>
        </references>
      </pivotArea>
    </format>
    <format dxfId="1272">
      <pivotArea dataOnly="0" labelOnly="1" outline="0" fieldPosition="0">
        <references count="1">
          <reference field="0" count="22">
            <x v="16"/>
            <x v="18"/>
            <x v="20"/>
            <x v="45"/>
            <x v="50"/>
            <x v="53"/>
            <x v="57"/>
            <x v="68"/>
            <x v="77"/>
            <x v="90"/>
            <x v="95"/>
            <x v="102"/>
            <x v="105"/>
            <x v="110"/>
            <x v="113"/>
            <x v="115"/>
            <x v="126"/>
            <x v="127"/>
            <x v="135"/>
            <x v="140"/>
            <x v="143"/>
            <x v="155"/>
          </reference>
        </references>
      </pivotArea>
    </format>
    <format dxfId="1271">
      <pivotArea dataOnly="0" labelOnly="1" outline="0" fieldPosition="0">
        <references count="1">
          <reference field="0" count="20">
            <x v="157"/>
            <x v="158"/>
            <x v="163"/>
            <x v="176"/>
            <x v="180"/>
            <x v="203"/>
            <x v="204"/>
            <x v="215"/>
            <x v="221"/>
            <x v="225"/>
            <x v="227"/>
            <x v="229"/>
            <x v="237"/>
            <x v="252"/>
            <x v="265"/>
            <x v="266"/>
            <x v="269"/>
            <x v="270"/>
            <x v="274"/>
            <x v="316"/>
          </reference>
        </references>
      </pivotArea>
    </format>
    <format dxfId="1270">
      <pivotArea dataOnly="0" labelOnly="1" outline="0" fieldPosition="0">
        <references count="1">
          <reference field="0" count="14">
            <x v="329"/>
            <x v="331"/>
            <x v="333"/>
            <x v="341"/>
            <x v="343"/>
            <x v="345"/>
            <x v="360"/>
            <x v="411"/>
            <x v="439"/>
            <x v="448"/>
            <x v="453"/>
            <x v="458"/>
            <x v="462"/>
            <x v="466"/>
          </reference>
        </references>
      </pivotArea>
    </format>
    <format dxfId="1269">
      <pivotArea outline="0" fieldPosition="0">
        <references count="2">
          <reference field="4294967294" count="1" selected="0">
            <x v="1"/>
          </reference>
          <reference field="0" count="1" selected="0">
            <x v="341"/>
          </reference>
        </references>
      </pivotArea>
    </format>
    <format dxfId="1268">
      <pivotArea dataOnly="0" labelOnly="1" outline="0" fieldPosition="0">
        <references count="1">
          <reference field="0" count="1">
            <x v="135"/>
          </reference>
        </references>
      </pivotArea>
    </format>
    <format dxfId="1267">
      <pivotArea dataOnly="0" labelOnly="1" outline="0" fieldPosition="0">
        <references count="1">
          <reference field="0" count="1">
            <x v="176"/>
          </reference>
        </references>
      </pivotArea>
    </format>
    <format dxfId="1266">
      <pivotArea dataOnly="0" labelOnly="1" outline="0" fieldPosition="0">
        <references count="1">
          <reference field="0" count="1">
            <x v="77"/>
          </reference>
        </references>
      </pivotArea>
    </format>
    <format dxfId="1265">
      <pivotArea dataOnly="0" labelOnly="1" outline="0" fieldPosition="0">
        <references count="1">
          <reference field="0" count="1">
            <x v="158"/>
          </reference>
        </references>
      </pivotArea>
    </format>
    <format dxfId="1264">
      <pivotArea dataOnly="0" labelOnly="1" outline="0" fieldPosition="0">
        <references count="1">
          <reference field="0" count="1">
            <x v="269"/>
          </reference>
        </references>
      </pivotArea>
    </format>
    <format dxfId="1263">
      <pivotArea dataOnly="0" labelOnly="1" outline="0" fieldPosition="0">
        <references count="1">
          <reference field="0" count="0"/>
        </references>
      </pivotArea>
    </format>
    <format dxfId="1262">
      <pivotArea dataOnly="0" labelOnly="1" outline="0" fieldPosition="0">
        <references count="1">
          <reference field="0" count="22">
            <x v="6"/>
            <x v="7"/>
            <x v="16"/>
            <x v="18"/>
            <x v="20"/>
            <x v="45"/>
            <x v="50"/>
            <x v="53"/>
            <x v="57"/>
            <x v="68"/>
            <x v="77"/>
            <x v="90"/>
            <x v="95"/>
            <x v="102"/>
            <x v="105"/>
            <x v="110"/>
            <x v="113"/>
            <x v="115"/>
            <x v="126"/>
            <x v="127"/>
            <x v="135"/>
            <x v="140"/>
          </reference>
        </references>
      </pivotArea>
    </format>
    <format dxfId="1261">
      <pivotArea dataOnly="0" labelOnly="1" outline="0" fieldPosition="0">
        <references count="1">
          <reference field="0" count="24">
            <x v="143"/>
            <x v="155"/>
            <x v="157"/>
            <x v="158"/>
            <x v="163"/>
            <x v="176"/>
            <x v="180"/>
            <x v="203"/>
            <x v="204"/>
            <x v="215"/>
            <x v="221"/>
            <x v="225"/>
            <x v="227"/>
            <x v="229"/>
            <x v="237"/>
            <x v="252"/>
            <x v="261"/>
            <x v="265"/>
            <x v="266"/>
            <x v="269"/>
            <x v="270"/>
            <x v="272"/>
            <x v="274"/>
            <x v="310"/>
          </reference>
        </references>
      </pivotArea>
    </format>
    <format dxfId="1260">
      <pivotArea dataOnly="0" labelOnly="1" outline="0" fieldPosition="0">
        <references count="1">
          <reference field="0" count="18">
            <x v="316"/>
            <x v="327"/>
            <x v="329"/>
            <x v="331"/>
            <x v="333"/>
            <x v="341"/>
            <x v="343"/>
            <x v="345"/>
            <x v="360"/>
            <x v="368"/>
            <x v="379"/>
            <x v="397"/>
            <x v="411"/>
            <x v="439"/>
            <x v="448"/>
            <x v="453"/>
            <x v="458"/>
            <x v="462"/>
          </reference>
        </references>
      </pivotArea>
    </format>
    <format dxfId="1259">
      <pivotArea dataOnly="0" labelOnly="1" outline="0" fieldPosition="0">
        <references count="1">
          <reference field="0" count="23">
            <x v="6"/>
            <x v="7"/>
            <x v="16"/>
            <x v="18"/>
            <x v="20"/>
            <x v="45"/>
            <x v="50"/>
            <x v="53"/>
            <x v="57"/>
            <x v="68"/>
            <x v="77"/>
            <x v="90"/>
            <x v="95"/>
            <x v="102"/>
            <x v="105"/>
            <x v="110"/>
            <x v="113"/>
            <x v="115"/>
            <x v="126"/>
            <x v="127"/>
            <x v="135"/>
            <x v="140"/>
            <x v="143"/>
          </reference>
        </references>
      </pivotArea>
    </format>
    <format dxfId="1258">
      <pivotArea dataOnly="0" labelOnly="1" outline="0" fieldPosition="0">
        <references count="1">
          <reference field="0" count="24">
            <x v="155"/>
            <x v="157"/>
            <x v="158"/>
            <x v="163"/>
            <x v="176"/>
            <x v="180"/>
            <x v="203"/>
            <x v="204"/>
            <x v="215"/>
            <x v="221"/>
            <x v="225"/>
            <x v="227"/>
            <x v="229"/>
            <x v="237"/>
            <x v="252"/>
            <x v="261"/>
            <x v="265"/>
            <x v="266"/>
            <x v="269"/>
            <x v="270"/>
            <x v="272"/>
            <x v="274"/>
            <x v="310"/>
            <x v="316"/>
          </reference>
        </references>
      </pivotArea>
    </format>
    <format dxfId="1257">
      <pivotArea dataOnly="0" labelOnly="1" outline="0" fieldPosition="0">
        <references count="1">
          <reference field="0" count="18">
            <x v="327"/>
            <x v="329"/>
            <x v="331"/>
            <x v="333"/>
            <x v="341"/>
            <x v="343"/>
            <x v="345"/>
            <x v="360"/>
            <x v="368"/>
            <x v="379"/>
            <x v="397"/>
            <x v="411"/>
            <x v="439"/>
            <x v="448"/>
            <x v="453"/>
            <x v="458"/>
            <x v="462"/>
            <x v="466"/>
          </reference>
        </references>
      </pivotArea>
    </format>
    <format dxfId="1256">
      <pivotArea dataOnly="0" labelOnly="1" outline="0" fieldPosition="0">
        <references count="1">
          <reference field="0" count="0"/>
        </references>
      </pivotArea>
    </format>
    <format dxfId="1255">
      <pivotArea dataOnly="0" labelOnly="1" outline="0" fieldPosition="0">
        <references count="1">
          <reference field="0" count="1">
            <x v="310"/>
          </reference>
        </references>
      </pivotArea>
    </format>
    <format dxfId="1254">
      <pivotArea dataOnly="0" labelOnly="1" outline="0" fieldPosition="0">
        <references count="1">
          <reference field="0" count="23">
            <x v="6"/>
            <x v="7"/>
            <x v="16"/>
            <x v="18"/>
            <x v="20"/>
            <x v="45"/>
            <x v="50"/>
            <x v="53"/>
            <x v="57"/>
            <x v="68"/>
            <x v="77"/>
            <x v="90"/>
            <x v="95"/>
            <x v="102"/>
            <x v="105"/>
            <x v="110"/>
            <x v="113"/>
            <x v="115"/>
            <x v="126"/>
            <x v="127"/>
            <x v="135"/>
            <x v="140"/>
            <x v="143"/>
          </reference>
        </references>
      </pivotArea>
    </format>
    <format dxfId="1253">
      <pivotArea dataOnly="0" labelOnly="1" outline="0" fieldPosition="0">
        <references count="1">
          <reference field="0" count="24">
            <x v="155"/>
            <x v="157"/>
            <x v="158"/>
            <x v="163"/>
            <x v="176"/>
            <x v="180"/>
            <x v="203"/>
            <x v="204"/>
            <x v="215"/>
            <x v="221"/>
            <x v="225"/>
            <x v="227"/>
            <x v="229"/>
            <x v="237"/>
            <x v="252"/>
            <x v="261"/>
            <x v="265"/>
            <x v="266"/>
            <x v="269"/>
            <x v="270"/>
            <x v="272"/>
            <x v="274"/>
            <x v="310"/>
            <x v="316"/>
          </reference>
        </references>
      </pivotArea>
    </format>
    <format dxfId="1252">
      <pivotArea dataOnly="0" labelOnly="1" outline="0" fieldPosition="0">
        <references count="1">
          <reference field="0" count="18">
            <x v="327"/>
            <x v="329"/>
            <x v="331"/>
            <x v="333"/>
            <x v="341"/>
            <x v="343"/>
            <x v="345"/>
            <x v="360"/>
            <x v="368"/>
            <x v="379"/>
            <x v="397"/>
            <x v="411"/>
            <x v="439"/>
            <x v="448"/>
            <x v="453"/>
            <x v="458"/>
            <x v="462"/>
            <x v="466"/>
          </reference>
        </references>
      </pivotArea>
    </format>
    <format dxfId="1251">
      <pivotArea outline="0" fieldPosition="0">
        <references count="2">
          <reference field="4294967294" count="1" selected="0">
            <x v="0"/>
          </reference>
          <reference field="0" count="1" selected="0">
            <x v="203"/>
          </reference>
        </references>
      </pivotArea>
    </format>
    <format dxfId="1250">
      <pivotArea dataOnly="0" labelOnly="1" outline="0" fieldPosition="0">
        <references count="1">
          <reference field="0" count="1">
            <x v="203"/>
          </reference>
        </references>
      </pivotArea>
    </format>
    <format dxfId="1249">
      <pivotArea outline="0" fieldPosition="0">
        <references count="1">
          <reference field="4294967294" count="7" selected="0">
            <x v="0"/>
            <x v="1"/>
            <x v="2"/>
            <x v="3"/>
            <x v="4"/>
            <x v="5"/>
            <x v="6"/>
          </reference>
        </references>
      </pivotArea>
    </format>
    <format dxfId="1248">
      <pivotArea field="0" grandRow="1" outline="0" axis="axisRow" fieldPosition="0">
        <references count="1">
          <reference field="4294967294" count="7" selected="0">
            <x v="0"/>
            <x v="1"/>
            <x v="2"/>
            <x v="3"/>
            <x v="4"/>
            <x v="5"/>
            <x v="6"/>
          </reference>
        </references>
      </pivotArea>
    </format>
    <format dxfId="1247">
      <pivotArea dataOnly="0" labelOnly="1" outline="0" fieldPosition="0">
        <references count="1">
          <reference field="0" count="23">
            <x v="6"/>
            <x v="7"/>
            <x v="16"/>
            <x v="18"/>
            <x v="20"/>
            <x v="45"/>
            <x v="50"/>
            <x v="53"/>
            <x v="57"/>
            <x v="68"/>
            <x v="77"/>
            <x v="90"/>
            <x v="95"/>
            <x v="102"/>
            <x v="105"/>
            <x v="110"/>
            <x v="113"/>
            <x v="115"/>
            <x v="126"/>
            <x v="127"/>
            <x v="135"/>
            <x v="140"/>
            <x v="143"/>
          </reference>
        </references>
      </pivotArea>
    </format>
    <format dxfId="1246">
      <pivotArea dataOnly="0" labelOnly="1" outline="0" fieldPosition="0">
        <references count="1">
          <reference field="0" count="24">
            <x v="155"/>
            <x v="157"/>
            <x v="158"/>
            <x v="163"/>
            <x v="176"/>
            <x v="180"/>
            <x v="203"/>
            <x v="204"/>
            <x v="215"/>
            <x v="221"/>
            <x v="225"/>
            <x v="227"/>
            <x v="229"/>
            <x v="237"/>
            <x v="252"/>
            <x v="261"/>
            <x v="265"/>
            <x v="266"/>
            <x v="269"/>
            <x v="270"/>
            <x v="272"/>
            <x v="274"/>
            <x v="310"/>
            <x v="316"/>
          </reference>
        </references>
      </pivotArea>
    </format>
    <format dxfId="1245">
      <pivotArea dataOnly="0" labelOnly="1" outline="0" fieldPosition="0">
        <references count="1">
          <reference field="0" count="18">
            <x v="327"/>
            <x v="329"/>
            <x v="331"/>
            <x v="333"/>
            <x v="341"/>
            <x v="343"/>
            <x v="345"/>
            <x v="360"/>
            <x v="368"/>
            <x v="379"/>
            <x v="397"/>
            <x v="411"/>
            <x v="439"/>
            <x v="448"/>
            <x v="453"/>
            <x v="458"/>
            <x v="462"/>
            <x v="466"/>
          </reference>
        </references>
      </pivotArea>
    </format>
    <format dxfId="1244">
      <pivotArea outline="0" fieldPosition="0">
        <references count="2">
          <reference field="4294967294" count="3" selected="0">
            <x v="0"/>
            <x v="1"/>
            <x v="2"/>
          </reference>
          <reference field="0" count="64" selected="0">
            <x v="6"/>
            <x v="7"/>
            <x v="16"/>
            <x v="18"/>
            <x v="20"/>
            <x v="45"/>
            <x v="50"/>
            <x v="53"/>
            <x v="57"/>
            <x v="68"/>
            <x v="77"/>
            <x v="90"/>
            <x v="95"/>
            <x v="102"/>
            <x v="105"/>
            <x v="110"/>
            <x v="113"/>
            <x v="115"/>
            <x v="126"/>
            <x v="127"/>
            <x v="135"/>
            <x v="140"/>
            <x v="143"/>
            <x v="155"/>
            <x v="157"/>
            <x v="158"/>
            <x v="163"/>
            <x v="176"/>
            <x v="180"/>
            <x v="203"/>
            <x v="204"/>
            <x v="215"/>
            <x v="221"/>
            <x v="225"/>
            <x v="227"/>
            <x v="229"/>
            <x v="237"/>
            <x v="252"/>
            <x v="261"/>
            <x v="265"/>
            <x v="266"/>
            <x v="269"/>
            <x v="270"/>
            <x v="272"/>
            <x v="274"/>
            <x v="310"/>
            <x v="316"/>
            <x v="327"/>
            <x v="329"/>
            <x v="331"/>
            <x v="333"/>
            <x v="341"/>
            <x v="343"/>
            <x v="345"/>
            <x v="360"/>
            <x v="368"/>
            <x v="379"/>
            <x v="397"/>
            <x v="411"/>
            <x v="439"/>
            <x v="448"/>
            <x v="453"/>
            <x v="458"/>
            <x v="462"/>
          </reference>
        </references>
      </pivotArea>
    </format>
    <format dxfId="1243">
      <pivotArea dataOnly="0" labelOnly="1" outline="0" fieldPosition="0">
        <references count="1">
          <reference field="0" count="23">
            <x v="6"/>
            <x v="7"/>
            <x v="16"/>
            <x v="18"/>
            <x v="20"/>
            <x v="45"/>
            <x v="50"/>
            <x v="53"/>
            <x v="57"/>
            <x v="68"/>
            <x v="77"/>
            <x v="90"/>
            <x v="95"/>
            <x v="102"/>
            <x v="105"/>
            <x v="110"/>
            <x v="113"/>
            <x v="115"/>
            <x v="126"/>
            <x v="127"/>
            <x v="135"/>
            <x v="140"/>
            <x v="143"/>
          </reference>
        </references>
      </pivotArea>
    </format>
    <format dxfId="1242">
      <pivotArea dataOnly="0" labelOnly="1" outline="0" fieldPosition="0">
        <references count="1">
          <reference field="0" count="24">
            <x v="155"/>
            <x v="157"/>
            <x v="158"/>
            <x v="163"/>
            <x v="176"/>
            <x v="180"/>
            <x v="203"/>
            <x v="204"/>
            <x v="215"/>
            <x v="221"/>
            <x v="225"/>
            <x v="227"/>
            <x v="229"/>
            <x v="237"/>
            <x v="252"/>
            <x v="261"/>
            <x v="265"/>
            <x v="266"/>
            <x v="269"/>
            <x v="270"/>
            <x v="272"/>
            <x v="274"/>
            <x v="310"/>
            <x v="316"/>
          </reference>
        </references>
      </pivotArea>
    </format>
    <format dxfId="1241">
      <pivotArea dataOnly="0" labelOnly="1" outline="0" fieldPosition="0">
        <references count="1">
          <reference field="0" count="17">
            <x v="327"/>
            <x v="329"/>
            <x v="331"/>
            <x v="333"/>
            <x v="341"/>
            <x v="343"/>
            <x v="345"/>
            <x v="360"/>
            <x v="368"/>
            <x v="379"/>
            <x v="397"/>
            <x v="411"/>
            <x v="439"/>
            <x v="448"/>
            <x v="453"/>
            <x v="458"/>
            <x v="462"/>
          </reference>
        </references>
      </pivotArea>
    </format>
    <format dxfId="1240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1239">
      <pivotArea dataOnly="0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1238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1237">
      <pivotArea dataOnly="0" outline="0" fieldPosition="0">
        <references count="1">
          <reference field="4294967294" count="1">
            <x v="7"/>
          </reference>
        </references>
      </pivotArea>
    </format>
    <format dxfId="1236">
      <pivotArea dataOnly="0" outline="0" fieldPosition="0">
        <references count="1">
          <reference field="4294967294" count="1">
            <x v="13"/>
          </reference>
        </references>
      </pivotArea>
    </format>
    <format dxfId="1235">
      <pivotArea field="0" type="button" dataOnly="0" labelOnly="1" outline="0" axis="axisRow" fieldPosition="0"/>
    </format>
    <format dxfId="1234">
      <pivotArea dataOnly="0" labelOnly="1" grandRow="1" outline="0" fieldPosition="0"/>
    </format>
    <format dxfId="1233">
      <pivotArea dataOnly="0" labelOnly="1" outline="0" fieldPosition="0">
        <references count="1">
          <reference field="0" count="0"/>
        </references>
      </pivotArea>
    </format>
    <format dxfId="1232">
      <pivotArea dataOnly="0" labelOnly="1" outline="0" fieldPosition="0">
        <references count="1">
          <reference field="0" count="50">
            <x v="2"/>
            <x v="6"/>
            <x v="8"/>
            <x v="16"/>
            <x v="17"/>
            <x v="19"/>
            <x v="21"/>
            <x v="32"/>
            <x v="34"/>
            <x v="36"/>
            <x v="38"/>
            <x v="43"/>
            <x v="46"/>
            <x v="47"/>
            <x v="50"/>
            <x v="53"/>
            <x v="56"/>
            <x v="58"/>
            <x v="63"/>
            <x v="67"/>
            <x v="68"/>
            <x v="70"/>
            <x v="73"/>
            <x v="76"/>
            <x v="79"/>
            <x v="82"/>
            <x v="83"/>
            <x v="87"/>
            <x v="88"/>
            <x v="90"/>
            <x v="92"/>
            <x v="93"/>
            <x v="94"/>
            <x v="101"/>
            <x v="109"/>
            <x v="110"/>
            <x v="112"/>
            <x v="115"/>
            <x v="116"/>
            <x v="123"/>
            <x v="125"/>
            <x v="126"/>
            <x v="127"/>
            <x v="128"/>
            <x v="130"/>
            <x v="133"/>
            <x v="139"/>
            <x v="141"/>
            <x v="143"/>
            <x v="145"/>
          </reference>
        </references>
      </pivotArea>
    </format>
    <format dxfId="1231">
      <pivotArea dataOnly="0" labelOnly="1" outline="0" fieldPosition="0">
        <references count="1">
          <reference field="0" count="50">
            <x v="148"/>
            <x v="152"/>
            <x v="155"/>
            <x v="156"/>
            <x v="158"/>
            <x v="159"/>
            <x v="160"/>
            <x v="161"/>
            <x v="162"/>
            <x v="165"/>
            <x v="166"/>
            <x v="167"/>
            <x v="170"/>
            <x v="171"/>
            <x v="172"/>
            <x v="173"/>
            <x v="181"/>
            <x v="182"/>
            <x v="183"/>
            <x v="188"/>
            <x v="189"/>
            <x v="191"/>
            <x v="194"/>
            <x v="197"/>
            <x v="201"/>
            <x v="202"/>
            <x v="215"/>
            <x v="216"/>
            <x v="217"/>
            <x v="219"/>
            <x v="222"/>
            <x v="226"/>
            <x v="227"/>
            <x v="228"/>
            <x v="231"/>
            <x v="234"/>
            <x v="238"/>
            <x v="241"/>
            <x v="244"/>
            <x v="246"/>
            <x v="247"/>
            <x v="252"/>
            <x v="253"/>
            <x v="259"/>
            <x v="262"/>
            <x v="265"/>
            <x v="266"/>
            <x v="267"/>
            <x v="269"/>
            <x v="270"/>
          </reference>
        </references>
      </pivotArea>
    </format>
    <format dxfId="1230">
      <pivotArea dataOnly="0" labelOnly="1" outline="0" fieldPosition="0">
        <references count="1">
          <reference field="0" count="50">
            <x v="271"/>
            <x v="274"/>
            <x v="279"/>
            <x v="281"/>
            <x v="283"/>
            <x v="285"/>
            <x v="295"/>
            <x v="298"/>
            <x v="303"/>
            <x v="304"/>
            <x v="305"/>
            <x v="307"/>
            <x v="308"/>
            <x v="309"/>
            <x v="311"/>
            <x v="313"/>
            <x v="318"/>
            <x v="322"/>
            <x v="323"/>
            <x v="326"/>
            <x v="328"/>
            <x v="331"/>
            <x v="333"/>
            <x v="334"/>
            <x v="335"/>
            <x v="338"/>
            <x v="340"/>
            <x v="341"/>
            <x v="342"/>
            <x v="343"/>
            <x v="344"/>
            <x v="347"/>
            <x v="348"/>
            <x v="352"/>
            <x v="355"/>
            <x v="360"/>
            <x v="361"/>
            <x v="366"/>
            <x v="367"/>
            <x v="368"/>
            <x v="374"/>
            <x v="375"/>
            <x v="377"/>
            <x v="378"/>
            <x v="382"/>
            <x v="384"/>
            <x v="388"/>
            <x v="389"/>
            <x v="391"/>
            <x v="393"/>
          </reference>
        </references>
      </pivotArea>
    </format>
    <format dxfId="1229">
      <pivotArea dataOnly="0" labelOnly="1" outline="0" fieldPosition="0">
        <references count="1">
          <reference field="0" count="28">
            <x v="395"/>
            <x v="396"/>
            <x v="400"/>
            <x v="401"/>
            <x v="405"/>
            <x v="411"/>
            <x v="413"/>
            <x v="414"/>
            <x v="416"/>
            <x v="417"/>
            <x v="418"/>
            <x v="421"/>
            <x v="423"/>
            <x v="428"/>
            <x v="433"/>
            <x v="437"/>
            <x v="439"/>
            <x v="444"/>
            <x v="446"/>
            <x v="448"/>
            <x v="449"/>
            <x v="452"/>
            <x v="458"/>
            <x v="459"/>
            <x v="466"/>
            <x v="467"/>
            <x v="468"/>
            <x v="472"/>
          </reference>
        </references>
      </pivotArea>
    </format>
    <format dxfId="1228">
      <pivotArea dataOnly="0" labelOnly="1" outline="0" fieldPosition="0">
        <references count="1">
          <reference field="0" count="50">
            <x v="2"/>
            <x v="6"/>
            <x v="8"/>
            <x v="16"/>
            <x v="17"/>
            <x v="19"/>
            <x v="21"/>
            <x v="32"/>
            <x v="34"/>
            <x v="36"/>
            <x v="38"/>
            <x v="41"/>
            <x v="43"/>
            <x v="46"/>
            <x v="49"/>
            <x v="50"/>
            <x v="53"/>
            <x v="56"/>
            <x v="58"/>
            <x v="63"/>
            <x v="65"/>
            <x v="67"/>
            <x v="68"/>
            <x v="69"/>
            <x v="70"/>
            <x v="72"/>
            <x v="76"/>
            <x v="79"/>
            <x v="82"/>
            <x v="87"/>
            <x v="90"/>
            <x v="92"/>
            <x v="93"/>
            <x v="94"/>
            <x v="101"/>
            <x v="109"/>
            <x v="110"/>
            <x v="112"/>
            <x v="115"/>
            <x v="116"/>
            <x v="123"/>
            <x v="125"/>
            <x v="126"/>
            <x v="127"/>
            <x v="128"/>
            <x v="130"/>
            <x v="133"/>
            <x v="139"/>
            <x v="143"/>
            <x v="145"/>
          </reference>
        </references>
      </pivotArea>
    </format>
    <format dxfId="1227">
      <pivotArea dataOnly="0" labelOnly="1" outline="0" fieldPosition="0">
        <references count="1">
          <reference field="0" count="50">
            <x v="147"/>
            <x v="148"/>
            <x v="155"/>
            <x v="156"/>
            <x v="158"/>
            <x v="159"/>
            <x v="161"/>
            <x v="162"/>
            <x v="167"/>
            <x v="170"/>
            <x v="172"/>
            <x v="173"/>
            <x v="181"/>
            <x v="182"/>
            <x v="183"/>
            <x v="188"/>
            <x v="189"/>
            <x v="194"/>
            <x v="197"/>
            <x v="201"/>
            <x v="202"/>
            <x v="215"/>
            <x v="216"/>
            <x v="217"/>
            <x v="218"/>
            <x v="219"/>
            <x v="222"/>
            <x v="224"/>
            <x v="226"/>
            <x v="227"/>
            <x v="228"/>
            <x v="231"/>
            <x v="234"/>
            <x v="238"/>
            <x v="241"/>
            <x v="243"/>
            <x v="244"/>
            <x v="246"/>
            <x v="247"/>
            <x v="252"/>
            <x v="253"/>
            <x v="262"/>
            <x v="265"/>
            <x v="267"/>
            <x v="269"/>
            <x v="270"/>
            <x v="271"/>
            <x v="273"/>
            <x v="274"/>
            <x v="279"/>
          </reference>
        </references>
      </pivotArea>
    </format>
    <format dxfId="1226">
      <pivotArea dataOnly="0" labelOnly="1" outline="0" fieldPosition="0">
        <references count="1">
          <reference field="0" count="50">
            <x v="281"/>
            <x v="283"/>
            <x v="285"/>
            <x v="295"/>
            <x v="298"/>
            <x v="300"/>
            <x v="304"/>
            <x v="305"/>
            <x v="307"/>
            <x v="308"/>
            <x v="309"/>
            <x v="313"/>
            <x v="317"/>
            <x v="318"/>
            <x v="322"/>
            <x v="323"/>
            <x v="326"/>
            <x v="328"/>
            <x v="329"/>
            <x v="331"/>
            <x v="333"/>
            <x v="334"/>
            <x v="335"/>
            <x v="338"/>
            <x v="340"/>
            <x v="341"/>
            <x v="343"/>
            <x v="344"/>
            <x v="347"/>
            <x v="348"/>
            <x v="352"/>
            <x v="355"/>
            <x v="360"/>
            <x v="361"/>
            <x v="367"/>
            <x v="368"/>
            <x v="374"/>
            <x v="377"/>
            <x v="378"/>
            <x v="380"/>
            <x v="382"/>
            <x v="384"/>
            <x v="388"/>
            <x v="389"/>
            <x v="391"/>
            <x v="393"/>
            <x v="395"/>
            <x v="396"/>
            <x v="400"/>
            <x v="404"/>
          </reference>
        </references>
      </pivotArea>
    </format>
    <format dxfId="1225">
      <pivotArea dataOnly="0" labelOnly="1" outline="0" fieldPosition="0">
        <references count="1">
          <reference field="0" count="25">
            <x v="405"/>
            <x v="411"/>
            <x v="413"/>
            <x v="414"/>
            <x v="417"/>
            <x v="421"/>
            <x v="423"/>
            <x v="426"/>
            <x v="428"/>
            <x v="433"/>
            <x v="437"/>
            <x v="439"/>
            <x v="444"/>
            <x v="446"/>
            <x v="448"/>
            <x v="449"/>
            <x v="450"/>
            <x v="452"/>
            <x v="457"/>
            <x v="458"/>
            <x v="459"/>
            <x v="466"/>
            <x v="467"/>
            <x v="468"/>
            <x v="472"/>
          </reference>
        </references>
      </pivotArea>
    </format>
    <format dxfId="1224">
      <pivotArea dataOnly="0" labelOnly="1" outline="0" fieldPosition="0">
        <references count="1">
          <reference field="0" count="50">
            <x v="2"/>
            <x v="6"/>
            <x v="8"/>
            <x v="16"/>
            <x v="17"/>
            <x v="19"/>
            <x v="21"/>
            <x v="32"/>
            <x v="34"/>
            <x v="36"/>
            <x v="38"/>
            <x v="41"/>
            <x v="43"/>
            <x v="46"/>
            <x v="49"/>
            <x v="50"/>
            <x v="53"/>
            <x v="56"/>
            <x v="58"/>
            <x v="63"/>
            <x v="65"/>
            <x v="67"/>
            <x v="68"/>
            <x v="70"/>
            <x v="72"/>
            <x v="76"/>
            <x v="79"/>
            <x v="82"/>
            <x v="87"/>
            <x v="90"/>
            <x v="92"/>
            <x v="93"/>
            <x v="94"/>
            <x v="101"/>
            <x v="109"/>
            <x v="110"/>
            <x v="112"/>
            <x v="115"/>
            <x v="116"/>
            <x v="123"/>
            <x v="125"/>
            <x v="126"/>
            <x v="127"/>
            <x v="128"/>
            <x v="130"/>
            <x v="133"/>
            <x v="139"/>
            <x v="143"/>
            <x v="145"/>
            <x v="147"/>
          </reference>
        </references>
      </pivotArea>
    </format>
    <format dxfId="1223">
      <pivotArea dataOnly="0" labelOnly="1" outline="0" fieldPosition="0">
        <references count="1">
          <reference field="0" count="50">
            <x v="148"/>
            <x v="155"/>
            <x v="156"/>
            <x v="158"/>
            <x v="159"/>
            <x v="161"/>
            <x v="162"/>
            <x v="167"/>
            <x v="170"/>
            <x v="172"/>
            <x v="173"/>
            <x v="181"/>
            <x v="182"/>
            <x v="183"/>
            <x v="188"/>
            <x v="189"/>
            <x v="194"/>
            <x v="197"/>
            <x v="201"/>
            <x v="202"/>
            <x v="215"/>
            <x v="216"/>
            <x v="217"/>
            <x v="218"/>
            <x v="219"/>
            <x v="222"/>
            <x v="226"/>
            <x v="227"/>
            <x v="228"/>
            <x v="231"/>
            <x v="234"/>
            <x v="238"/>
            <x v="241"/>
            <x v="243"/>
            <x v="244"/>
            <x v="246"/>
            <x v="247"/>
            <x v="252"/>
            <x v="253"/>
            <x v="262"/>
            <x v="265"/>
            <x v="267"/>
            <x v="269"/>
            <x v="270"/>
            <x v="271"/>
            <x v="273"/>
            <x v="274"/>
            <x v="279"/>
            <x v="281"/>
            <x v="283"/>
          </reference>
        </references>
      </pivotArea>
    </format>
    <format dxfId="1222">
      <pivotArea dataOnly="0" labelOnly="1" outline="0" fieldPosition="0">
        <references count="1">
          <reference field="0" count="50">
            <x v="285"/>
            <x v="295"/>
            <x v="298"/>
            <x v="300"/>
            <x v="304"/>
            <x v="305"/>
            <x v="307"/>
            <x v="308"/>
            <x v="309"/>
            <x v="313"/>
            <x v="317"/>
            <x v="318"/>
            <x v="322"/>
            <x v="323"/>
            <x v="326"/>
            <x v="328"/>
            <x v="329"/>
            <x v="331"/>
            <x v="333"/>
            <x v="334"/>
            <x v="335"/>
            <x v="338"/>
            <x v="340"/>
            <x v="341"/>
            <x v="343"/>
            <x v="344"/>
            <x v="347"/>
            <x v="348"/>
            <x v="352"/>
            <x v="355"/>
            <x v="360"/>
            <x v="361"/>
            <x v="367"/>
            <x v="368"/>
            <x v="374"/>
            <x v="377"/>
            <x v="378"/>
            <x v="380"/>
            <x v="382"/>
            <x v="384"/>
            <x v="388"/>
            <x v="389"/>
            <x v="391"/>
            <x v="393"/>
            <x v="395"/>
            <x v="396"/>
            <x v="400"/>
            <x v="404"/>
            <x v="405"/>
            <x v="411"/>
          </reference>
        </references>
      </pivotArea>
    </format>
    <format dxfId="1221">
      <pivotArea dataOnly="0" labelOnly="1" outline="0" fieldPosition="0">
        <references count="1">
          <reference field="0" count="23">
            <x v="413"/>
            <x v="414"/>
            <x v="417"/>
            <x v="421"/>
            <x v="423"/>
            <x v="426"/>
            <x v="428"/>
            <x v="433"/>
            <x v="437"/>
            <x v="439"/>
            <x v="444"/>
            <x v="446"/>
            <x v="448"/>
            <x v="449"/>
            <x v="450"/>
            <x v="452"/>
            <x v="457"/>
            <x v="458"/>
            <x v="459"/>
            <x v="466"/>
            <x v="467"/>
            <x v="468"/>
            <x v="472"/>
          </reference>
        </references>
      </pivotArea>
    </format>
    <format dxfId="1220">
      <pivotArea field="-2" type="button" dataOnly="0" labelOnly="1" outline="0" axis="axisCol" fieldPosition="0"/>
    </format>
    <format dxfId="1219">
      <pivotArea type="topRight" dataOnly="0" labelOnly="1" outline="0" fieldPosition="0"/>
    </format>
    <format dxfId="1218">
      <pivotArea type="topRight" dataOnly="0" labelOnly="1" outline="0" offset="H1:M1" fieldPosition="0"/>
    </format>
    <format dxfId="1217">
      <pivotArea outline="0" fieldPosition="0">
        <references count="1">
          <reference field="0" count="1" selected="0">
            <x v="468"/>
          </reference>
        </references>
      </pivotArea>
    </format>
    <format dxfId="1216">
      <pivotArea dataOnly="0" labelOnly="1" outline="0" fieldPosition="0">
        <references count="1">
          <reference field="0" count="1">
            <x v="468"/>
          </reference>
        </references>
      </pivotArea>
    </format>
    <format dxfId="1215">
      <pivotArea outline="0" fieldPosition="0">
        <references count="1">
          <reference field="0" count="1" selected="0">
            <x v="468"/>
          </reference>
        </references>
      </pivotArea>
    </format>
    <format dxfId="1214">
      <pivotArea dataOnly="0" labelOnly="1" outline="0" fieldPosition="0">
        <references count="1">
          <reference field="0" count="1">
            <x v="468"/>
          </reference>
        </references>
      </pivotArea>
    </format>
    <format dxfId="1213">
      <pivotArea outline="0" fieldPosition="0">
        <references count="1">
          <reference field="0" count="1" selected="0">
            <x v="466"/>
          </reference>
        </references>
      </pivotArea>
    </format>
    <format dxfId="1212">
      <pivotArea dataOnly="0" labelOnly="1" outline="0" fieldPosition="0">
        <references count="1">
          <reference field="0" count="1">
            <x v="466"/>
          </reference>
        </references>
      </pivotArea>
    </format>
    <format dxfId="1211">
      <pivotArea outline="0" fieldPosition="0">
        <references count="1">
          <reference field="0" count="1" selected="0">
            <x v="466"/>
          </reference>
        </references>
      </pivotArea>
    </format>
    <format dxfId="1210">
      <pivotArea dataOnly="0" labelOnly="1" outline="0" fieldPosition="0">
        <references count="1">
          <reference field="0" count="1">
            <x v="466"/>
          </reference>
        </references>
      </pivotArea>
    </format>
    <format dxfId="1209">
      <pivotArea outline="0" fieldPosition="0">
        <references count="1">
          <reference field="0" count="1" selected="0">
            <x v="2"/>
          </reference>
        </references>
      </pivotArea>
    </format>
    <format dxfId="1208">
      <pivotArea dataOnly="0" labelOnly="1" outline="0" fieldPosition="0">
        <references count="1">
          <reference field="0" count="1">
            <x v="2"/>
          </reference>
        </references>
      </pivotArea>
    </format>
    <format dxfId="1207">
      <pivotArea outline="0" fieldPosition="0">
        <references count="1">
          <reference field="0" count="6" selected="0">
            <x v="17"/>
            <x v="19"/>
            <x v="21"/>
            <x v="32"/>
            <x v="34"/>
            <x v="36"/>
          </reference>
        </references>
      </pivotArea>
    </format>
    <format dxfId="1206">
      <pivotArea dataOnly="0" labelOnly="1" outline="0" fieldPosition="0">
        <references count="1">
          <reference field="0" count="6">
            <x v="17"/>
            <x v="19"/>
            <x v="21"/>
            <x v="32"/>
            <x v="34"/>
            <x v="36"/>
          </reference>
        </references>
      </pivotArea>
    </format>
    <format dxfId="1205">
      <pivotArea outline="0" fieldPosition="0">
        <references count="1">
          <reference field="0" count="3" selected="0">
            <x v="41"/>
            <x v="43"/>
            <x v="46"/>
          </reference>
        </references>
      </pivotArea>
    </format>
    <format dxfId="1204">
      <pivotArea dataOnly="0" labelOnly="1" outline="0" fieldPosition="0">
        <references count="1">
          <reference field="0" count="3">
            <x v="41"/>
            <x v="43"/>
            <x v="46"/>
          </reference>
        </references>
      </pivotArea>
    </format>
    <format dxfId="1203">
      <pivotArea outline="0" fieldPosition="0">
        <references count="1">
          <reference field="0" count="1" selected="0">
            <x v="50"/>
          </reference>
        </references>
      </pivotArea>
    </format>
    <format dxfId="1202">
      <pivotArea dataOnly="0" labelOnly="1" outline="0" fieldPosition="0">
        <references count="1">
          <reference field="0" count="1">
            <x v="50"/>
          </reference>
        </references>
      </pivotArea>
    </format>
    <format dxfId="1201">
      <pivotArea outline="0" fieldPosition="0">
        <references count="1">
          <reference field="0" count="1" selected="0">
            <x v="63"/>
          </reference>
        </references>
      </pivotArea>
    </format>
    <format dxfId="1200">
      <pivotArea dataOnly="0" labelOnly="1" outline="0" fieldPosition="0">
        <references count="1">
          <reference field="0" count="1">
            <x v="63"/>
          </reference>
        </references>
      </pivotArea>
    </format>
    <format dxfId="1199">
      <pivotArea outline="0" fieldPosition="0">
        <references count="1">
          <reference field="0" count="2" selected="0">
            <x v="72"/>
            <x v="76"/>
          </reference>
        </references>
      </pivotArea>
    </format>
    <format dxfId="1198">
      <pivotArea dataOnly="0" labelOnly="1" outline="0" fieldPosition="0">
        <references count="1">
          <reference field="0" count="2">
            <x v="72"/>
            <x v="76"/>
          </reference>
        </references>
      </pivotArea>
    </format>
    <format dxfId="1197">
      <pivotArea outline="0" fieldPosition="0">
        <references count="1">
          <reference field="0" count="2" selected="0">
            <x v="93"/>
            <x v="94"/>
          </reference>
        </references>
      </pivotArea>
    </format>
    <format dxfId="1196">
      <pivotArea dataOnly="0" labelOnly="1" outline="0" fieldPosition="0">
        <references count="1">
          <reference field="0" count="2">
            <x v="93"/>
            <x v="94"/>
          </reference>
        </references>
      </pivotArea>
    </format>
    <format dxfId="1195">
      <pivotArea outline="0" fieldPosition="0">
        <references count="1">
          <reference field="0" count="3" selected="0">
            <x v="110"/>
            <x v="112"/>
            <x v="115"/>
          </reference>
        </references>
      </pivotArea>
    </format>
    <format dxfId="1194">
      <pivotArea dataOnly="0" labelOnly="1" outline="0" fieldPosition="0">
        <references count="1">
          <reference field="0" count="3">
            <x v="110"/>
            <x v="112"/>
            <x v="115"/>
          </reference>
        </references>
      </pivotArea>
    </format>
    <format dxfId="1193">
      <pivotArea outline="0" fieldPosition="0">
        <references count="1">
          <reference field="0" count="3" selected="0">
            <x v="126"/>
            <x v="127"/>
            <x v="128"/>
          </reference>
        </references>
      </pivotArea>
    </format>
    <format dxfId="1192">
      <pivotArea dataOnly="0" labelOnly="1" outline="0" fieldPosition="0">
        <references count="1">
          <reference field="0" count="3">
            <x v="126"/>
            <x v="127"/>
            <x v="128"/>
          </reference>
        </references>
      </pivotArea>
    </format>
    <format dxfId="1191">
      <pivotArea outline="0" fieldPosition="0">
        <references count="1">
          <reference field="0" count="1" selected="0">
            <x v="133"/>
          </reference>
        </references>
      </pivotArea>
    </format>
    <format dxfId="1190">
      <pivotArea dataOnly="0" labelOnly="1" outline="0" fieldPosition="0">
        <references count="1">
          <reference field="0" count="1">
            <x v="133"/>
          </reference>
        </references>
      </pivotArea>
    </format>
    <format dxfId="1189">
      <pivotArea outline="0" fieldPosition="0">
        <references count="1">
          <reference field="0" count="1" selected="0">
            <x v="143"/>
          </reference>
        </references>
      </pivotArea>
    </format>
    <format dxfId="1188">
      <pivotArea dataOnly="0" labelOnly="1" outline="0" fieldPosition="0">
        <references count="1">
          <reference field="0" count="1">
            <x v="143"/>
          </reference>
        </references>
      </pivotArea>
    </format>
    <format dxfId="1187">
      <pivotArea outline="0" fieldPosition="0">
        <references count="1">
          <reference field="0" count="1" selected="0">
            <x v="156"/>
          </reference>
        </references>
      </pivotArea>
    </format>
    <format dxfId="1186">
      <pivotArea dataOnly="0" labelOnly="1" outline="0" fieldPosition="0">
        <references count="1">
          <reference field="0" count="1">
            <x v="156"/>
          </reference>
        </references>
      </pivotArea>
    </format>
    <format dxfId="1185">
      <pivotArea outline="0" fieldPosition="0">
        <references count="1">
          <reference field="0" count="2" selected="0">
            <x v="170"/>
            <x v="172"/>
          </reference>
        </references>
      </pivotArea>
    </format>
    <format dxfId="1184">
      <pivotArea dataOnly="0" labelOnly="1" outline="0" fieldPosition="0">
        <references count="1">
          <reference field="0" count="2">
            <x v="170"/>
            <x v="172"/>
          </reference>
        </references>
      </pivotArea>
    </format>
    <format dxfId="1183">
      <pivotArea outline="0" fieldPosition="0">
        <references count="1">
          <reference field="0" count="1" selected="0">
            <x v="181"/>
          </reference>
        </references>
      </pivotArea>
    </format>
    <format dxfId="1182">
      <pivotArea dataOnly="0" labelOnly="1" outline="0" fieldPosition="0">
        <references count="1">
          <reference field="0" count="1">
            <x v="181"/>
          </reference>
        </references>
      </pivotArea>
    </format>
    <format dxfId="1181">
      <pivotArea outline="0" fieldPosition="0">
        <references count="1">
          <reference field="0" count="1" selected="0">
            <x v="183"/>
          </reference>
        </references>
      </pivotArea>
    </format>
    <format dxfId="1180">
      <pivotArea dataOnly="0" labelOnly="1" outline="0" fieldPosition="0">
        <references count="1">
          <reference field="0" count="1">
            <x v="183"/>
          </reference>
        </references>
      </pivotArea>
    </format>
    <format dxfId="1179">
      <pivotArea outline="0" fieldPosition="0">
        <references count="1">
          <reference field="0" count="1" selected="0">
            <x v="189"/>
          </reference>
        </references>
      </pivotArea>
    </format>
    <format dxfId="1178">
      <pivotArea dataOnly="0" labelOnly="1" outline="0" fieldPosition="0">
        <references count="1">
          <reference field="0" count="1">
            <x v="189"/>
          </reference>
        </references>
      </pivotArea>
    </format>
    <format dxfId="1177">
      <pivotArea outline="0" fieldPosition="0">
        <references count="1">
          <reference field="0" count="1" selected="0">
            <x v="197"/>
          </reference>
        </references>
      </pivotArea>
    </format>
    <format dxfId="1176">
      <pivotArea dataOnly="0" labelOnly="1" outline="0" fieldPosition="0">
        <references count="1">
          <reference field="0" count="1">
            <x v="197"/>
          </reference>
        </references>
      </pivotArea>
    </format>
    <format dxfId="1175">
      <pivotArea outline="0" fieldPosition="0">
        <references count="1">
          <reference field="0" count="2" selected="0">
            <x v="226"/>
            <x v="227"/>
          </reference>
        </references>
      </pivotArea>
    </format>
    <format dxfId="1174">
      <pivotArea dataOnly="0" labelOnly="1" outline="0" fieldPosition="0">
        <references count="1">
          <reference field="0" count="2">
            <x v="226"/>
            <x v="227"/>
          </reference>
        </references>
      </pivotArea>
    </format>
    <format dxfId="1173">
      <pivotArea outline="0" fieldPosition="0">
        <references count="1">
          <reference field="0" count="1" selected="0">
            <x v="243"/>
          </reference>
        </references>
      </pivotArea>
    </format>
    <format dxfId="1172">
      <pivotArea dataOnly="0" labelOnly="1" outline="0" fieldPosition="0">
        <references count="1">
          <reference field="0" count="1">
            <x v="243"/>
          </reference>
        </references>
      </pivotArea>
    </format>
    <format dxfId="1171">
      <pivotArea outline="0" fieldPosition="0">
        <references count="1">
          <reference field="0" count="2" selected="0">
            <x v="246"/>
            <x v="247"/>
          </reference>
        </references>
      </pivotArea>
    </format>
    <format dxfId="1170">
      <pivotArea dataOnly="0" labelOnly="1" outline="0" fieldPosition="0">
        <references count="1">
          <reference field="0" count="2">
            <x v="246"/>
            <x v="247"/>
          </reference>
        </references>
      </pivotArea>
    </format>
    <format dxfId="1169">
      <pivotArea outline="0" fieldPosition="0">
        <references count="1">
          <reference field="0" count="2" selected="0">
            <x v="265"/>
            <x v="267"/>
          </reference>
        </references>
      </pivotArea>
    </format>
    <format dxfId="1168">
      <pivotArea dataOnly="0" labelOnly="1" outline="0" fieldPosition="0">
        <references count="1">
          <reference field="0" count="2">
            <x v="265"/>
            <x v="267"/>
          </reference>
        </references>
      </pivotArea>
    </format>
    <format dxfId="1167">
      <pivotArea outline="0" fieldPosition="0">
        <references count="1">
          <reference field="0" count="3" selected="0">
            <x v="271"/>
            <x v="273"/>
            <x v="274"/>
          </reference>
        </references>
      </pivotArea>
    </format>
    <format dxfId="1166">
      <pivotArea dataOnly="0" labelOnly="1" outline="0" fieldPosition="0">
        <references count="1">
          <reference field="0" count="3">
            <x v="271"/>
            <x v="273"/>
            <x v="274"/>
          </reference>
        </references>
      </pivotArea>
    </format>
    <format dxfId="1165">
      <pivotArea outline="0" fieldPosition="0">
        <references count="1">
          <reference field="0" count="1" selected="0">
            <x v="283"/>
          </reference>
        </references>
      </pivotArea>
    </format>
    <format dxfId="1164">
      <pivotArea dataOnly="0" labelOnly="1" outline="0" fieldPosition="0">
        <references count="1">
          <reference field="0" count="1">
            <x v="283"/>
          </reference>
        </references>
      </pivotArea>
    </format>
    <format dxfId="1163">
      <pivotArea outline="0" fieldPosition="0">
        <references count="1">
          <reference field="0" count="1" selected="0">
            <x v="298"/>
          </reference>
        </references>
      </pivotArea>
    </format>
    <format dxfId="1162">
      <pivotArea dataOnly="0" labelOnly="1" outline="0" fieldPosition="0">
        <references count="1">
          <reference field="0" count="1">
            <x v="298"/>
          </reference>
        </references>
      </pivotArea>
    </format>
    <format dxfId="1161">
      <pivotArea outline="0" fieldPosition="0">
        <references count="1">
          <reference field="0" count="1" selected="0">
            <x v="304"/>
          </reference>
        </references>
      </pivotArea>
    </format>
    <format dxfId="1160">
      <pivotArea dataOnly="0" labelOnly="1" outline="0" fieldPosition="0">
        <references count="1">
          <reference field="0" count="1">
            <x v="304"/>
          </reference>
        </references>
      </pivotArea>
    </format>
    <format dxfId="1159">
      <pivotArea outline="0" fieldPosition="0">
        <references count="1">
          <reference field="0" count="2" selected="0">
            <x v="309"/>
            <x v="313"/>
          </reference>
        </references>
      </pivotArea>
    </format>
    <format dxfId="1158">
      <pivotArea dataOnly="0" labelOnly="1" outline="0" fieldPosition="0">
        <references count="1">
          <reference field="0" count="2">
            <x v="309"/>
            <x v="313"/>
          </reference>
        </references>
      </pivotArea>
    </format>
    <format dxfId="1157">
      <pivotArea outline="0" fieldPosition="0">
        <references count="1">
          <reference field="0" count="1" selected="0">
            <x v="323"/>
          </reference>
        </references>
      </pivotArea>
    </format>
    <format dxfId="1156">
      <pivotArea dataOnly="0" labelOnly="1" outline="0" fieldPosition="0">
        <references count="1">
          <reference field="0" count="1">
            <x v="323"/>
          </reference>
        </references>
      </pivotArea>
    </format>
    <format dxfId="1155">
      <pivotArea outline="0" fieldPosition="0">
        <references count="1">
          <reference field="0" count="2" selected="0">
            <x v="328"/>
            <x v="329"/>
          </reference>
        </references>
      </pivotArea>
    </format>
    <format dxfId="1154">
      <pivotArea dataOnly="0" labelOnly="1" outline="0" fieldPosition="0">
        <references count="1">
          <reference field="0" count="2">
            <x v="328"/>
            <x v="329"/>
          </reference>
        </references>
      </pivotArea>
    </format>
    <format dxfId="1153">
      <pivotArea outline="0" fieldPosition="0">
        <references count="1">
          <reference field="0" count="1" selected="0">
            <x v="333"/>
          </reference>
        </references>
      </pivotArea>
    </format>
    <format dxfId="1152">
      <pivotArea dataOnly="0" labelOnly="1" outline="0" fieldPosition="0">
        <references count="1">
          <reference field="0" count="1">
            <x v="333"/>
          </reference>
        </references>
      </pivotArea>
    </format>
    <format dxfId="1151">
      <pivotArea outline="0" fieldPosition="0">
        <references count="1">
          <reference field="0" count="1" selected="0">
            <x v="338"/>
          </reference>
        </references>
      </pivotArea>
    </format>
    <format dxfId="1150">
      <pivotArea dataOnly="0" labelOnly="1" outline="0" fieldPosition="0">
        <references count="1">
          <reference field="0" count="1">
            <x v="338"/>
          </reference>
        </references>
      </pivotArea>
    </format>
    <format dxfId="1149">
      <pivotArea outline="0" fieldPosition="0">
        <references count="1">
          <reference field="0" count="1" selected="0">
            <x v="341"/>
          </reference>
        </references>
      </pivotArea>
    </format>
    <format dxfId="1148">
      <pivotArea dataOnly="0" labelOnly="1" outline="0" fieldPosition="0">
        <references count="1">
          <reference field="0" count="1">
            <x v="341"/>
          </reference>
        </references>
      </pivotArea>
    </format>
    <format dxfId="1147">
      <pivotArea outline="0" fieldPosition="0">
        <references count="1">
          <reference field="0" count="2" selected="0">
            <x v="352"/>
            <x v="355"/>
          </reference>
        </references>
      </pivotArea>
    </format>
    <format dxfId="1146">
      <pivotArea dataOnly="0" labelOnly="1" outline="0" fieldPosition="0">
        <references count="1">
          <reference field="0" count="2">
            <x v="352"/>
            <x v="355"/>
          </reference>
        </references>
      </pivotArea>
    </format>
    <format dxfId="1145">
      <pivotArea outline="0" fieldPosition="0">
        <references count="1">
          <reference field="0" count="1" selected="0">
            <x v="361"/>
          </reference>
        </references>
      </pivotArea>
    </format>
    <format dxfId="1144">
      <pivotArea dataOnly="0" labelOnly="1" outline="0" fieldPosition="0">
        <references count="1">
          <reference field="0" count="1">
            <x v="361"/>
          </reference>
        </references>
      </pivotArea>
    </format>
    <format dxfId="1143">
      <pivotArea outline="0" fieldPosition="0">
        <references count="1">
          <reference field="0" count="1" selected="0">
            <x v="368"/>
          </reference>
        </references>
      </pivotArea>
    </format>
    <format dxfId="1142">
      <pivotArea dataOnly="0" labelOnly="1" outline="0" fieldPosition="0">
        <references count="1">
          <reference field="0" count="1">
            <x v="368"/>
          </reference>
        </references>
      </pivotArea>
    </format>
    <format dxfId="1141">
      <pivotArea outline="0" fieldPosition="0">
        <references count="1">
          <reference field="0" count="1" selected="0">
            <x v="378"/>
          </reference>
        </references>
      </pivotArea>
    </format>
    <format dxfId="1140">
      <pivotArea dataOnly="0" labelOnly="1" outline="0" fieldPosition="0">
        <references count="1">
          <reference field="0" count="1">
            <x v="378"/>
          </reference>
        </references>
      </pivotArea>
    </format>
    <format dxfId="1139">
      <pivotArea outline="0" fieldPosition="0">
        <references count="1">
          <reference field="0" count="1" selected="0">
            <x v="384"/>
          </reference>
        </references>
      </pivotArea>
    </format>
    <format dxfId="1138">
      <pivotArea dataOnly="0" labelOnly="1" outline="0" fieldPosition="0">
        <references count="1">
          <reference field="0" count="1">
            <x v="384"/>
          </reference>
        </references>
      </pivotArea>
    </format>
    <format dxfId="1137">
      <pivotArea outline="0" fieldPosition="0">
        <references count="1">
          <reference field="0" count="2" selected="0">
            <x v="395"/>
            <x v="396"/>
          </reference>
        </references>
      </pivotArea>
    </format>
    <format dxfId="1136">
      <pivotArea dataOnly="0" labelOnly="1" outline="0" fieldPosition="0">
        <references count="1">
          <reference field="0" count="2">
            <x v="395"/>
            <x v="396"/>
          </reference>
        </references>
      </pivotArea>
    </format>
    <format dxfId="1135">
      <pivotArea outline="0" fieldPosition="0">
        <references count="1">
          <reference field="0" count="1" selected="0">
            <x v="426"/>
          </reference>
        </references>
      </pivotArea>
    </format>
    <format dxfId="1134">
      <pivotArea dataOnly="0" labelOnly="1" outline="0" fieldPosition="0">
        <references count="1">
          <reference field="0" count="1">
            <x v="426"/>
          </reference>
        </references>
      </pivotArea>
    </format>
    <format dxfId="1133">
      <pivotArea outline="0" fieldPosition="0">
        <references count="1">
          <reference field="0" count="2" selected="0">
            <x v="449"/>
            <x v="450"/>
          </reference>
        </references>
      </pivotArea>
    </format>
    <format dxfId="1132">
      <pivotArea dataOnly="0" labelOnly="1" outline="0" fieldPosition="0">
        <references count="1">
          <reference field="0" count="2">
            <x v="449"/>
            <x v="450"/>
          </reference>
        </references>
      </pivotArea>
    </format>
    <format dxfId="1131">
      <pivotArea outline="0" fieldPosition="0">
        <references count="1">
          <reference field="0" count="1" selected="0">
            <x v="466"/>
          </reference>
        </references>
      </pivotArea>
    </format>
    <format dxfId="1130">
      <pivotArea dataOnly="0" labelOnly="1" outline="0" fieldPosition="0">
        <references count="1">
          <reference field="0" count="1">
            <x v="466"/>
          </reference>
        </references>
      </pivotArea>
    </format>
    <format dxfId="1129">
      <pivotArea outline="0" fieldPosition="0">
        <references count="1">
          <reference field="0" count="1" selected="0">
            <x v="2"/>
          </reference>
        </references>
      </pivotArea>
    </format>
    <format dxfId="1128">
      <pivotArea dataOnly="0" labelOnly="1" outline="0" fieldPosition="0">
        <references count="1">
          <reference field="0" count="1">
            <x v="2"/>
          </reference>
        </references>
      </pivotArea>
    </format>
    <format dxfId="1127">
      <pivotArea outline="0" fieldPosition="0">
        <references count="1">
          <reference field="0" count="6" selected="0">
            <x v="17"/>
            <x v="19"/>
            <x v="21"/>
            <x v="32"/>
            <x v="34"/>
            <x v="36"/>
          </reference>
        </references>
      </pivotArea>
    </format>
    <format dxfId="1126">
      <pivotArea dataOnly="0" labelOnly="1" outline="0" fieldPosition="0">
        <references count="1">
          <reference field="0" count="6">
            <x v="17"/>
            <x v="19"/>
            <x v="21"/>
            <x v="32"/>
            <x v="34"/>
            <x v="36"/>
          </reference>
        </references>
      </pivotArea>
    </format>
    <format dxfId="1125">
      <pivotArea outline="0" fieldPosition="0">
        <references count="1">
          <reference field="0" count="3" selected="0">
            <x v="41"/>
            <x v="43"/>
            <x v="46"/>
          </reference>
        </references>
      </pivotArea>
    </format>
    <format dxfId="1124">
      <pivotArea dataOnly="0" labelOnly="1" outline="0" fieldPosition="0">
        <references count="1">
          <reference field="0" count="3">
            <x v="41"/>
            <x v="43"/>
            <x v="46"/>
          </reference>
        </references>
      </pivotArea>
    </format>
    <format dxfId="1123">
      <pivotArea outline="0" fieldPosition="0">
        <references count="1">
          <reference field="0" count="1" selected="0">
            <x v="50"/>
          </reference>
        </references>
      </pivotArea>
    </format>
    <format dxfId="1122">
      <pivotArea dataOnly="0" labelOnly="1" outline="0" fieldPosition="0">
        <references count="1">
          <reference field="0" count="1">
            <x v="50"/>
          </reference>
        </references>
      </pivotArea>
    </format>
    <format dxfId="1121">
      <pivotArea outline="0" fieldPosition="0">
        <references count="1">
          <reference field="0" count="1" selected="0">
            <x v="63"/>
          </reference>
        </references>
      </pivotArea>
    </format>
    <format dxfId="1120">
      <pivotArea dataOnly="0" labelOnly="1" outline="0" fieldPosition="0">
        <references count="1">
          <reference field="0" count="1">
            <x v="63"/>
          </reference>
        </references>
      </pivotArea>
    </format>
    <format dxfId="1119">
      <pivotArea outline="0" fieldPosition="0">
        <references count="1">
          <reference field="0" count="2" selected="0">
            <x v="72"/>
            <x v="76"/>
          </reference>
        </references>
      </pivotArea>
    </format>
    <format dxfId="1118">
      <pivotArea dataOnly="0" labelOnly="1" outline="0" fieldPosition="0">
        <references count="1">
          <reference field="0" count="2">
            <x v="72"/>
            <x v="76"/>
          </reference>
        </references>
      </pivotArea>
    </format>
    <format dxfId="1117">
      <pivotArea outline="0" fieldPosition="0">
        <references count="1">
          <reference field="0" count="2" selected="0">
            <x v="93"/>
            <x v="94"/>
          </reference>
        </references>
      </pivotArea>
    </format>
    <format dxfId="1116">
      <pivotArea dataOnly="0" labelOnly="1" outline="0" fieldPosition="0">
        <references count="1">
          <reference field="0" count="2">
            <x v="93"/>
            <x v="94"/>
          </reference>
        </references>
      </pivotArea>
    </format>
    <format dxfId="1115">
      <pivotArea outline="0" fieldPosition="0">
        <references count="1">
          <reference field="0" count="3" selected="0">
            <x v="110"/>
            <x v="112"/>
            <x v="115"/>
          </reference>
        </references>
      </pivotArea>
    </format>
    <format dxfId="1114">
      <pivotArea dataOnly="0" labelOnly="1" outline="0" fieldPosition="0">
        <references count="1">
          <reference field="0" count="3">
            <x v="110"/>
            <x v="112"/>
            <x v="115"/>
          </reference>
        </references>
      </pivotArea>
    </format>
    <format dxfId="1113">
      <pivotArea outline="0" fieldPosition="0">
        <references count="1">
          <reference field="0" count="3" selected="0">
            <x v="126"/>
            <x v="127"/>
            <x v="128"/>
          </reference>
        </references>
      </pivotArea>
    </format>
    <format dxfId="1112">
      <pivotArea dataOnly="0" labelOnly="1" outline="0" fieldPosition="0">
        <references count="1">
          <reference field="0" count="3">
            <x v="126"/>
            <x v="127"/>
            <x v="128"/>
          </reference>
        </references>
      </pivotArea>
    </format>
    <format dxfId="1111">
      <pivotArea outline="0" fieldPosition="0">
        <references count="1">
          <reference field="0" count="1" selected="0">
            <x v="133"/>
          </reference>
        </references>
      </pivotArea>
    </format>
    <format dxfId="1110">
      <pivotArea dataOnly="0" labelOnly="1" outline="0" fieldPosition="0">
        <references count="1">
          <reference field="0" count="1">
            <x v="133"/>
          </reference>
        </references>
      </pivotArea>
    </format>
    <format dxfId="1109">
      <pivotArea outline="0" fieldPosition="0">
        <references count="1">
          <reference field="0" count="1" selected="0">
            <x v="143"/>
          </reference>
        </references>
      </pivotArea>
    </format>
    <format dxfId="1108">
      <pivotArea dataOnly="0" labelOnly="1" outline="0" fieldPosition="0">
        <references count="1">
          <reference field="0" count="1">
            <x v="143"/>
          </reference>
        </references>
      </pivotArea>
    </format>
    <format dxfId="1107">
      <pivotArea outline="0" fieldPosition="0">
        <references count="1">
          <reference field="0" count="1" selected="0">
            <x v="156"/>
          </reference>
        </references>
      </pivotArea>
    </format>
    <format dxfId="1106">
      <pivotArea dataOnly="0" labelOnly="1" outline="0" fieldPosition="0">
        <references count="1">
          <reference field="0" count="1">
            <x v="156"/>
          </reference>
        </references>
      </pivotArea>
    </format>
    <format dxfId="1105">
      <pivotArea outline="0" fieldPosition="0">
        <references count="1">
          <reference field="0" count="2" selected="0">
            <x v="170"/>
            <x v="172"/>
          </reference>
        </references>
      </pivotArea>
    </format>
    <format dxfId="1104">
      <pivotArea dataOnly="0" labelOnly="1" outline="0" fieldPosition="0">
        <references count="1">
          <reference field="0" count="2">
            <x v="170"/>
            <x v="172"/>
          </reference>
        </references>
      </pivotArea>
    </format>
    <format dxfId="1103">
      <pivotArea outline="0" fieldPosition="0">
        <references count="1">
          <reference field="0" count="1" selected="0">
            <x v="181"/>
          </reference>
        </references>
      </pivotArea>
    </format>
    <format dxfId="1102">
      <pivotArea dataOnly="0" labelOnly="1" outline="0" fieldPosition="0">
        <references count="1">
          <reference field="0" count="1">
            <x v="181"/>
          </reference>
        </references>
      </pivotArea>
    </format>
    <format dxfId="1101">
      <pivotArea outline="0" fieldPosition="0">
        <references count="1">
          <reference field="0" count="1" selected="0">
            <x v="183"/>
          </reference>
        </references>
      </pivotArea>
    </format>
    <format dxfId="1100">
      <pivotArea dataOnly="0" labelOnly="1" outline="0" fieldPosition="0">
        <references count="1">
          <reference field="0" count="1">
            <x v="183"/>
          </reference>
        </references>
      </pivotArea>
    </format>
    <format dxfId="1099">
      <pivotArea outline="0" fieldPosition="0">
        <references count="1">
          <reference field="0" count="1" selected="0">
            <x v="189"/>
          </reference>
        </references>
      </pivotArea>
    </format>
    <format dxfId="1098">
      <pivotArea dataOnly="0" labelOnly="1" outline="0" fieldPosition="0">
        <references count="1">
          <reference field="0" count="1">
            <x v="189"/>
          </reference>
        </references>
      </pivotArea>
    </format>
    <format dxfId="1097">
      <pivotArea outline="0" fieldPosition="0">
        <references count="1">
          <reference field="0" count="1" selected="0">
            <x v="197"/>
          </reference>
        </references>
      </pivotArea>
    </format>
    <format dxfId="1096">
      <pivotArea dataOnly="0" labelOnly="1" outline="0" fieldPosition="0">
        <references count="1">
          <reference field="0" count="1">
            <x v="197"/>
          </reference>
        </references>
      </pivotArea>
    </format>
    <format dxfId="1095">
      <pivotArea outline="0" fieldPosition="0">
        <references count="1">
          <reference field="0" count="2" selected="0">
            <x v="226"/>
            <x v="227"/>
          </reference>
        </references>
      </pivotArea>
    </format>
    <format dxfId="1094">
      <pivotArea dataOnly="0" labelOnly="1" outline="0" fieldPosition="0">
        <references count="1">
          <reference field="0" count="2">
            <x v="226"/>
            <x v="227"/>
          </reference>
        </references>
      </pivotArea>
    </format>
    <format dxfId="1093">
      <pivotArea outline="0" fieldPosition="0">
        <references count="1">
          <reference field="0" count="1" selected="0">
            <x v="243"/>
          </reference>
        </references>
      </pivotArea>
    </format>
    <format dxfId="1092">
      <pivotArea dataOnly="0" labelOnly="1" outline="0" fieldPosition="0">
        <references count="1">
          <reference field="0" count="1">
            <x v="243"/>
          </reference>
        </references>
      </pivotArea>
    </format>
    <format dxfId="1091">
      <pivotArea outline="0" fieldPosition="0">
        <references count="1">
          <reference field="0" count="2" selected="0">
            <x v="246"/>
            <x v="247"/>
          </reference>
        </references>
      </pivotArea>
    </format>
    <format dxfId="1090">
      <pivotArea dataOnly="0" labelOnly="1" outline="0" fieldPosition="0">
        <references count="1">
          <reference field="0" count="2">
            <x v="246"/>
            <x v="247"/>
          </reference>
        </references>
      </pivotArea>
    </format>
    <format dxfId="1089">
      <pivotArea outline="0" fieldPosition="0">
        <references count="1">
          <reference field="0" count="2" selected="0">
            <x v="265"/>
            <x v="267"/>
          </reference>
        </references>
      </pivotArea>
    </format>
    <format dxfId="1088">
      <pivotArea dataOnly="0" labelOnly="1" outline="0" fieldPosition="0">
        <references count="1">
          <reference field="0" count="2">
            <x v="265"/>
            <x v="267"/>
          </reference>
        </references>
      </pivotArea>
    </format>
    <format dxfId="1087">
      <pivotArea outline="0" fieldPosition="0">
        <references count="1">
          <reference field="0" count="3" selected="0">
            <x v="271"/>
            <x v="273"/>
            <x v="274"/>
          </reference>
        </references>
      </pivotArea>
    </format>
    <format dxfId="1086">
      <pivotArea dataOnly="0" labelOnly="1" outline="0" fieldPosition="0">
        <references count="1">
          <reference field="0" count="3">
            <x v="271"/>
            <x v="273"/>
            <x v="274"/>
          </reference>
        </references>
      </pivotArea>
    </format>
    <format dxfId="1085">
      <pivotArea outline="0" fieldPosition="0">
        <references count="1">
          <reference field="0" count="1" selected="0">
            <x v="283"/>
          </reference>
        </references>
      </pivotArea>
    </format>
    <format dxfId="1084">
      <pivotArea dataOnly="0" labelOnly="1" outline="0" fieldPosition="0">
        <references count="1">
          <reference field="0" count="1">
            <x v="283"/>
          </reference>
        </references>
      </pivotArea>
    </format>
    <format dxfId="1083">
      <pivotArea outline="0" fieldPosition="0">
        <references count="1">
          <reference field="0" count="1" selected="0">
            <x v="298"/>
          </reference>
        </references>
      </pivotArea>
    </format>
    <format dxfId="1082">
      <pivotArea dataOnly="0" labelOnly="1" outline="0" fieldPosition="0">
        <references count="1">
          <reference field="0" count="1">
            <x v="298"/>
          </reference>
        </references>
      </pivotArea>
    </format>
    <format dxfId="1081">
      <pivotArea outline="0" fieldPosition="0">
        <references count="1">
          <reference field="0" count="1" selected="0">
            <x v="304"/>
          </reference>
        </references>
      </pivotArea>
    </format>
    <format dxfId="1080">
      <pivotArea dataOnly="0" labelOnly="1" outline="0" fieldPosition="0">
        <references count="1">
          <reference field="0" count="1">
            <x v="304"/>
          </reference>
        </references>
      </pivotArea>
    </format>
    <format dxfId="1079">
      <pivotArea outline="0" fieldPosition="0">
        <references count="1">
          <reference field="0" count="2" selected="0">
            <x v="309"/>
            <x v="313"/>
          </reference>
        </references>
      </pivotArea>
    </format>
    <format dxfId="1078">
      <pivotArea dataOnly="0" labelOnly="1" outline="0" fieldPosition="0">
        <references count="1">
          <reference field="0" count="2">
            <x v="309"/>
            <x v="313"/>
          </reference>
        </references>
      </pivotArea>
    </format>
    <format dxfId="1077">
      <pivotArea outline="0" fieldPosition="0">
        <references count="1">
          <reference field="0" count="1" selected="0">
            <x v="323"/>
          </reference>
        </references>
      </pivotArea>
    </format>
    <format dxfId="1076">
      <pivotArea dataOnly="0" labelOnly="1" outline="0" fieldPosition="0">
        <references count="1">
          <reference field="0" count="1">
            <x v="323"/>
          </reference>
        </references>
      </pivotArea>
    </format>
    <format dxfId="1075">
      <pivotArea outline="0" fieldPosition="0">
        <references count="1">
          <reference field="0" count="2" selected="0">
            <x v="328"/>
            <x v="329"/>
          </reference>
        </references>
      </pivotArea>
    </format>
    <format dxfId="1074">
      <pivotArea dataOnly="0" labelOnly="1" outline="0" fieldPosition="0">
        <references count="1">
          <reference field="0" count="2">
            <x v="328"/>
            <x v="329"/>
          </reference>
        </references>
      </pivotArea>
    </format>
    <format dxfId="1073">
      <pivotArea outline="0" fieldPosition="0">
        <references count="1">
          <reference field="0" count="1" selected="0">
            <x v="333"/>
          </reference>
        </references>
      </pivotArea>
    </format>
    <format dxfId="1072">
      <pivotArea dataOnly="0" labelOnly="1" outline="0" fieldPosition="0">
        <references count="1">
          <reference field="0" count="1">
            <x v="333"/>
          </reference>
        </references>
      </pivotArea>
    </format>
    <format dxfId="1071">
      <pivotArea outline="0" fieldPosition="0">
        <references count="1">
          <reference field="0" count="1" selected="0">
            <x v="338"/>
          </reference>
        </references>
      </pivotArea>
    </format>
    <format dxfId="1070">
      <pivotArea dataOnly="0" labelOnly="1" outline="0" fieldPosition="0">
        <references count="1">
          <reference field="0" count="1">
            <x v="338"/>
          </reference>
        </references>
      </pivotArea>
    </format>
    <format dxfId="1069">
      <pivotArea outline="0" fieldPosition="0">
        <references count="1">
          <reference field="0" count="1" selected="0">
            <x v="341"/>
          </reference>
        </references>
      </pivotArea>
    </format>
    <format dxfId="1068">
      <pivotArea dataOnly="0" labelOnly="1" outline="0" fieldPosition="0">
        <references count="1">
          <reference field="0" count="1">
            <x v="341"/>
          </reference>
        </references>
      </pivotArea>
    </format>
    <format dxfId="1067">
      <pivotArea outline="0" fieldPosition="0">
        <references count="1">
          <reference field="0" count="2" selected="0">
            <x v="352"/>
            <x v="355"/>
          </reference>
        </references>
      </pivotArea>
    </format>
    <format dxfId="1066">
      <pivotArea dataOnly="0" labelOnly="1" outline="0" fieldPosition="0">
        <references count="1">
          <reference field="0" count="2">
            <x v="352"/>
            <x v="355"/>
          </reference>
        </references>
      </pivotArea>
    </format>
    <format dxfId="1065">
      <pivotArea outline="0" fieldPosition="0">
        <references count="1">
          <reference field="0" count="1" selected="0">
            <x v="361"/>
          </reference>
        </references>
      </pivotArea>
    </format>
    <format dxfId="1064">
      <pivotArea dataOnly="0" labelOnly="1" outline="0" fieldPosition="0">
        <references count="1">
          <reference field="0" count="1">
            <x v="361"/>
          </reference>
        </references>
      </pivotArea>
    </format>
    <format dxfId="1063">
      <pivotArea outline="0" fieldPosition="0">
        <references count="1">
          <reference field="0" count="1" selected="0">
            <x v="368"/>
          </reference>
        </references>
      </pivotArea>
    </format>
    <format dxfId="1062">
      <pivotArea dataOnly="0" labelOnly="1" outline="0" fieldPosition="0">
        <references count="1">
          <reference field="0" count="1">
            <x v="368"/>
          </reference>
        </references>
      </pivotArea>
    </format>
    <format dxfId="1061">
      <pivotArea outline="0" fieldPosition="0">
        <references count="1">
          <reference field="0" count="1" selected="0">
            <x v="378"/>
          </reference>
        </references>
      </pivotArea>
    </format>
    <format dxfId="1060">
      <pivotArea dataOnly="0" labelOnly="1" outline="0" fieldPosition="0">
        <references count="1">
          <reference field="0" count="1">
            <x v="378"/>
          </reference>
        </references>
      </pivotArea>
    </format>
    <format dxfId="1059">
      <pivotArea outline="0" fieldPosition="0">
        <references count="1">
          <reference field="0" count="1" selected="0">
            <x v="384"/>
          </reference>
        </references>
      </pivotArea>
    </format>
    <format dxfId="1058">
      <pivotArea dataOnly="0" labelOnly="1" outline="0" fieldPosition="0">
        <references count="1">
          <reference field="0" count="1">
            <x v="384"/>
          </reference>
        </references>
      </pivotArea>
    </format>
    <format dxfId="1057">
      <pivotArea outline="0" fieldPosition="0">
        <references count="1">
          <reference field="0" count="2" selected="0">
            <x v="395"/>
            <x v="396"/>
          </reference>
        </references>
      </pivotArea>
    </format>
    <format dxfId="1056">
      <pivotArea dataOnly="0" labelOnly="1" outline="0" fieldPosition="0">
        <references count="1">
          <reference field="0" count="2">
            <x v="395"/>
            <x v="396"/>
          </reference>
        </references>
      </pivotArea>
    </format>
    <format dxfId="1055">
      <pivotArea outline="0" fieldPosition="0">
        <references count="1">
          <reference field="0" count="1" selected="0">
            <x v="426"/>
          </reference>
        </references>
      </pivotArea>
    </format>
    <format dxfId="1054">
      <pivotArea dataOnly="0" labelOnly="1" outline="0" fieldPosition="0">
        <references count="1">
          <reference field="0" count="1">
            <x v="426"/>
          </reference>
        </references>
      </pivotArea>
    </format>
    <format dxfId="1053">
      <pivotArea outline="0" fieldPosition="0">
        <references count="1">
          <reference field="0" count="2" selected="0">
            <x v="449"/>
            <x v="450"/>
          </reference>
        </references>
      </pivotArea>
    </format>
    <format dxfId="1052">
      <pivotArea dataOnly="0" labelOnly="1" outline="0" fieldPosition="0">
        <references count="1">
          <reference field="0" count="2">
            <x v="449"/>
            <x v="450"/>
          </reference>
        </references>
      </pivotArea>
    </format>
    <format dxfId="1051">
      <pivotArea outline="0" fieldPosition="0">
        <references count="1">
          <reference field="0" count="1" selected="0">
            <x v="466"/>
          </reference>
        </references>
      </pivotArea>
    </format>
    <format dxfId="1050">
      <pivotArea dataOnly="0" labelOnly="1" outline="0" fieldPosition="0">
        <references count="1">
          <reference field="0" count="1">
            <x v="466"/>
          </reference>
        </references>
      </pivotArea>
    </format>
    <format dxfId="1049">
      <pivotArea outline="0" fieldPosition="0">
        <references count="1">
          <reference field="0" count="1" selected="0">
            <x v="2"/>
          </reference>
        </references>
      </pivotArea>
    </format>
    <format dxfId="1048">
      <pivotArea dataOnly="0" labelOnly="1" outline="0" fieldPosition="0">
        <references count="1">
          <reference field="0" count="1">
            <x v="2"/>
          </reference>
        </references>
      </pivotArea>
    </format>
    <format dxfId="1047">
      <pivotArea outline="0" fieldPosition="0">
        <references count="1">
          <reference field="0" count="6" selected="0">
            <x v="17"/>
            <x v="19"/>
            <x v="21"/>
            <x v="32"/>
            <x v="34"/>
            <x v="36"/>
          </reference>
        </references>
      </pivotArea>
    </format>
    <format dxfId="1046">
      <pivotArea dataOnly="0" labelOnly="1" outline="0" fieldPosition="0">
        <references count="1">
          <reference field="0" count="6">
            <x v="17"/>
            <x v="19"/>
            <x v="21"/>
            <x v="32"/>
            <x v="34"/>
            <x v="36"/>
          </reference>
        </references>
      </pivotArea>
    </format>
    <format dxfId="1045">
      <pivotArea outline="0" fieldPosition="0">
        <references count="1">
          <reference field="0" count="3" selected="0">
            <x v="41"/>
            <x v="43"/>
            <x v="46"/>
          </reference>
        </references>
      </pivotArea>
    </format>
    <format dxfId="1044">
      <pivotArea dataOnly="0" labelOnly="1" outline="0" fieldPosition="0">
        <references count="1">
          <reference field="0" count="3">
            <x v="41"/>
            <x v="43"/>
            <x v="46"/>
          </reference>
        </references>
      </pivotArea>
    </format>
    <format dxfId="1043">
      <pivotArea outline="0" fieldPosition="0">
        <references count="1">
          <reference field="0" count="1" selected="0">
            <x v="50"/>
          </reference>
        </references>
      </pivotArea>
    </format>
    <format dxfId="1042">
      <pivotArea dataOnly="0" labelOnly="1" outline="0" fieldPosition="0">
        <references count="1">
          <reference field="0" count="1">
            <x v="50"/>
          </reference>
        </references>
      </pivotArea>
    </format>
    <format dxfId="1041">
      <pivotArea outline="0" fieldPosition="0">
        <references count="1">
          <reference field="0" count="1" selected="0">
            <x v="63"/>
          </reference>
        </references>
      </pivotArea>
    </format>
    <format dxfId="1040">
      <pivotArea dataOnly="0" labelOnly="1" outline="0" fieldPosition="0">
        <references count="1">
          <reference field="0" count="1">
            <x v="63"/>
          </reference>
        </references>
      </pivotArea>
    </format>
    <format dxfId="1039">
      <pivotArea outline="0" fieldPosition="0">
        <references count="1">
          <reference field="0" count="2" selected="0">
            <x v="72"/>
            <x v="76"/>
          </reference>
        </references>
      </pivotArea>
    </format>
    <format dxfId="1038">
      <pivotArea dataOnly="0" labelOnly="1" outline="0" fieldPosition="0">
        <references count="1">
          <reference field="0" count="2">
            <x v="72"/>
            <x v="76"/>
          </reference>
        </references>
      </pivotArea>
    </format>
    <format dxfId="1037">
      <pivotArea outline="0" fieldPosition="0">
        <references count="1">
          <reference field="0" count="2" selected="0">
            <x v="93"/>
            <x v="94"/>
          </reference>
        </references>
      </pivotArea>
    </format>
    <format dxfId="1036">
      <pivotArea dataOnly="0" labelOnly="1" outline="0" fieldPosition="0">
        <references count="1">
          <reference field="0" count="2">
            <x v="93"/>
            <x v="94"/>
          </reference>
        </references>
      </pivotArea>
    </format>
    <format dxfId="1035">
      <pivotArea outline="0" fieldPosition="0">
        <references count="1">
          <reference field="0" count="3" selected="0">
            <x v="110"/>
            <x v="112"/>
            <x v="115"/>
          </reference>
        </references>
      </pivotArea>
    </format>
    <format dxfId="1034">
      <pivotArea dataOnly="0" labelOnly="1" outline="0" fieldPosition="0">
        <references count="1">
          <reference field="0" count="3">
            <x v="110"/>
            <x v="112"/>
            <x v="115"/>
          </reference>
        </references>
      </pivotArea>
    </format>
    <format dxfId="1033">
      <pivotArea outline="0" fieldPosition="0">
        <references count="1">
          <reference field="0" count="3" selected="0">
            <x v="126"/>
            <x v="127"/>
            <x v="128"/>
          </reference>
        </references>
      </pivotArea>
    </format>
    <format dxfId="1032">
      <pivotArea dataOnly="0" labelOnly="1" outline="0" fieldPosition="0">
        <references count="1">
          <reference field="0" count="3">
            <x v="126"/>
            <x v="127"/>
            <x v="128"/>
          </reference>
        </references>
      </pivotArea>
    </format>
    <format dxfId="1031">
      <pivotArea outline="0" fieldPosition="0">
        <references count="1">
          <reference field="0" count="1" selected="0">
            <x v="133"/>
          </reference>
        </references>
      </pivotArea>
    </format>
    <format dxfId="1030">
      <pivotArea dataOnly="0" labelOnly="1" outline="0" fieldPosition="0">
        <references count="1">
          <reference field="0" count="1">
            <x v="133"/>
          </reference>
        </references>
      </pivotArea>
    </format>
    <format dxfId="1029">
      <pivotArea outline="0" fieldPosition="0">
        <references count="1">
          <reference field="0" count="1" selected="0">
            <x v="143"/>
          </reference>
        </references>
      </pivotArea>
    </format>
    <format dxfId="1028">
      <pivotArea dataOnly="0" labelOnly="1" outline="0" fieldPosition="0">
        <references count="1">
          <reference field="0" count="1">
            <x v="143"/>
          </reference>
        </references>
      </pivotArea>
    </format>
    <format dxfId="1027">
      <pivotArea outline="0" fieldPosition="0">
        <references count="1">
          <reference field="0" count="1" selected="0">
            <x v="156"/>
          </reference>
        </references>
      </pivotArea>
    </format>
    <format dxfId="1026">
      <pivotArea dataOnly="0" labelOnly="1" outline="0" fieldPosition="0">
        <references count="1">
          <reference field="0" count="1">
            <x v="156"/>
          </reference>
        </references>
      </pivotArea>
    </format>
    <format dxfId="1025">
      <pivotArea outline="0" fieldPosition="0">
        <references count="1">
          <reference field="0" count="2" selected="0">
            <x v="170"/>
            <x v="172"/>
          </reference>
        </references>
      </pivotArea>
    </format>
    <format dxfId="1024">
      <pivotArea dataOnly="0" labelOnly="1" outline="0" fieldPosition="0">
        <references count="1">
          <reference field="0" count="2">
            <x v="170"/>
            <x v="172"/>
          </reference>
        </references>
      </pivotArea>
    </format>
    <format dxfId="1023">
      <pivotArea outline="0" fieldPosition="0">
        <references count="1">
          <reference field="0" count="1" selected="0">
            <x v="181"/>
          </reference>
        </references>
      </pivotArea>
    </format>
    <format dxfId="1022">
      <pivotArea dataOnly="0" labelOnly="1" outline="0" fieldPosition="0">
        <references count="1">
          <reference field="0" count="1">
            <x v="181"/>
          </reference>
        </references>
      </pivotArea>
    </format>
    <format dxfId="1021">
      <pivotArea outline="0" fieldPosition="0">
        <references count="1">
          <reference field="0" count="1" selected="0">
            <x v="183"/>
          </reference>
        </references>
      </pivotArea>
    </format>
    <format dxfId="1020">
      <pivotArea dataOnly="0" labelOnly="1" outline="0" fieldPosition="0">
        <references count="1">
          <reference field="0" count="1">
            <x v="183"/>
          </reference>
        </references>
      </pivotArea>
    </format>
    <format dxfId="1019">
      <pivotArea outline="0" fieldPosition="0">
        <references count="1">
          <reference field="0" count="1" selected="0">
            <x v="189"/>
          </reference>
        </references>
      </pivotArea>
    </format>
    <format dxfId="1018">
      <pivotArea dataOnly="0" labelOnly="1" outline="0" fieldPosition="0">
        <references count="1">
          <reference field="0" count="1">
            <x v="189"/>
          </reference>
        </references>
      </pivotArea>
    </format>
    <format dxfId="1017">
      <pivotArea outline="0" fieldPosition="0">
        <references count="1">
          <reference field="0" count="1" selected="0">
            <x v="197"/>
          </reference>
        </references>
      </pivotArea>
    </format>
    <format dxfId="1016">
      <pivotArea dataOnly="0" labelOnly="1" outline="0" fieldPosition="0">
        <references count="1">
          <reference field="0" count="1">
            <x v="197"/>
          </reference>
        </references>
      </pivotArea>
    </format>
    <format dxfId="1015">
      <pivotArea outline="0" fieldPosition="0">
        <references count="1">
          <reference field="0" count="2" selected="0">
            <x v="226"/>
            <x v="227"/>
          </reference>
        </references>
      </pivotArea>
    </format>
    <format dxfId="1014">
      <pivotArea dataOnly="0" labelOnly="1" outline="0" fieldPosition="0">
        <references count="1">
          <reference field="0" count="2">
            <x v="226"/>
            <x v="227"/>
          </reference>
        </references>
      </pivotArea>
    </format>
    <format dxfId="1013">
      <pivotArea outline="0" fieldPosition="0">
        <references count="1">
          <reference field="0" count="1" selected="0">
            <x v="243"/>
          </reference>
        </references>
      </pivotArea>
    </format>
    <format dxfId="1012">
      <pivotArea dataOnly="0" labelOnly="1" outline="0" fieldPosition="0">
        <references count="1">
          <reference field="0" count="1">
            <x v="243"/>
          </reference>
        </references>
      </pivotArea>
    </format>
    <format dxfId="1011">
      <pivotArea outline="0" fieldPosition="0">
        <references count="1">
          <reference field="0" count="2" selected="0">
            <x v="246"/>
            <x v="247"/>
          </reference>
        </references>
      </pivotArea>
    </format>
    <format dxfId="1010">
      <pivotArea dataOnly="0" labelOnly="1" outline="0" fieldPosition="0">
        <references count="1">
          <reference field="0" count="2">
            <x v="246"/>
            <x v="247"/>
          </reference>
        </references>
      </pivotArea>
    </format>
    <format dxfId="1009">
      <pivotArea outline="0" fieldPosition="0">
        <references count="1">
          <reference field="0" count="2" selected="0">
            <x v="265"/>
            <x v="267"/>
          </reference>
        </references>
      </pivotArea>
    </format>
    <format dxfId="1008">
      <pivotArea dataOnly="0" labelOnly="1" outline="0" fieldPosition="0">
        <references count="1">
          <reference field="0" count="2">
            <x v="265"/>
            <x v="267"/>
          </reference>
        </references>
      </pivotArea>
    </format>
    <format dxfId="1007">
      <pivotArea outline="0" fieldPosition="0">
        <references count="1">
          <reference field="0" count="3" selected="0">
            <x v="271"/>
            <x v="273"/>
            <x v="274"/>
          </reference>
        </references>
      </pivotArea>
    </format>
    <format dxfId="1006">
      <pivotArea dataOnly="0" labelOnly="1" outline="0" fieldPosition="0">
        <references count="1">
          <reference field="0" count="3">
            <x v="271"/>
            <x v="273"/>
            <x v="274"/>
          </reference>
        </references>
      </pivotArea>
    </format>
    <format dxfId="1005">
      <pivotArea outline="0" fieldPosition="0">
        <references count="1">
          <reference field="0" count="1" selected="0">
            <x v="283"/>
          </reference>
        </references>
      </pivotArea>
    </format>
    <format dxfId="1004">
      <pivotArea dataOnly="0" labelOnly="1" outline="0" fieldPosition="0">
        <references count="1">
          <reference field="0" count="1">
            <x v="283"/>
          </reference>
        </references>
      </pivotArea>
    </format>
    <format dxfId="1003">
      <pivotArea outline="0" fieldPosition="0">
        <references count="1">
          <reference field="0" count="1" selected="0">
            <x v="298"/>
          </reference>
        </references>
      </pivotArea>
    </format>
    <format dxfId="1002">
      <pivotArea dataOnly="0" labelOnly="1" outline="0" fieldPosition="0">
        <references count="1">
          <reference field="0" count="1">
            <x v="298"/>
          </reference>
        </references>
      </pivotArea>
    </format>
    <format dxfId="1001">
      <pivotArea outline="0" fieldPosition="0">
        <references count="1">
          <reference field="0" count="1" selected="0">
            <x v="304"/>
          </reference>
        </references>
      </pivotArea>
    </format>
    <format dxfId="1000">
      <pivotArea dataOnly="0" labelOnly="1" outline="0" fieldPosition="0">
        <references count="1">
          <reference field="0" count="1">
            <x v="304"/>
          </reference>
        </references>
      </pivotArea>
    </format>
    <format dxfId="999">
      <pivotArea outline="0" fieldPosition="0">
        <references count="1">
          <reference field="0" count="2" selected="0">
            <x v="309"/>
            <x v="313"/>
          </reference>
        </references>
      </pivotArea>
    </format>
    <format dxfId="998">
      <pivotArea dataOnly="0" labelOnly="1" outline="0" fieldPosition="0">
        <references count="1">
          <reference field="0" count="2">
            <x v="309"/>
            <x v="313"/>
          </reference>
        </references>
      </pivotArea>
    </format>
    <format dxfId="997">
      <pivotArea outline="0" fieldPosition="0">
        <references count="1">
          <reference field="0" count="1" selected="0">
            <x v="323"/>
          </reference>
        </references>
      </pivotArea>
    </format>
    <format dxfId="996">
      <pivotArea dataOnly="0" labelOnly="1" outline="0" fieldPosition="0">
        <references count="1">
          <reference field="0" count="1">
            <x v="323"/>
          </reference>
        </references>
      </pivotArea>
    </format>
    <format dxfId="995">
      <pivotArea outline="0" fieldPosition="0">
        <references count="1">
          <reference field="0" count="2" selected="0">
            <x v="328"/>
            <x v="329"/>
          </reference>
        </references>
      </pivotArea>
    </format>
    <format dxfId="994">
      <pivotArea dataOnly="0" labelOnly="1" outline="0" fieldPosition="0">
        <references count="1">
          <reference field="0" count="2">
            <x v="328"/>
            <x v="329"/>
          </reference>
        </references>
      </pivotArea>
    </format>
    <format dxfId="993">
      <pivotArea outline="0" fieldPosition="0">
        <references count="1">
          <reference field="0" count="1" selected="0">
            <x v="333"/>
          </reference>
        </references>
      </pivotArea>
    </format>
    <format dxfId="992">
      <pivotArea dataOnly="0" labelOnly="1" outline="0" fieldPosition="0">
        <references count="1">
          <reference field="0" count="1">
            <x v="333"/>
          </reference>
        </references>
      </pivotArea>
    </format>
    <format dxfId="991">
      <pivotArea outline="0" fieldPosition="0">
        <references count="1">
          <reference field="0" count="1" selected="0">
            <x v="338"/>
          </reference>
        </references>
      </pivotArea>
    </format>
    <format dxfId="990">
      <pivotArea dataOnly="0" labelOnly="1" outline="0" fieldPosition="0">
        <references count="1">
          <reference field="0" count="1">
            <x v="338"/>
          </reference>
        </references>
      </pivotArea>
    </format>
    <format dxfId="989">
      <pivotArea outline="0" fieldPosition="0">
        <references count="1">
          <reference field="0" count="1" selected="0">
            <x v="341"/>
          </reference>
        </references>
      </pivotArea>
    </format>
    <format dxfId="988">
      <pivotArea dataOnly="0" labelOnly="1" outline="0" fieldPosition="0">
        <references count="1">
          <reference field="0" count="1">
            <x v="341"/>
          </reference>
        </references>
      </pivotArea>
    </format>
    <format dxfId="987">
      <pivotArea outline="0" fieldPosition="0">
        <references count="1">
          <reference field="0" count="2" selected="0">
            <x v="352"/>
            <x v="355"/>
          </reference>
        </references>
      </pivotArea>
    </format>
    <format dxfId="986">
      <pivotArea dataOnly="0" labelOnly="1" outline="0" fieldPosition="0">
        <references count="1">
          <reference field="0" count="2">
            <x v="352"/>
            <x v="355"/>
          </reference>
        </references>
      </pivotArea>
    </format>
    <format dxfId="985">
      <pivotArea outline="0" fieldPosition="0">
        <references count="1">
          <reference field="0" count="1" selected="0">
            <x v="361"/>
          </reference>
        </references>
      </pivotArea>
    </format>
    <format dxfId="984">
      <pivotArea dataOnly="0" labelOnly="1" outline="0" fieldPosition="0">
        <references count="1">
          <reference field="0" count="1">
            <x v="361"/>
          </reference>
        </references>
      </pivotArea>
    </format>
    <format dxfId="983">
      <pivotArea outline="0" fieldPosition="0">
        <references count="1">
          <reference field="0" count="1" selected="0">
            <x v="368"/>
          </reference>
        </references>
      </pivotArea>
    </format>
    <format dxfId="982">
      <pivotArea dataOnly="0" labelOnly="1" outline="0" fieldPosition="0">
        <references count="1">
          <reference field="0" count="1">
            <x v="368"/>
          </reference>
        </references>
      </pivotArea>
    </format>
    <format dxfId="981">
      <pivotArea outline="0" fieldPosition="0">
        <references count="1">
          <reference field="0" count="1" selected="0">
            <x v="378"/>
          </reference>
        </references>
      </pivotArea>
    </format>
    <format dxfId="980">
      <pivotArea dataOnly="0" labelOnly="1" outline="0" fieldPosition="0">
        <references count="1">
          <reference field="0" count="1">
            <x v="378"/>
          </reference>
        </references>
      </pivotArea>
    </format>
    <format dxfId="979">
      <pivotArea outline="0" fieldPosition="0">
        <references count="1">
          <reference field="0" count="1" selected="0">
            <x v="384"/>
          </reference>
        </references>
      </pivotArea>
    </format>
    <format dxfId="978">
      <pivotArea dataOnly="0" labelOnly="1" outline="0" fieldPosition="0">
        <references count="1">
          <reference field="0" count="1">
            <x v="384"/>
          </reference>
        </references>
      </pivotArea>
    </format>
    <format dxfId="977">
      <pivotArea outline="0" fieldPosition="0">
        <references count="1">
          <reference field="0" count="2" selected="0">
            <x v="395"/>
            <x v="396"/>
          </reference>
        </references>
      </pivotArea>
    </format>
    <format dxfId="976">
      <pivotArea dataOnly="0" labelOnly="1" outline="0" fieldPosition="0">
        <references count="1">
          <reference field="0" count="2">
            <x v="395"/>
            <x v="396"/>
          </reference>
        </references>
      </pivotArea>
    </format>
    <format dxfId="975">
      <pivotArea outline="0" fieldPosition="0">
        <references count="1">
          <reference field="0" count="1" selected="0">
            <x v="426"/>
          </reference>
        </references>
      </pivotArea>
    </format>
    <format dxfId="974">
      <pivotArea dataOnly="0" labelOnly="1" outline="0" fieldPosition="0">
        <references count="1">
          <reference field="0" count="1">
            <x v="426"/>
          </reference>
        </references>
      </pivotArea>
    </format>
    <format dxfId="973">
      <pivotArea outline="0" fieldPosition="0">
        <references count="1">
          <reference field="0" count="2" selected="0">
            <x v="449"/>
            <x v="450"/>
          </reference>
        </references>
      </pivotArea>
    </format>
    <format dxfId="972">
      <pivotArea dataOnly="0" labelOnly="1" outline="0" fieldPosition="0">
        <references count="1">
          <reference field="0" count="2">
            <x v="449"/>
            <x v="450"/>
          </reference>
        </references>
      </pivotArea>
    </format>
    <format dxfId="971">
      <pivotArea outline="0" fieldPosition="0">
        <references count="1">
          <reference field="0" count="1" selected="0">
            <x v="466"/>
          </reference>
        </references>
      </pivotArea>
    </format>
    <format dxfId="970">
      <pivotArea dataOnly="0" labelOnly="1" outline="0" fieldPosition="0">
        <references count="1">
          <reference field="0" count="1">
            <x v="466"/>
          </reference>
        </references>
      </pivotArea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53205CF-D59D-4501-9D6C-D3CBADF4587D}" name="Tabela3" displayName="Tabela3" ref="A3:T18" totalsRowShown="0">
  <autoFilter ref="A3:T18" xr:uid="{653205CF-D59D-4501-9D6C-D3CBADF4587D}"/>
  <tableColumns count="20">
    <tableColumn id="1" xr3:uid="{19BECBDD-60D0-4274-A373-F2E3A622C326}" name="Cliente"/>
    <tableColumn id="2" xr3:uid="{19D0AD84-039C-4142-A78C-BA7B8BDE7997}" name="Nota Fiscal"/>
    <tableColumn id="3" xr3:uid="{4C88C0A7-E639-471E-B8F6-FE83C09EBC51}" name="Emissão" dataDxfId="1436"/>
    <tableColumn id="4" xr3:uid="{43837962-C263-498A-AB1C-31FD2AE0BDA6}" name="Vencimento" dataDxfId="1435"/>
    <tableColumn id="5" xr3:uid="{0747872A-33E9-4683-BDE8-2F115F396473}" name="Valor - R$"/>
    <tableColumn id="6" xr3:uid="{782F72E3-D3FB-409F-94AE-DBDB04C58C17}" name="Dias Vencido"/>
    <tableColumn id="7" xr3:uid="{B2B971FA-0445-45A8-8F0B-142D6FDC274C}" name="acima de 181 dias"/>
    <tableColumn id="8" xr3:uid="{02247F25-BB5C-42C0-9B78-E9F42FC14C64}" name="151 a 180 dias"/>
    <tableColumn id="9" xr3:uid="{FA876A0D-69F1-429D-B4C2-22E21F4A9AB8}" name="121 a 150 dias"/>
    <tableColumn id="10" xr3:uid="{C5C80772-CEB8-4B89-ADF1-22455EA6E526}" name="91 a 120 dias"/>
    <tableColumn id="11" xr3:uid="{500CB84A-8B51-40D2-9972-94C7C7A0C892}" name="61 a 90 dias"/>
    <tableColumn id="12" xr3:uid="{ED3DD592-9C50-46F2-A508-01DCB502BBF2}" name="31 a 60 dias"/>
    <tableColumn id="13" xr3:uid="{67878488-A6B8-4AF7-A812-9559C069DD5A}" name="30 dias"/>
    <tableColumn id="14" xr3:uid="{05DB5A80-98BA-4643-B31F-A51869DD79D2}" name="TOTAL"/>
    <tableColumn id="15" xr3:uid="{B22038D4-2A2B-4AC3-B11D-1D43DED9A977}" name="30 dias2"/>
    <tableColumn id="16" xr3:uid="{2A18AAB1-90DF-4142-8052-5AC7DF0CE5F2}" name="31 a 60 dias2"/>
    <tableColumn id="17" xr3:uid="{9F3EB948-86E2-4C75-AF22-D11D9EFF3A49}" name="61 a 90 dias2"/>
    <tableColumn id="18" xr3:uid="{84FF6BA5-B3E8-454D-BB24-CD8E0ABBEB74}" name="91 a 120 dias2"/>
    <tableColumn id="19" xr3:uid="{0EA2DB7E-7F4B-4DE6-96D8-F7F133A9E7A0}" name="acima de  120 dias"/>
    <tableColumn id="20" xr3:uid="{A3CB5A8F-47D8-4AB4-A39E-7C262D60315D}" name="TOTAL2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53B673C-AE8D-454D-8BB4-A35FB29DF3F5}" name="Tabela4" displayName="Tabela4" ref="A3:T4" totalsRowShown="0">
  <autoFilter ref="A3:T4" xr:uid="{753B673C-AE8D-454D-8BB4-A35FB29DF3F5}"/>
  <tableColumns count="20">
    <tableColumn id="1" xr3:uid="{9F95DAB6-A662-4ACB-9FC2-C9D8E3C5B9AA}" name="Cliente"/>
    <tableColumn id="2" xr3:uid="{8C569DB4-D1AC-4A83-86EB-6FF69CF9510E}" name="Nota Fiscal"/>
    <tableColumn id="3" xr3:uid="{B97A73C2-7E75-490E-8D5B-68049E9CB397}" name="Emissão" dataDxfId="1434"/>
    <tableColumn id="4" xr3:uid="{B69A8B57-577C-4D40-9679-10A4CA4A5F5C}" name="Vencimento" dataDxfId="1433"/>
    <tableColumn id="5" xr3:uid="{88869A54-CD27-48F2-BBAF-CBD28A0E14EC}" name="Valor - R$"/>
    <tableColumn id="6" xr3:uid="{022C954C-256F-4DEC-B6E5-6EACD877A871}" name="Dias Vencido"/>
    <tableColumn id="7" xr3:uid="{0143C5B5-C06C-492F-9E4B-279C12157E9F}" name="acima de 181 dias"/>
    <tableColumn id="8" xr3:uid="{BD9D3535-0C5A-4639-8815-EC8E37B9AADC}" name="151 a 180 dias"/>
    <tableColumn id="9" xr3:uid="{28E39575-75E5-434E-ABE6-E1B09F4C9DEF}" name="121 a 150 dias"/>
    <tableColumn id="10" xr3:uid="{4820965C-1B79-46E7-8533-7933B73B261B}" name="91 a 120 dias"/>
    <tableColumn id="11" xr3:uid="{628C1040-E3CB-4E70-B453-EB1AEE660FB2}" name="61 a 90 dias"/>
    <tableColumn id="12" xr3:uid="{458C25D3-E10F-4986-8CEF-1B60CEC244E7}" name="31 a 60 dias"/>
    <tableColumn id="13" xr3:uid="{7CA78155-411B-438F-8AD1-32AE1C642FA0}" name="30 dias"/>
    <tableColumn id="14" xr3:uid="{A4C57A79-4EDA-49CC-802C-603F98566D32}" name="TOTAL"/>
    <tableColumn id="15" xr3:uid="{99ED46DC-17F4-4A63-AB62-51EEE3E47520}" name="30 dias2"/>
    <tableColumn id="16" xr3:uid="{C9FAFEFF-7962-49C8-817D-01B6DF091616}" name="31 a 60 dias2"/>
    <tableColumn id="17" xr3:uid="{DADD9C1E-3A10-429E-AC6B-1AE629237F87}" name="61 a 90 dias2"/>
    <tableColumn id="18" xr3:uid="{227B76AE-E7AD-4C8E-A835-DBFE58506281}" name="91 a 120 dias2"/>
    <tableColumn id="19" xr3:uid="{7EA71AA5-083D-4A6D-8CA5-219407189907}" name="acima de  120 dias"/>
    <tableColumn id="20" xr3:uid="{4D7E6D3D-7D1C-425A-B7DA-B065A2F70CC4}" name="TOTAL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2A1B69D-EC38-4BE2-9B40-42FF6C41A131}" name="Tabela5" displayName="Tabela5" ref="A3:T17" totalsRowShown="0">
  <autoFilter ref="A3:T17" xr:uid="{92A1B69D-EC38-4BE2-9B40-42FF6C41A131}"/>
  <tableColumns count="20">
    <tableColumn id="1" xr3:uid="{9726619A-A11C-4E5A-AE77-6F97B83965CA}" name="Cliente"/>
    <tableColumn id="2" xr3:uid="{FDAA348E-B2F4-4A09-BC52-8D968CA73E21}" name="Nota Fiscal"/>
    <tableColumn id="3" xr3:uid="{469D3762-D0CA-454C-B03E-51F38150864A}" name="Emissão" dataDxfId="1432"/>
    <tableColumn id="4" xr3:uid="{8D18A0CF-26BA-4464-B973-5DC1678FE4A3}" name="Vencimento" dataDxfId="1431"/>
    <tableColumn id="5" xr3:uid="{F7B56064-E577-4EBD-AEF7-C382EB32BA7B}" name="Valor - R$"/>
    <tableColumn id="6" xr3:uid="{99CFB8AB-AAC2-4EBC-BB06-492F18E141CB}" name="Dias Vencido"/>
    <tableColumn id="7" xr3:uid="{E4292B14-E399-4C25-81B3-DE8801FAE095}" name="acima de 181 dias"/>
    <tableColumn id="8" xr3:uid="{C7297739-8251-4554-B758-9F3113C7352F}" name="151 a 180 dias"/>
    <tableColumn id="9" xr3:uid="{0B921DD5-958C-4495-BD01-4E8197C31D98}" name="121 a 150 dias"/>
    <tableColumn id="10" xr3:uid="{EFC798EF-305B-464C-9C7C-84B0901DBF4D}" name="91 a 120 dias"/>
    <tableColumn id="11" xr3:uid="{FB63F67C-557C-452B-B5DC-75FB51875086}" name="61 a 90 dias"/>
    <tableColumn id="12" xr3:uid="{F49F3D78-C572-434F-9D25-03AC2A31E602}" name="31 a 60 dias"/>
    <tableColumn id="13" xr3:uid="{57B7BF9B-3D6F-473B-8DA6-7398158BA845}" name="30 dias"/>
    <tableColumn id="14" xr3:uid="{02311A60-9786-41B5-B855-03D80A20512B}" name="TOTAL"/>
    <tableColumn id="15" xr3:uid="{57705DA7-EEEC-4A63-B777-7E5AA6B723CB}" name="30 dias2"/>
    <tableColumn id="16" xr3:uid="{1CC69F0A-F4FB-4028-B410-9D2D67EE08E8}" name="31 a 60 dias2"/>
    <tableColumn id="17" xr3:uid="{7B294B49-05B6-43B0-B365-F765377515B2}" name="61 a 90 dias2"/>
    <tableColumn id="18" xr3:uid="{E5C8453F-18B3-46A1-B862-B4CFADC311A4}" name="91 a 120 dias2"/>
    <tableColumn id="19" xr3:uid="{80CCD479-57C1-489A-8225-6143951CB397}" name="acima de  120 dias"/>
    <tableColumn id="20" xr3:uid="{7368070E-00BE-4D69-845B-70B769EFAE1F}" name="TOTAL2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E35AD82-29B7-467F-9357-0D951DF9B42C}" name="Tabela2" displayName="Tabela2" ref="A3:T11" totalsRowShown="0">
  <autoFilter ref="A3:T11" xr:uid="{6E35AD82-29B7-467F-9357-0D951DF9B42C}"/>
  <tableColumns count="20">
    <tableColumn id="1" xr3:uid="{622C11C6-C607-4E00-BB38-46225884A742}" name="Cliente"/>
    <tableColumn id="2" xr3:uid="{B177769E-A225-4EFD-8501-663F4A85DACA}" name="Nota Fiscal"/>
    <tableColumn id="3" xr3:uid="{C42F5154-9A7A-4262-BECD-5A6A7C100617}" name="Emissão" dataDxfId="969"/>
    <tableColumn id="4" xr3:uid="{99E18221-A1BD-4EBD-9A0A-2218592A4C4D}" name="Vencimento" dataDxfId="968"/>
    <tableColumn id="5" xr3:uid="{03B5E4E2-07A8-4667-BC05-94FC4E0C08A6}" name="Valor - R$"/>
    <tableColumn id="6" xr3:uid="{D3B85A81-4A96-4D73-8DE7-E86C3D3C2A55}" name="Dias Vencido"/>
    <tableColumn id="7" xr3:uid="{E092A129-3848-4F42-9F21-E1CE26F1BF94}" name="acima de 181 dias"/>
    <tableColumn id="8" xr3:uid="{547BF319-C266-48CC-9DA2-6CEDD8DFEA47}" name="151 a 180 dias"/>
    <tableColumn id="9" xr3:uid="{69287B35-1F82-4310-8F78-FAF44C0767C0}" name="121 a 150 dias"/>
    <tableColumn id="10" xr3:uid="{5FC2524C-5B34-47D5-88EF-E1D331F0C609}" name="91 a 120 dias"/>
    <tableColumn id="11" xr3:uid="{F49B3B5B-70D9-42E3-B65E-143FBBD10F47}" name="61 a 90 dias"/>
    <tableColumn id="12" xr3:uid="{8D8A366D-B640-44A0-A913-94931F52297E}" name="31 a 60 dias"/>
    <tableColumn id="13" xr3:uid="{31C8489B-1436-404E-8762-9B22F8071760}" name="30 dias"/>
    <tableColumn id="14" xr3:uid="{96EC5CCC-3BD3-4204-B6F8-AEDC582D8981}" name="TOTAL"/>
    <tableColumn id="15" xr3:uid="{E6479EB4-E502-48E4-8DD1-86D3DB33EE27}" name="30 dias2"/>
    <tableColumn id="16" xr3:uid="{ABD8AC37-A608-43F3-A7E4-41A6825B3C8E}" name="31 a 60 dias2"/>
    <tableColumn id="17" xr3:uid="{52AAEE15-CF2A-4F5A-8BBC-19D0F25A12A2}" name="61 a 90 dias2"/>
    <tableColumn id="18" xr3:uid="{845B454B-6253-4C98-BD91-DB3B8A01FBF8}" name="91 a 120 dias2"/>
    <tableColumn id="19" xr3:uid="{7854C2D0-B7E8-4BBF-B3A4-E1ECA8C73E4E}" name="acima de  120 dias"/>
    <tableColumn id="20" xr3:uid="{AB4DFA9A-6F4D-4FAC-922A-EA715F13308B}" name="TOTAL2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C0A5AA-DB02-47B4-A0F3-72307A3F9535}" name="Tabela1" displayName="Tabela1" ref="B6:U1245" totalsRowCount="1" headerRowDxfId="967" dataDxfId="965" totalsRowDxfId="963" headerRowBorderDxfId="966" tableBorderDxfId="964" totalsRowBorderDxfId="962" dataCellStyle="Vírgula">
  <autoFilter ref="B6:U1244" xr:uid="{00000000-0009-0000-0000-000001000000}"/>
  <tableColumns count="20">
    <tableColumn id="1" xr3:uid="{BAE7F5F1-CE91-405A-921E-D8908AC17483}" name="Cliente" totalsRowLabel="Total" dataDxfId="961" totalsRowDxfId="960"/>
    <tableColumn id="2" xr3:uid="{E6E90E59-C7CE-46A1-B10F-6D11B10F4FE9}" name="Nota Fiscal" dataDxfId="959" totalsRowDxfId="958"/>
    <tableColumn id="3" xr3:uid="{114EEC85-1EA7-4728-92CC-337E36C81905}" name="Emissão" dataDxfId="957" totalsRowDxfId="956"/>
    <tableColumn id="4" xr3:uid="{3B979894-1308-4B51-B85C-3B74A9DFB782}" name="Vencimento" dataDxfId="955" totalsRowDxfId="954"/>
    <tableColumn id="5" xr3:uid="{69FEC048-AD09-497A-B41B-BAADE075DF34}" name="Valor - R$" totalsRowFunction="sum" dataDxfId="953" totalsRowDxfId="952" dataCellStyle="Moeda 2 4"/>
    <tableColumn id="6" xr3:uid="{0627CB46-0890-4316-896D-97EE2EFBA7C4}" name="Dias Vencido" dataDxfId="951" totalsRowDxfId="950" dataCellStyle="Vírgula">
      <calculatedColumnFormula>E7-$H$3</calculatedColumnFormula>
    </tableColumn>
    <tableColumn id="7" xr3:uid="{8419C7F8-F583-4DB9-9044-915E56CEF518}" name="acima de 181 dias" totalsRowFunction="sum" dataDxfId="949" totalsRowDxfId="948" dataCellStyle="Vírgula">
      <calculatedColumnFormula>IF(AND($G7&gt;=-8000,$G7&lt;=-181),$F7,0)</calculatedColumnFormula>
    </tableColumn>
    <tableColumn id="8" xr3:uid="{1ADAC99C-E1D8-4DF4-BADB-3410695F87AC}" name="151 a 180 dias" totalsRowFunction="sum" dataDxfId="947" totalsRowDxfId="946" dataCellStyle="Vírgula">
      <calculatedColumnFormula>IF(AND($G7&gt;=-180,$G7&lt;=-151),$F7,0)</calculatedColumnFormula>
    </tableColumn>
    <tableColumn id="9" xr3:uid="{C05CDB84-F0E8-4F72-9C0A-1DE0F46B32BE}" name="121 a 150 dias" totalsRowFunction="sum" dataDxfId="945" totalsRowDxfId="944" dataCellStyle="Vírgula">
      <calculatedColumnFormula>IF(AND($G7&gt;=-150,$G7&lt;=-121),$F7,0)</calculatedColumnFormula>
    </tableColumn>
    <tableColumn id="10" xr3:uid="{6D40BB93-C3F5-4BF9-B242-222EAB61DB06}" name="91 a 120 dias" totalsRowFunction="sum" dataDxfId="943" totalsRowDxfId="942" dataCellStyle="Vírgula">
      <calculatedColumnFormula>IF(AND($G7&gt;=-120,$G7&lt;=-91),$F7,0)</calculatedColumnFormula>
    </tableColumn>
    <tableColumn id="11" xr3:uid="{1D498932-A3D0-4FBA-8B36-4F0786D6D4B9}" name="61 a 90 dias" totalsRowFunction="sum" dataDxfId="941" totalsRowDxfId="940" dataCellStyle="Vírgula">
      <calculatedColumnFormula>IF(AND($G7&gt;=-90,$G7&lt;=-61),$F7,0)</calculatedColumnFormula>
    </tableColumn>
    <tableColumn id="12" xr3:uid="{8D15FD1F-D010-418C-9BD2-35B433FBAC77}" name="31 a 60 dias" totalsRowFunction="sum" dataDxfId="939" totalsRowDxfId="938" dataCellStyle="Vírgula">
      <calculatedColumnFormula>IF(AND($G7&gt;=-60,$G7&lt;=-31),$F7,0)</calculatedColumnFormula>
    </tableColumn>
    <tableColumn id="13" xr3:uid="{AC0015DC-A6E6-469D-8B0D-BCFD5615CCFB}" name="30 dias" totalsRowFunction="sum" dataDxfId="937" totalsRowDxfId="936" dataCellStyle="Vírgula">
      <calculatedColumnFormula>IF(AND($G7&gt;=-30,$G7&lt;=-1),$F7,0)</calculatedColumnFormula>
    </tableColumn>
    <tableColumn id="14" xr3:uid="{8A89E90B-89CE-4224-9B25-7A0D6E530FA9}" name="TOTAL" totalsRowFunction="sum" dataDxfId="935" totalsRowDxfId="934" dataCellStyle="Vírgula">
      <calculatedColumnFormula>SUM(H7:N7)</calculatedColumnFormula>
    </tableColumn>
    <tableColumn id="15" xr3:uid="{EE0F7F52-0764-4A8D-9B1C-E7AF1E41400D}" name="30 dias2" totalsRowFunction="sum" dataDxfId="933" totalsRowDxfId="932" dataCellStyle="Vírgula">
      <calculatedColumnFormula>IF(AND($G7&lt;=30,$G7&gt;=0),$F7,0)</calculatedColumnFormula>
    </tableColumn>
    <tableColumn id="16" xr3:uid="{AA25BC59-8F1B-4ECF-A98E-82536534C1F6}" name="31 a 60 dias3" totalsRowFunction="sum" dataDxfId="931" totalsRowDxfId="930" dataCellStyle="Vírgula">
      <calculatedColumnFormula>IF(AND($G7&lt;=60,$G7&gt;=31),$F7,0)</calculatedColumnFormula>
    </tableColumn>
    <tableColumn id="17" xr3:uid="{B926B2D2-29EB-4468-A2D0-EB8009155F86}" name="61 a 90 dias4" totalsRowFunction="sum" dataDxfId="929" totalsRowDxfId="928" dataCellStyle="Vírgula">
      <calculatedColumnFormula>IF(AND($G7&lt;=90,$G7&gt;=61),$F7,0)</calculatedColumnFormula>
    </tableColumn>
    <tableColumn id="18" xr3:uid="{C863DB29-8666-4E0B-AF83-FBFEA5776BD6}" name="91 a 120 dias5" totalsRowFunction="sum" dataDxfId="927" totalsRowDxfId="926" dataCellStyle="Vírgula">
      <calculatedColumnFormula>IF(AND($G7&lt;=120,$G7&gt;=91),$F7,0)</calculatedColumnFormula>
    </tableColumn>
    <tableColumn id="19" xr3:uid="{3D9B9E4C-EDA9-4DCC-8DE7-6E16BF09D5CF}" name="acima de  120 dias" totalsRowFunction="sum" dataDxfId="925" totalsRowDxfId="924" dataCellStyle="Vírgula">
      <calculatedColumnFormula>IF(G7&gt;=121,F7,0)</calculatedColumnFormula>
    </tableColumn>
    <tableColumn id="20" xr3:uid="{D7E846AF-D6DC-4834-AA68-7D593DF12419}" name="TOTAL6" totalsRowFunction="sum" dataDxfId="923" totalsRowDxfId="922" dataCellStyle="Vírgula">
      <calculatedColumnFormula>SUM(P7:T7)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C8C85-B4C1-440F-AE63-8DBEF0807EA8}">
  <dimension ref="A1:T18"/>
  <sheetViews>
    <sheetView workbookViewId="0">
      <selection activeCell="L13" sqref="L13"/>
    </sheetView>
  </sheetViews>
  <sheetFormatPr defaultRowHeight="12.75" x14ac:dyDescent="0.2"/>
  <cols>
    <col min="1" max="1" width="20.5703125" bestFit="1" customWidth="1"/>
    <col min="2" max="2" width="13.28515625" bestFit="1" customWidth="1"/>
    <col min="3" max="3" width="10.7109375" bestFit="1" customWidth="1"/>
    <col min="4" max="4" width="14.140625" bestFit="1" customWidth="1"/>
    <col min="5" max="5" width="12.140625" bestFit="1" customWidth="1"/>
    <col min="6" max="6" width="15.140625" bestFit="1" customWidth="1"/>
    <col min="7" max="7" width="19.85546875" bestFit="1" customWidth="1"/>
    <col min="8" max="9" width="16" bestFit="1" customWidth="1"/>
    <col min="10" max="10" width="14.85546875" bestFit="1" customWidth="1"/>
    <col min="11" max="12" width="13.85546875" bestFit="1" customWidth="1"/>
    <col min="13" max="13" width="9.5703125" bestFit="1" customWidth="1"/>
    <col min="14" max="14" width="9.42578125" bestFit="1" customWidth="1"/>
    <col min="15" max="15" width="10.5703125" bestFit="1" customWidth="1"/>
    <col min="16" max="17" width="14.85546875" bestFit="1" customWidth="1"/>
    <col min="18" max="18" width="16" bestFit="1" customWidth="1"/>
    <col min="19" max="19" width="20.42578125" bestFit="1" customWidth="1"/>
    <col min="20" max="20" width="10.42578125" bestFit="1" customWidth="1"/>
  </cols>
  <sheetData>
    <row r="1" spans="1:20" x14ac:dyDescent="0.2">
      <c r="A1" s="73" t="s">
        <v>1634</v>
      </c>
    </row>
    <row r="3" spans="1:20" x14ac:dyDescent="0.2">
      <c r="A3" t="s">
        <v>18</v>
      </c>
      <c r="B3" t="s">
        <v>19</v>
      </c>
      <c r="C3" t="s">
        <v>1</v>
      </c>
      <c r="D3" t="s">
        <v>20</v>
      </c>
      <c r="E3" t="s">
        <v>5</v>
      </c>
      <c r="F3" t="s">
        <v>21</v>
      </c>
      <c r="G3" t="s">
        <v>26</v>
      </c>
      <c r="H3" t="s">
        <v>3</v>
      </c>
      <c r="I3" t="s">
        <v>2</v>
      </c>
      <c r="J3" t="s">
        <v>22</v>
      </c>
      <c r="K3" t="s">
        <v>23</v>
      </c>
      <c r="L3" t="s">
        <v>24</v>
      </c>
      <c r="M3" t="s">
        <v>25</v>
      </c>
      <c r="N3" t="s">
        <v>0</v>
      </c>
      <c r="O3" t="s">
        <v>1027</v>
      </c>
      <c r="P3" t="s">
        <v>1626</v>
      </c>
      <c r="Q3" t="s">
        <v>1627</v>
      </c>
      <c r="R3" t="s">
        <v>1628</v>
      </c>
      <c r="S3" t="s">
        <v>4</v>
      </c>
      <c r="T3" t="s">
        <v>1629</v>
      </c>
    </row>
    <row r="4" spans="1:20" x14ac:dyDescent="0.2">
      <c r="A4" t="s">
        <v>64</v>
      </c>
      <c r="B4" t="s">
        <v>560</v>
      </c>
      <c r="C4" s="72">
        <v>45860</v>
      </c>
      <c r="D4" s="72">
        <v>46096</v>
      </c>
      <c r="E4">
        <v>67533.850000000006</v>
      </c>
      <c r="F4">
        <v>74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67533.850000000006</v>
      </c>
      <c r="R4">
        <v>0</v>
      </c>
      <c r="S4">
        <v>0</v>
      </c>
      <c r="T4">
        <v>67533.850000000006</v>
      </c>
    </row>
    <row r="5" spans="1:20" x14ac:dyDescent="0.2">
      <c r="A5" t="s">
        <v>64</v>
      </c>
      <c r="B5" t="s">
        <v>701</v>
      </c>
      <c r="C5" s="72">
        <v>45905</v>
      </c>
      <c r="D5" s="72">
        <v>46083</v>
      </c>
      <c r="E5">
        <v>49707.5</v>
      </c>
      <c r="F5">
        <v>61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49707.5</v>
      </c>
      <c r="R5">
        <v>0</v>
      </c>
      <c r="S5">
        <v>0</v>
      </c>
      <c r="T5">
        <v>49707.5</v>
      </c>
    </row>
    <row r="6" spans="1:20" x14ac:dyDescent="0.2">
      <c r="A6" t="s">
        <v>64</v>
      </c>
      <c r="B6" t="s">
        <v>820</v>
      </c>
      <c r="C6" s="72">
        <v>45932</v>
      </c>
      <c r="D6" s="72">
        <v>46080</v>
      </c>
      <c r="E6">
        <v>38143.769999999997</v>
      </c>
      <c r="F6">
        <v>58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38143.769999999997</v>
      </c>
      <c r="Q6">
        <v>0</v>
      </c>
      <c r="R6">
        <v>0</v>
      </c>
      <c r="S6">
        <v>0</v>
      </c>
      <c r="T6">
        <v>38143.769999999997</v>
      </c>
    </row>
    <row r="7" spans="1:20" x14ac:dyDescent="0.2">
      <c r="A7" t="s">
        <v>64</v>
      </c>
      <c r="B7" t="s">
        <v>710</v>
      </c>
      <c r="C7" s="72">
        <v>45925</v>
      </c>
      <c r="D7" s="72">
        <v>46075</v>
      </c>
      <c r="E7">
        <v>38143.769999999997</v>
      </c>
      <c r="F7">
        <v>53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38143.769999999997</v>
      </c>
      <c r="Q7">
        <v>0</v>
      </c>
      <c r="R7">
        <v>0</v>
      </c>
      <c r="S7">
        <v>0</v>
      </c>
      <c r="T7">
        <v>38143.769999999997</v>
      </c>
    </row>
    <row r="8" spans="1:20" x14ac:dyDescent="0.2">
      <c r="A8" t="s">
        <v>64</v>
      </c>
      <c r="B8" t="s">
        <v>560</v>
      </c>
      <c r="C8" s="72">
        <v>45860</v>
      </c>
      <c r="D8" s="72">
        <v>46066</v>
      </c>
      <c r="E8">
        <v>67533.83</v>
      </c>
      <c r="F8">
        <v>44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67533.83</v>
      </c>
      <c r="Q8">
        <v>0</v>
      </c>
      <c r="R8">
        <v>0</v>
      </c>
      <c r="S8">
        <v>0</v>
      </c>
      <c r="T8">
        <v>67533.83</v>
      </c>
    </row>
    <row r="9" spans="1:20" x14ac:dyDescent="0.2">
      <c r="A9" t="s">
        <v>64</v>
      </c>
      <c r="B9" t="s">
        <v>702</v>
      </c>
      <c r="C9" s="72">
        <v>45905</v>
      </c>
      <c r="D9" s="72">
        <v>46053</v>
      </c>
      <c r="E9">
        <v>45480.44</v>
      </c>
      <c r="F9">
        <v>31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45480.44</v>
      </c>
      <c r="Q9">
        <v>0</v>
      </c>
      <c r="R9">
        <v>0</v>
      </c>
      <c r="S9">
        <v>0</v>
      </c>
      <c r="T9">
        <v>45480.44</v>
      </c>
    </row>
    <row r="10" spans="1:20" x14ac:dyDescent="0.2">
      <c r="A10" t="s">
        <v>64</v>
      </c>
      <c r="B10" t="s">
        <v>701</v>
      </c>
      <c r="C10" s="72">
        <v>45905</v>
      </c>
      <c r="D10" s="72">
        <v>46053</v>
      </c>
      <c r="E10">
        <v>49707.5</v>
      </c>
      <c r="F10">
        <v>31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49707.5</v>
      </c>
      <c r="Q10">
        <v>0</v>
      </c>
      <c r="R10">
        <v>0</v>
      </c>
      <c r="S10">
        <v>0</v>
      </c>
      <c r="T10">
        <v>49707.5</v>
      </c>
    </row>
    <row r="11" spans="1:20" x14ac:dyDescent="0.2">
      <c r="A11" t="s">
        <v>64</v>
      </c>
      <c r="B11" t="s">
        <v>466</v>
      </c>
      <c r="C11" s="72">
        <v>45819</v>
      </c>
      <c r="D11" s="72">
        <v>46053</v>
      </c>
      <c r="E11">
        <v>56271.65</v>
      </c>
      <c r="F11">
        <v>31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56271.65</v>
      </c>
      <c r="Q11">
        <v>0</v>
      </c>
      <c r="R11">
        <v>0</v>
      </c>
      <c r="S11">
        <v>0</v>
      </c>
      <c r="T11">
        <v>56271.65</v>
      </c>
    </row>
    <row r="12" spans="1:20" x14ac:dyDescent="0.2">
      <c r="A12" t="s">
        <v>64</v>
      </c>
      <c r="B12" t="s">
        <v>820</v>
      </c>
      <c r="C12" s="72">
        <v>45932</v>
      </c>
      <c r="D12" s="72">
        <v>46050</v>
      </c>
      <c r="E12">
        <v>38143.769999999997</v>
      </c>
      <c r="F12">
        <v>28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38143.769999999997</v>
      </c>
      <c r="P12">
        <v>0</v>
      </c>
      <c r="Q12">
        <v>0</v>
      </c>
      <c r="R12">
        <v>0</v>
      </c>
      <c r="S12">
        <v>0</v>
      </c>
      <c r="T12">
        <v>38143.769999999997</v>
      </c>
    </row>
    <row r="13" spans="1:20" x14ac:dyDescent="0.2">
      <c r="A13" t="s">
        <v>64</v>
      </c>
      <c r="B13" t="s">
        <v>710</v>
      </c>
      <c r="C13" s="72">
        <v>45925</v>
      </c>
      <c r="D13" s="72">
        <v>46045</v>
      </c>
      <c r="E13">
        <v>38143.769999999997</v>
      </c>
      <c r="F13">
        <v>23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38143.769999999997</v>
      </c>
      <c r="P13">
        <v>0</v>
      </c>
      <c r="Q13">
        <v>0</v>
      </c>
      <c r="R13">
        <v>0</v>
      </c>
      <c r="S13">
        <v>0</v>
      </c>
      <c r="T13">
        <v>38143.769999999997</v>
      </c>
    </row>
    <row r="14" spans="1:20" x14ac:dyDescent="0.2">
      <c r="A14" t="s">
        <v>64</v>
      </c>
      <c r="B14" t="s">
        <v>560</v>
      </c>
      <c r="C14" s="72">
        <v>45860</v>
      </c>
      <c r="D14" s="72">
        <v>46036</v>
      </c>
      <c r="E14">
        <v>67533.83</v>
      </c>
      <c r="F14">
        <v>14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67533.83</v>
      </c>
      <c r="P14">
        <v>0</v>
      </c>
      <c r="Q14">
        <v>0</v>
      </c>
      <c r="R14">
        <v>0</v>
      </c>
      <c r="S14">
        <v>0</v>
      </c>
      <c r="T14">
        <v>67533.83</v>
      </c>
    </row>
    <row r="15" spans="1:20" x14ac:dyDescent="0.2">
      <c r="A15" t="s">
        <v>64</v>
      </c>
      <c r="B15" t="s">
        <v>626</v>
      </c>
      <c r="C15" s="72">
        <v>45883</v>
      </c>
      <c r="D15" s="72">
        <v>46030</v>
      </c>
      <c r="E15">
        <v>59382.8</v>
      </c>
      <c r="F15">
        <v>8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59382.8</v>
      </c>
      <c r="P15">
        <v>0</v>
      </c>
      <c r="Q15">
        <v>0</v>
      </c>
      <c r="R15">
        <v>0</v>
      </c>
      <c r="S15">
        <v>0</v>
      </c>
      <c r="T15">
        <v>59382.8</v>
      </c>
    </row>
    <row r="16" spans="1:20" x14ac:dyDescent="0.2">
      <c r="A16" t="s">
        <v>64</v>
      </c>
      <c r="B16" t="s">
        <v>702</v>
      </c>
      <c r="C16" s="72">
        <v>45905</v>
      </c>
      <c r="D16" s="72">
        <v>46023</v>
      </c>
      <c r="E16">
        <v>45480.44</v>
      </c>
      <c r="F16">
        <v>1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45480.44</v>
      </c>
      <c r="P16">
        <v>0</v>
      </c>
      <c r="Q16">
        <v>0</v>
      </c>
      <c r="R16">
        <v>0</v>
      </c>
      <c r="S16">
        <v>0</v>
      </c>
      <c r="T16">
        <v>45480.44</v>
      </c>
    </row>
    <row r="17" spans="1:20" x14ac:dyDescent="0.2">
      <c r="A17" t="s">
        <v>64</v>
      </c>
      <c r="B17" t="s">
        <v>701</v>
      </c>
      <c r="C17" s="72">
        <v>45905</v>
      </c>
      <c r="D17" s="72">
        <v>46023</v>
      </c>
      <c r="E17">
        <v>49707.5</v>
      </c>
      <c r="F17">
        <v>1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49707.5</v>
      </c>
      <c r="P17">
        <v>0</v>
      </c>
      <c r="Q17">
        <v>0</v>
      </c>
      <c r="R17">
        <v>0</v>
      </c>
      <c r="S17">
        <v>0</v>
      </c>
      <c r="T17">
        <v>49707.5</v>
      </c>
    </row>
    <row r="18" spans="1:20" x14ac:dyDescent="0.2">
      <c r="A18" t="s">
        <v>64</v>
      </c>
      <c r="B18" t="s">
        <v>466</v>
      </c>
      <c r="C18" s="72">
        <v>45819</v>
      </c>
      <c r="D18" s="72">
        <v>46023</v>
      </c>
      <c r="E18">
        <v>56271.67</v>
      </c>
      <c r="F18">
        <v>1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56271.67</v>
      </c>
      <c r="P18">
        <v>0</v>
      </c>
      <c r="Q18">
        <v>0</v>
      </c>
      <c r="R18">
        <v>0</v>
      </c>
      <c r="S18">
        <v>0</v>
      </c>
      <c r="T18">
        <v>56271.67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F5CAC-135C-4FD7-8FA5-05ED156F837C}">
  <dimension ref="A1:T4"/>
  <sheetViews>
    <sheetView workbookViewId="0">
      <selection activeCell="L13" sqref="L13"/>
    </sheetView>
  </sheetViews>
  <sheetFormatPr defaultRowHeight="12.75" x14ac:dyDescent="0.2"/>
  <cols>
    <col min="1" max="1" width="23.85546875" bestFit="1" customWidth="1"/>
    <col min="2" max="2" width="13.28515625" bestFit="1" customWidth="1"/>
    <col min="3" max="3" width="10.7109375" bestFit="1" customWidth="1"/>
    <col min="4" max="4" width="14.140625" bestFit="1" customWidth="1"/>
    <col min="5" max="5" width="12.140625" bestFit="1" customWidth="1"/>
    <col min="6" max="6" width="15.140625" bestFit="1" customWidth="1"/>
    <col min="7" max="7" width="19.85546875" bestFit="1" customWidth="1"/>
    <col min="8" max="9" width="16" bestFit="1" customWidth="1"/>
    <col min="10" max="10" width="14.85546875" bestFit="1" customWidth="1"/>
    <col min="11" max="12" width="13.85546875" bestFit="1" customWidth="1"/>
    <col min="13" max="13" width="9.5703125" bestFit="1" customWidth="1"/>
    <col min="14" max="14" width="9.42578125" bestFit="1" customWidth="1"/>
    <col min="15" max="15" width="10.5703125" bestFit="1" customWidth="1"/>
    <col min="16" max="17" width="14.85546875" bestFit="1" customWidth="1"/>
    <col min="18" max="18" width="16" bestFit="1" customWidth="1"/>
    <col min="19" max="19" width="20.42578125" bestFit="1" customWidth="1"/>
    <col min="20" max="20" width="10.42578125" bestFit="1" customWidth="1"/>
  </cols>
  <sheetData>
    <row r="1" spans="1:20" x14ac:dyDescent="0.2">
      <c r="A1" s="73" t="s">
        <v>1636</v>
      </c>
    </row>
    <row r="3" spans="1:20" x14ac:dyDescent="0.2">
      <c r="A3" t="s">
        <v>18</v>
      </c>
      <c r="B3" t="s">
        <v>19</v>
      </c>
      <c r="C3" t="s">
        <v>1</v>
      </c>
      <c r="D3" t="s">
        <v>20</v>
      </c>
      <c r="E3" t="s">
        <v>5</v>
      </c>
      <c r="F3" t="s">
        <v>21</v>
      </c>
      <c r="G3" t="s">
        <v>26</v>
      </c>
      <c r="H3" t="s">
        <v>3</v>
      </c>
      <c r="I3" t="s">
        <v>2</v>
      </c>
      <c r="J3" t="s">
        <v>22</v>
      </c>
      <c r="K3" t="s">
        <v>23</v>
      </c>
      <c r="L3" t="s">
        <v>24</v>
      </c>
      <c r="M3" t="s">
        <v>25</v>
      </c>
      <c r="N3" t="s">
        <v>0</v>
      </c>
      <c r="O3" t="s">
        <v>1027</v>
      </c>
      <c r="P3" t="s">
        <v>1626</v>
      </c>
      <c r="Q3" t="s">
        <v>1627</v>
      </c>
      <c r="R3" t="s">
        <v>1628</v>
      </c>
      <c r="S3" t="s">
        <v>4</v>
      </c>
      <c r="T3" t="s">
        <v>1629</v>
      </c>
    </row>
    <row r="4" spans="1:20" x14ac:dyDescent="0.2">
      <c r="A4" t="s">
        <v>433</v>
      </c>
      <c r="B4" t="s">
        <v>630</v>
      </c>
      <c r="C4" s="72">
        <v>45901</v>
      </c>
      <c r="D4" s="72">
        <v>45991</v>
      </c>
      <c r="E4">
        <v>90000</v>
      </c>
      <c r="F4">
        <v>-31</v>
      </c>
      <c r="G4">
        <v>0</v>
      </c>
      <c r="H4">
        <v>0</v>
      </c>
      <c r="I4">
        <v>0</v>
      </c>
      <c r="J4">
        <v>0</v>
      </c>
      <c r="K4">
        <v>0</v>
      </c>
      <c r="L4">
        <v>90000</v>
      </c>
      <c r="M4">
        <v>0</v>
      </c>
      <c r="N4">
        <v>90000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74D5B-76BB-4644-A62D-EB0228BB8C5A}">
  <dimension ref="A1:T17"/>
  <sheetViews>
    <sheetView workbookViewId="0">
      <selection activeCell="E6" sqref="E6"/>
    </sheetView>
  </sheetViews>
  <sheetFormatPr defaultRowHeight="12.75" x14ac:dyDescent="0.2"/>
  <cols>
    <col min="1" max="1" width="24.28515625" bestFit="1" customWidth="1"/>
    <col min="2" max="2" width="13.28515625" bestFit="1" customWidth="1"/>
    <col min="3" max="3" width="10.7109375" bestFit="1" customWidth="1"/>
    <col min="4" max="4" width="14.140625" bestFit="1" customWidth="1"/>
    <col min="5" max="5" width="12.140625" bestFit="1" customWidth="1"/>
    <col min="6" max="6" width="15.140625" bestFit="1" customWidth="1"/>
    <col min="7" max="7" width="19.85546875" bestFit="1" customWidth="1"/>
    <col min="8" max="9" width="16" bestFit="1" customWidth="1"/>
    <col min="10" max="10" width="14.85546875" bestFit="1" customWidth="1"/>
    <col min="11" max="12" width="13.85546875" bestFit="1" customWidth="1"/>
    <col min="13" max="13" width="9.5703125" bestFit="1" customWidth="1"/>
    <col min="14" max="14" width="9.42578125" bestFit="1" customWidth="1"/>
    <col min="15" max="15" width="10.5703125" bestFit="1" customWidth="1"/>
    <col min="16" max="17" width="14.85546875" bestFit="1" customWidth="1"/>
    <col min="18" max="18" width="16" bestFit="1" customWidth="1"/>
    <col min="19" max="19" width="20.42578125" bestFit="1" customWidth="1"/>
    <col min="20" max="20" width="10.42578125" bestFit="1" customWidth="1"/>
  </cols>
  <sheetData>
    <row r="1" spans="1:20" x14ac:dyDescent="0.2">
      <c r="A1" s="103" t="s">
        <v>1637</v>
      </c>
    </row>
    <row r="3" spans="1:20" x14ac:dyDescent="0.2">
      <c r="A3" t="s">
        <v>18</v>
      </c>
      <c r="B3" t="s">
        <v>19</v>
      </c>
      <c r="C3" t="s">
        <v>1</v>
      </c>
      <c r="D3" t="s">
        <v>20</v>
      </c>
      <c r="E3" t="s">
        <v>5</v>
      </c>
      <c r="F3" t="s">
        <v>21</v>
      </c>
      <c r="G3" t="s">
        <v>26</v>
      </c>
      <c r="H3" t="s">
        <v>3</v>
      </c>
      <c r="I3" t="s">
        <v>2</v>
      </c>
      <c r="J3" t="s">
        <v>22</v>
      </c>
      <c r="K3" t="s">
        <v>23</v>
      </c>
      <c r="L3" t="s">
        <v>24</v>
      </c>
      <c r="M3" t="s">
        <v>25</v>
      </c>
      <c r="N3" t="s">
        <v>0</v>
      </c>
      <c r="O3" t="s">
        <v>1027</v>
      </c>
      <c r="P3" t="s">
        <v>1626</v>
      </c>
      <c r="Q3" t="s">
        <v>1627</v>
      </c>
      <c r="R3" t="s">
        <v>1628</v>
      </c>
      <c r="S3" t="s">
        <v>4</v>
      </c>
      <c r="T3" t="s">
        <v>1629</v>
      </c>
    </row>
    <row r="4" spans="1:20" x14ac:dyDescent="0.2">
      <c r="A4" t="s">
        <v>436</v>
      </c>
      <c r="B4" t="s">
        <v>846</v>
      </c>
      <c r="C4" s="72">
        <v>45952</v>
      </c>
      <c r="D4" s="72">
        <v>46073</v>
      </c>
      <c r="E4">
        <v>182400</v>
      </c>
      <c r="F4">
        <v>51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182400</v>
      </c>
      <c r="Q4">
        <v>0</v>
      </c>
      <c r="R4">
        <v>0</v>
      </c>
      <c r="S4">
        <v>0</v>
      </c>
      <c r="T4">
        <v>182400</v>
      </c>
    </row>
    <row r="5" spans="1:20" x14ac:dyDescent="0.2">
      <c r="A5" t="s">
        <v>436</v>
      </c>
      <c r="B5" t="s">
        <v>750</v>
      </c>
      <c r="C5" s="72">
        <v>45933</v>
      </c>
      <c r="D5" s="72">
        <v>46053</v>
      </c>
      <c r="E5">
        <v>6000</v>
      </c>
      <c r="F5">
        <v>31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6000</v>
      </c>
      <c r="Q5">
        <v>0</v>
      </c>
      <c r="R5">
        <v>0</v>
      </c>
      <c r="S5">
        <v>0</v>
      </c>
      <c r="T5">
        <v>6000</v>
      </c>
    </row>
    <row r="6" spans="1:20" x14ac:dyDescent="0.2">
      <c r="A6" t="s">
        <v>436</v>
      </c>
      <c r="B6" t="s">
        <v>652</v>
      </c>
      <c r="C6" s="72">
        <v>45911</v>
      </c>
      <c r="D6" s="72">
        <v>46032</v>
      </c>
      <c r="E6">
        <v>115670</v>
      </c>
      <c r="F6">
        <v>10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115670</v>
      </c>
      <c r="P6">
        <v>0</v>
      </c>
      <c r="Q6">
        <v>0</v>
      </c>
      <c r="R6">
        <v>0</v>
      </c>
      <c r="S6">
        <v>0</v>
      </c>
      <c r="T6">
        <v>115670</v>
      </c>
    </row>
    <row r="7" spans="1:20" x14ac:dyDescent="0.2">
      <c r="A7" t="s">
        <v>436</v>
      </c>
      <c r="B7" t="s">
        <v>651</v>
      </c>
      <c r="C7" s="72">
        <v>45911</v>
      </c>
      <c r="D7" s="72">
        <v>46032</v>
      </c>
      <c r="E7">
        <v>158206</v>
      </c>
      <c r="F7">
        <v>10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158206</v>
      </c>
      <c r="P7">
        <v>0</v>
      </c>
      <c r="Q7">
        <v>0</v>
      </c>
      <c r="R7">
        <v>0</v>
      </c>
      <c r="S7">
        <v>0</v>
      </c>
      <c r="T7">
        <v>158206</v>
      </c>
    </row>
    <row r="8" spans="1:20" x14ac:dyDescent="0.2">
      <c r="A8" t="s">
        <v>436</v>
      </c>
      <c r="B8" t="s">
        <v>203</v>
      </c>
      <c r="C8" s="72">
        <v>45348</v>
      </c>
      <c r="D8" s="72">
        <v>45468</v>
      </c>
      <c r="E8">
        <v>6625</v>
      </c>
      <c r="F8">
        <v>-554</v>
      </c>
      <c r="G8">
        <v>6625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6625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</row>
    <row r="9" spans="1:20" x14ac:dyDescent="0.2">
      <c r="A9" t="s">
        <v>436</v>
      </c>
      <c r="B9" t="s">
        <v>203</v>
      </c>
      <c r="C9" s="72">
        <v>45348</v>
      </c>
      <c r="D9" s="72">
        <v>45438</v>
      </c>
      <c r="E9">
        <v>6625</v>
      </c>
      <c r="F9">
        <v>-584</v>
      </c>
      <c r="G9">
        <v>6625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6625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</row>
    <row r="10" spans="1:20" x14ac:dyDescent="0.2">
      <c r="A10" t="s">
        <v>436</v>
      </c>
      <c r="B10" t="s">
        <v>203</v>
      </c>
      <c r="C10" s="72">
        <v>45348</v>
      </c>
      <c r="D10" s="72">
        <v>45408</v>
      </c>
      <c r="E10">
        <v>6625</v>
      </c>
      <c r="F10">
        <v>-614</v>
      </c>
      <c r="G10">
        <v>6625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6625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</row>
    <row r="11" spans="1:20" x14ac:dyDescent="0.2">
      <c r="A11" t="s">
        <v>436</v>
      </c>
      <c r="B11" t="s">
        <v>203</v>
      </c>
      <c r="C11" s="72">
        <v>45348</v>
      </c>
      <c r="D11" s="72">
        <v>45378</v>
      </c>
      <c r="E11">
        <v>6625</v>
      </c>
      <c r="F11">
        <v>-644</v>
      </c>
      <c r="G11">
        <v>6625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6625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</row>
    <row r="12" spans="1:20" x14ac:dyDescent="0.2">
      <c r="A12" t="s">
        <v>436</v>
      </c>
      <c r="B12" t="s">
        <v>204</v>
      </c>
      <c r="C12" s="72">
        <v>45324</v>
      </c>
      <c r="D12" s="72">
        <v>45414</v>
      </c>
      <c r="E12">
        <v>8950</v>
      </c>
      <c r="F12">
        <v>-608</v>
      </c>
      <c r="G12">
        <v>8950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8950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</row>
    <row r="13" spans="1:20" x14ac:dyDescent="0.2">
      <c r="A13" t="s">
        <v>436</v>
      </c>
      <c r="B13" t="s">
        <v>204</v>
      </c>
      <c r="C13" s="72">
        <v>45324</v>
      </c>
      <c r="D13" s="72">
        <v>45384</v>
      </c>
      <c r="E13">
        <v>8950</v>
      </c>
      <c r="F13">
        <v>-638</v>
      </c>
      <c r="G13">
        <v>8950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8950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</row>
    <row r="14" spans="1:20" x14ac:dyDescent="0.2">
      <c r="A14" t="s">
        <v>436</v>
      </c>
      <c r="B14" t="s">
        <v>206</v>
      </c>
      <c r="C14" s="72">
        <v>45324</v>
      </c>
      <c r="D14" s="72">
        <v>45414</v>
      </c>
      <c r="E14">
        <v>9450</v>
      </c>
      <c r="F14">
        <v>-608</v>
      </c>
      <c r="G14">
        <v>9450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9450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</row>
    <row r="15" spans="1:20" x14ac:dyDescent="0.2">
      <c r="A15" t="s">
        <v>436</v>
      </c>
      <c r="B15" t="s">
        <v>205</v>
      </c>
      <c r="C15" s="72">
        <v>45324</v>
      </c>
      <c r="D15" s="72">
        <v>45414</v>
      </c>
      <c r="E15">
        <v>9556.5</v>
      </c>
      <c r="F15">
        <v>-608</v>
      </c>
      <c r="G15">
        <v>9556.5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9556.5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</row>
    <row r="16" spans="1:20" x14ac:dyDescent="0.2">
      <c r="A16" t="s">
        <v>436</v>
      </c>
      <c r="B16" t="s">
        <v>205</v>
      </c>
      <c r="C16" s="72">
        <v>45324</v>
      </c>
      <c r="D16" s="72">
        <v>45384</v>
      </c>
      <c r="E16">
        <v>9556.5</v>
      </c>
      <c r="F16">
        <v>-638</v>
      </c>
      <c r="G16">
        <v>9556.5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9556.5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</row>
    <row r="17" spans="1:20" x14ac:dyDescent="0.2">
      <c r="A17" t="s">
        <v>436</v>
      </c>
      <c r="B17" t="s">
        <v>202</v>
      </c>
      <c r="C17" s="72">
        <v>44890</v>
      </c>
      <c r="D17" s="72">
        <v>45509</v>
      </c>
      <c r="E17">
        <v>68680</v>
      </c>
      <c r="F17">
        <v>-513</v>
      </c>
      <c r="G17">
        <v>68680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68680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pageSetUpPr fitToPage="1"/>
  </sheetPr>
  <dimension ref="A1:BB257"/>
  <sheetViews>
    <sheetView showGridLines="0" tabSelected="1" topLeftCell="A110" zoomScale="85" zoomScaleNormal="85" workbookViewId="0">
      <selection activeCell="L126" sqref="L126"/>
    </sheetView>
  </sheetViews>
  <sheetFormatPr defaultColWidth="9.140625" defaultRowHeight="12.75" x14ac:dyDescent="0.2"/>
  <cols>
    <col min="1" max="1" width="4.140625" style="2" customWidth="1"/>
    <col min="2" max="2" width="40.5703125" style="2" customWidth="1"/>
    <col min="3" max="3" width="16.140625" style="2" bestFit="1" customWidth="1"/>
    <col min="4" max="4" width="17.140625" style="2" bestFit="1" customWidth="1"/>
    <col min="5" max="5" width="14.28515625" style="2" bestFit="1" customWidth="1"/>
    <col min="6" max="7" width="14" style="2" bestFit="1" customWidth="1"/>
    <col min="8" max="8" width="14.42578125" style="35" bestFit="1" customWidth="1"/>
    <col min="9" max="10" width="15.5703125" style="2" bestFit="1" customWidth="1"/>
    <col min="11" max="11" width="16.28515625" style="2" bestFit="1" customWidth="1"/>
    <col min="12" max="14" width="14.42578125" style="2" bestFit="1" customWidth="1"/>
    <col min="15" max="15" width="16.85546875" style="2" bestFit="1" customWidth="1"/>
    <col min="16" max="16" width="14.5703125" style="2" bestFit="1" customWidth="1"/>
    <col min="17" max="17" width="14.7109375" style="2" bestFit="1" customWidth="1"/>
    <col min="18" max="18" width="17.140625" style="82" bestFit="1" customWidth="1"/>
    <col min="19" max="19" width="16.140625" style="35" bestFit="1" customWidth="1"/>
    <col min="20" max="20" width="20" style="2" bestFit="1" customWidth="1"/>
    <col min="21" max="21" width="19.85546875" style="35" bestFit="1" customWidth="1"/>
    <col min="22" max="53" width="19.85546875" style="2" bestFit="1" customWidth="1"/>
    <col min="54" max="54" width="11.5703125" style="2" bestFit="1" customWidth="1"/>
    <col min="55" max="16384" width="9.140625" style="2"/>
  </cols>
  <sheetData>
    <row r="1" spans="2:18" ht="13.5" thickBot="1" x14ac:dyDescent="0.25">
      <c r="R1" s="2"/>
    </row>
    <row r="2" spans="2:18" ht="21.75" thickBot="1" x14ac:dyDescent="0.4">
      <c r="B2" s="200" t="s">
        <v>28</v>
      </c>
      <c r="C2" s="201"/>
      <c r="D2" s="201"/>
      <c r="E2" s="202"/>
      <c r="F2" s="39"/>
      <c r="R2" s="2"/>
    </row>
    <row r="3" spans="2:18" x14ac:dyDescent="0.2">
      <c r="B3" s="12"/>
      <c r="C3" s="13"/>
      <c r="D3" s="13"/>
      <c r="E3" s="14"/>
      <c r="H3" s="36"/>
      <c r="R3" s="2"/>
    </row>
    <row r="4" spans="2:18" x14ac:dyDescent="0.2">
      <c r="B4" s="15" t="s">
        <v>6</v>
      </c>
      <c r="C4" s="10" t="s">
        <v>29</v>
      </c>
      <c r="D4" s="11">
        <v>46022</v>
      </c>
      <c r="E4" s="16" t="s">
        <v>7</v>
      </c>
      <c r="G4" s="203"/>
      <c r="H4" s="203"/>
      <c r="I4" s="203"/>
      <c r="J4" s="203"/>
      <c r="R4" s="2"/>
    </row>
    <row r="5" spans="2:18" x14ac:dyDescent="0.2">
      <c r="B5" s="12"/>
      <c r="C5" s="13"/>
      <c r="D5" s="40"/>
      <c r="E5" s="17"/>
      <c r="G5" s="52"/>
      <c r="H5" s="45"/>
      <c r="I5" s="46"/>
      <c r="J5" s="52"/>
      <c r="R5" s="2"/>
    </row>
    <row r="6" spans="2:18" ht="13.5" thickBot="1" x14ac:dyDescent="0.25">
      <c r="B6" s="18" t="s">
        <v>13</v>
      </c>
      <c r="C6" s="5"/>
      <c r="D6" s="32">
        <f>SUM(D8:D12)</f>
        <v>14965902.890000001</v>
      </c>
      <c r="E6" s="19">
        <f>D6/$D$24</f>
        <v>0.48531780922403134</v>
      </c>
      <c r="G6" s="47"/>
      <c r="H6" s="48"/>
      <c r="I6" s="49"/>
      <c r="J6" s="47"/>
      <c r="R6" s="2"/>
    </row>
    <row r="7" spans="2:18" ht="13.5" thickTop="1" x14ac:dyDescent="0.2">
      <c r="B7" s="12"/>
      <c r="C7" s="13"/>
      <c r="D7" s="33"/>
      <c r="E7" s="20"/>
      <c r="G7" s="47"/>
      <c r="H7" s="48"/>
      <c r="I7" s="50"/>
      <c r="J7" s="53"/>
      <c r="R7" s="2"/>
    </row>
    <row r="8" spans="2:18" x14ac:dyDescent="0.2">
      <c r="B8" s="12" t="s">
        <v>8</v>
      </c>
      <c r="C8" s="13"/>
      <c r="D8" s="33">
        <f>'Aging analítico - Contabil'!P1245</f>
        <v>6462797.7799999975</v>
      </c>
      <c r="E8" s="20">
        <f>D8/$D$24</f>
        <v>0.20957712228263242</v>
      </c>
      <c r="G8" s="47"/>
      <c r="H8" s="47"/>
      <c r="I8" s="50"/>
      <c r="J8" s="53"/>
      <c r="R8" s="2"/>
    </row>
    <row r="9" spans="2:18" x14ac:dyDescent="0.2">
      <c r="B9" s="12" t="s">
        <v>9</v>
      </c>
      <c r="C9" s="13"/>
      <c r="D9" s="33">
        <f>'Aging analítico - Contabil'!Q1245</f>
        <v>3605657.9100000006</v>
      </c>
      <c r="E9" s="20">
        <f>D9/$D$24</f>
        <v>0.11692512042569453</v>
      </c>
      <c r="G9" s="47"/>
      <c r="H9" s="47"/>
      <c r="I9" s="50"/>
      <c r="J9" s="47"/>
      <c r="R9" s="2"/>
    </row>
    <row r="10" spans="2:18" x14ac:dyDescent="0.2">
      <c r="B10" s="12" t="s">
        <v>10</v>
      </c>
      <c r="C10" s="13"/>
      <c r="D10" s="33">
        <f>'Aging analítico - Contabil'!R1245</f>
        <v>2291653.9300000006</v>
      </c>
      <c r="E10" s="20">
        <f>D10/$D$24</f>
        <v>7.4314291157828172E-2</v>
      </c>
      <c r="G10" s="47"/>
      <c r="H10" s="47"/>
      <c r="I10" s="50"/>
      <c r="J10" s="47"/>
      <c r="R10" s="2"/>
    </row>
    <row r="11" spans="2:18" x14ac:dyDescent="0.2">
      <c r="B11" s="12" t="s">
        <v>11</v>
      </c>
      <c r="C11" s="13"/>
      <c r="D11" s="33">
        <f>'Aging analítico - Contabil'!S1245</f>
        <v>1150018.01</v>
      </c>
      <c r="E11" s="20">
        <f>D11/$D$24</f>
        <v>3.7293053769198961E-2</v>
      </c>
      <c r="G11" s="47"/>
      <c r="H11" s="47"/>
      <c r="I11" s="50"/>
      <c r="J11" s="47"/>
      <c r="M11" s="41"/>
      <c r="R11" s="2"/>
    </row>
    <row r="12" spans="2:18" x14ac:dyDescent="0.2">
      <c r="B12" s="12" t="s">
        <v>12</v>
      </c>
      <c r="C12" s="13"/>
      <c r="D12" s="33">
        <f>'Aging analítico - Contabil'!T1245</f>
        <v>1455775.2600000035</v>
      </c>
      <c r="E12" s="20">
        <f>D12/$D$24</f>
        <v>4.7208221588677324E-2</v>
      </c>
      <c r="G12" s="47"/>
      <c r="H12" s="47"/>
      <c r="I12" s="50"/>
      <c r="J12" s="47"/>
      <c r="R12" s="2"/>
    </row>
    <row r="13" spans="2:18" x14ac:dyDescent="0.2">
      <c r="B13" s="12"/>
      <c r="C13" s="13"/>
      <c r="D13" s="33"/>
      <c r="E13" s="20"/>
      <c r="G13" s="47"/>
      <c r="H13" s="47"/>
      <c r="I13" s="50"/>
      <c r="J13" s="47"/>
      <c r="R13" s="2"/>
    </row>
    <row r="14" spans="2:18" ht="13.5" thickBot="1" x14ac:dyDescent="0.25">
      <c r="B14" s="18" t="s">
        <v>16</v>
      </c>
      <c r="C14" s="5"/>
      <c r="D14" s="32">
        <f>SUM(D16:D22)</f>
        <v>15871421.859999999</v>
      </c>
      <c r="E14" s="19">
        <f>D14/$D$24</f>
        <v>0.51468219077596866</v>
      </c>
      <c r="G14" s="47"/>
      <c r="H14" s="47"/>
      <c r="I14" s="51"/>
      <c r="J14" s="47"/>
      <c r="R14" s="2"/>
    </row>
    <row r="15" spans="2:18" ht="13.5" thickTop="1" x14ac:dyDescent="0.2">
      <c r="B15" s="12"/>
      <c r="C15" s="13"/>
      <c r="D15" s="33"/>
      <c r="E15" s="20"/>
      <c r="G15" s="47"/>
      <c r="H15" s="47"/>
      <c r="I15" s="51"/>
      <c r="J15" s="47"/>
      <c r="R15" s="2"/>
    </row>
    <row r="16" spans="2:18" x14ac:dyDescent="0.2">
      <c r="B16" s="12" t="s">
        <v>8</v>
      </c>
      <c r="C16" s="13"/>
      <c r="D16" s="33">
        <f>'Aging analítico - Contabil'!N1245</f>
        <v>3768998.0199999991</v>
      </c>
      <c r="E16" s="20">
        <f t="shared" ref="E16:E22" si="0">D16/$D$24</f>
        <v>0.12222195182479308</v>
      </c>
      <c r="G16" s="54"/>
      <c r="H16" s="44"/>
      <c r="I16" s="44"/>
      <c r="J16" s="44"/>
      <c r="R16" s="2"/>
    </row>
    <row r="17" spans="1:54" x14ac:dyDescent="0.2">
      <c r="B17" s="12" t="s">
        <v>9</v>
      </c>
      <c r="C17" s="13"/>
      <c r="D17" s="33">
        <f>'Aging analítico - Contabil'!M1245</f>
        <v>1808018.6899999995</v>
      </c>
      <c r="E17" s="20">
        <f t="shared" si="0"/>
        <v>5.8630854156698511E-2</v>
      </c>
      <c r="G17" s="54"/>
      <c r="H17" s="55"/>
      <c r="I17" s="55"/>
      <c r="J17" s="44"/>
      <c r="R17" s="2"/>
    </row>
    <row r="18" spans="1:54" x14ac:dyDescent="0.2">
      <c r="B18" s="12" t="s">
        <v>10</v>
      </c>
      <c r="C18" s="13"/>
      <c r="D18" s="33">
        <f>'Aging analítico - Contabil'!L1245</f>
        <v>1551825.71</v>
      </c>
      <c r="E18" s="20">
        <f t="shared" si="0"/>
        <v>5.0322968110260602E-2</v>
      </c>
      <c r="H18" s="55"/>
      <c r="I18" s="55"/>
      <c r="R18" s="2"/>
    </row>
    <row r="19" spans="1:54" x14ac:dyDescent="0.2">
      <c r="B19" s="12" t="s">
        <v>11</v>
      </c>
      <c r="C19" s="13"/>
      <c r="D19" s="33">
        <f>'Aging analítico - Contabil'!K1245</f>
        <v>891015.13000000012</v>
      </c>
      <c r="E19" s="20">
        <f t="shared" si="0"/>
        <v>2.8894047626488745E-2</v>
      </c>
      <c r="H19" s="55"/>
      <c r="I19" s="55"/>
      <c r="R19" s="2"/>
    </row>
    <row r="20" spans="1:54" x14ac:dyDescent="0.2">
      <c r="B20" s="12" t="s">
        <v>356</v>
      </c>
      <c r="C20" s="13"/>
      <c r="D20" s="33">
        <f>'Aging analítico - Contabil'!J1245</f>
        <v>584174.46</v>
      </c>
      <c r="E20" s="20">
        <f t="shared" si="0"/>
        <v>1.8943746409130383E-2</v>
      </c>
      <c r="H20" s="36"/>
      <c r="R20" s="2"/>
    </row>
    <row r="21" spans="1:54" x14ac:dyDescent="0.2">
      <c r="B21" s="12" t="s">
        <v>27</v>
      </c>
      <c r="C21" s="13"/>
      <c r="D21" s="33">
        <f>'Aging analítico - Contabil'!I1245</f>
        <v>602111.4800000001</v>
      </c>
      <c r="E21" s="20">
        <f t="shared" si="0"/>
        <v>1.9525412300883855E-2</v>
      </c>
      <c r="H21" s="36"/>
      <c r="R21" s="2"/>
    </row>
    <row r="22" spans="1:54" x14ac:dyDescent="0.2">
      <c r="B22" s="12" t="s">
        <v>26</v>
      </c>
      <c r="C22" s="13"/>
      <c r="D22" s="33">
        <f>'Aging analítico - Contabil'!H1245</f>
        <v>6665278.3700000001</v>
      </c>
      <c r="E22" s="20">
        <f t="shared" si="0"/>
        <v>0.21614321034771344</v>
      </c>
      <c r="R22" s="2"/>
    </row>
    <row r="23" spans="1:54" x14ac:dyDescent="0.2">
      <c r="B23" s="12"/>
      <c r="C23" s="13"/>
      <c r="D23" s="33"/>
      <c r="E23" s="20"/>
      <c r="G23" s="38"/>
      <c r="R23" s="2"/>
    </row>
    <row r="24" spans="1:54" ht="13.5" thickBot="1" x14ac:dyDescent="0.25">
      <c r="B24" s="21" t="s">
        <v>14</v>
      </c>
      <c r="C24" s="7"/>
      <c r="D24" s="34">
        <f>D6+D14</f>
        <v>30837324.75</v>
      </c>
      <c r="E24" s="22">
        <f>D24/$D$24</f>
        <v>1</v>
      </c>
      <c r="G24" s="38"/>
      <c r="R24" s="2"/>
    </row>
    <row r="25" spans="1:54" x14ac:dyDescent="0.2">
      <c r="B25" s="12"/>
      <c r="C25" s="13"/>
      <c r="D25" s="23"/>
      <c r="E25" s="20"/>
      <c r="G25" s="56"/>
      <c r="R25" s="2"/>
    </row>
    <row r="26" spans="1:54" ht="13.5" thickBot="1" x14ac:dyDescent="0.25">
      <c r="B26" s="21" t="s">
        <v>15</v>
      </c>
      <c r="C26" s="7"/>
      <c r="D26" s="8"/>
      <c r="E26" s="22"/>
      <c r="R26" s="2"/>
    </row>
    <row r="27" spans="1:54" x14ac:dyDescent="0.2">
      <c r="B27" s="3"/>
      <c r="C27" s="3"/>
      <c r="D27" s="9"/>
      <c r="E27" s="6"/>
      <c r="G27" s="4"/>
      <c r="H27" s="37"/>
      <c r="R27" s="2"/>
    </row>
    <row r="28" spans="1:54" x14ac:dyDescent="0.2">
      <c r="R28" s="2"/>
    </row>
    <row r="29" spans="1:54" x14ac:dyDescent="0.2">
      <c r="R29" s="2"/>
    </row>
    <row r="30" spans="1:54" ht="13.5" thickBot="1" x14ac:dyDescent="0.25">
      <c r="R30" s="2"/>
    </row>
    <row r="31" spans="1:54" ht="15.75" thickBot="1" x14ac:dyDescent="0.3">
      <c r="B31" s="30"/>
      <c r="C31" s="197" t="s">
        <v>43</v>
      </c>
      <c r="D31" s="198"/>
      <c r="E31" s="198"/>
      <c r="F31" s="198"/>
      <c r="G31" s="198"/>
      <c r="H31" s="198"/>
      <c r="I31" s="198"/>
      <c r="J31" s="198"/>
      <c r="K31" s="197" t="s">
        <v>44</v>
      </c>
      <c r="L31" s="198"/>
      <c r="M31" s="198"/>
      <c r="N31" s="198"/>
      <c r="O31" s="198"/>
      <c r="P31" s="199"/>
      <c r="Q31" s="30"/>
      <c r="R31" s="30"/>
      <c r="S31" s="84"/>
    </row>
    <row r="32" spans="1:54" s="28" customFormat="1" ht="15.75" thickBot="1" x14ac:dyDescent="0.3">
      <c r="A32" s="31"/>
      <c r="B32" s="232"/>
      <c r="C32" s="233"/>
      <c r="D32" s="266" t="s">
        <v>31</v>
      </c>
      <c r="E32" s="267"/>
      <c r="F32" s="268"/>
      <c r="G32" s="268"/>
      <c r="H32" s="268"/>
      <c r="I32" s="268"/>
      <c r="J32" s="268"/>
      <c r="K32" s="267"/>
      <c r="L32" s="267"/>
      <c r="M32" s="268"/>
      <c r="N32" s="268"/>
      <c r="O32" s="269"/>
      <c r="P32" s="268"/>
      <c r="Q32" s="269"/>
      <c r="R32" s="30"/>
      <c r="S32" s="196" t="s">
        <v>1631</v>
      </c>
      <c r="T32" s="196"/>
      <c r="U32" s="196" t="s">
        <v>1632</v>
      </c>
      <c r="V32" s="196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</row>
    <row r="33" spans="1:54" s="29" customFormat="1" ht="15.75" thickBot="1" x14ac:dyDescent="0.3">
      <c r="A33" s="42"/>
      <c r="B33" s="263" t="s">
        <v>18</v>
      </c>
      <c r="C33" s="221" t="s">
        <v>0</v>
      </c>
      <c r="D33" s="234" t="s">
        <v>32</v>
      </c>
      <c r="E33" s="235" t="s">
        <v>33</v>
      </c>
      <c r="F33" s="235" t="s">
        <v>45</v>
      </c>
      <c r="G33" s="235" t="s">
        <v>34</v>
      </c>
      <c r="H33" s="235" t="s">
        <v>35</v>
      </c>
      <c r="I33" s="235" t="s">
        <v>36</v>
      </c>
      <c r="J33" s="236" t="s">
        <v>37</v>
      </c>
      <c r="K33" s="258" t="s">
        <v>47</v>
      </c>
      <c r="L33" s="234" t="s">
        <v>38</v>
      </c>
      <c r="M33" s="235" t="s">
        <v>39</v>
      </c>
      <c r="N33" s="235" t="s">
        <v>40</v>
      </c>
      <c r="O33" s="235" t="s">
        <v>41</v>
      </c>
      <c r="P33" s="236" t="s">
        <v>42</v>
      </c>
      <c r="Q33" s="258" t="s">
        <v>46</v>
      </c>
      <c r="R33" s="30"/>
      <c r="S33" s="85">
        <f>VLOOKUP(B33,'[2]Resumo do Aging List - Contabil'!$C:$S,17,0)</f>
        <v>0</v>
      </c>
      <c r="T33"/>
      <c r="U33" s="85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</row>
    <row r="34" spans="1:54" s="24" customFormat="1" ht="15.75" thickBot="1" x14ac:dyDescent="0.3">
      <c r="B34" s="280" t="s">
        <v>848</v>
      </c>
      <c r="C34" s="223"/>
      <c r="D34" s="276">
        <v>0</v>
      </c>
      <c r="E34" s="277">
        <v>0</v>
      </c>
      <c r="F34" s="277">
        <v>0</v>
      </c>
      <c r="G34" s="277">
        <v>0</v>
      </c>
      <c r="H34" s="277">
        <v>0</v>
      </c>
      <c r="I34" s="277">
        <v>0</v>
      </c>
      <c r="J34" s="278">
        <v>11642.05</v>
      </c>
      <c r="K34" s="279">
        <v>11642.05</v>
      </c>
      <c r="L34" s="276">
        <v>11642.05</v>
      </c>
      <c r="M34" s="277">
        <v>11642.05</v>
      </c>
      <c r="N34" s="277">
        <v>0</v>
      </c>
      <c r="O34" s="277">
        <v>0</v>
      </c>
      <c r="P34" s="278">
        <v>0</v>
      </c>
      <c r="Q34" s="279">
        <v>23284.1</v>
      </c>
      <c r="R34" s="86">
        <v>34926.149999999994</v>
      </c>
      <c r="S34" s="87">
        <f>VLOOKUP(B34,'[2]Resumo do Aging List - Contabil'!$C:$S,17,0)</f>
        <v>34926.149999999994</v>
      </c>
      <c r="T34" s="88" t="b">
        <f>R34=S34</f>
        <v>1</v>
      </c>
      <c r="U34" s="85">
        <f>VLOOKUP(B34,'[3]Resumo do Aging List - Contabil'!$B:$R,17,0)</f>
        <v>34926.149999999994</v>
      </c>
      <c r="V34" t="b">
        <f>R34=U34</f>
        <v>1</v>
      </c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</row>
    <row r="35" spans="1:54" s="25" customFormat="1" ht="15.75" thickBot="1" x14ac:dyDescent="0.3">
      <c r="B35" s="248" t="s">
        <v>325</v>
      </c>
      <c r="C35" s="223"/>
      <c r="D35" s="249">
        <v>0</v>
      </c>
      <c r="E35" s="255">
        <v>0</v>
      </c>
      <c r="F35" s="255">
        <v>0</v>
      </c>
      <c r="G35" s="224">
        <v>0</v>
      </c>
      <c r="H35" s="224">
        <v>0</v>
      </c>
      <c r="I35" s="224">
        <v>0</v>
      </c>
      <c r="J35" s="228">
        <v>0</v>
      </c>
      <c r="K35" s="259">
        <v>0</v>
      </c>
      <c r="L35" s="227">
        <v>44509.279999999999</v>
      </c>
      <c r="M35" s="224">
        <v>0</v>
      </c>
      <c r="N35" s="224">
        <v>8109.28</v>
      </c>
      <c r="O35" s="224">
        <v>0</v>
      </c>
      <c r="P35" s="228">
        <v>0</v>
      </c>
      <c r="Q35" s="259">
        <v>52618.559999999998</v>
      </c>
      <c r="R35" s="83">
        <v>52618.559999999998</v>
      </c>
      <c r="S35" s="85">
        <f>VLOOKUP(B35,'[2]Resumo do Aging List - Contabil'!$C:$S,17,0)</f>
        <v>2292947.9799999995</v>
      </c>
      <c r="T35" t="b">
        <f t="shared" ref="T35:T98" si="1">R35=S35</f>
        <v>0</v>
      </c>
      <c r="U35" s="85">
        <f>VLOOKUP(B35,'[3]Resumo do Aging List - Contabil'!$B:$R,17,0)</f>
        <v>2292947.9799999995</v>
      </c>
      <c r="V35" t="b">
        <f t="shared" ref="V35:V98" si="2">R35=U35</f>
        <v>0</v>
      </c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</row>
    <row r="36" spans="1:54" s="25" customFormat="1" ht="15.75" thickBot="1" x14ac:dyDescent="0.3">
      <c r="B36" s="246" t="s">
        <v>326</v>
      </c>
      <c r="C36" s="223"/>
      <c r="D36" s="249">
        <v>0</v>
      </c>
      <c r="E36" s="224">
        <v>0</v>
      </c>
      <c r="F36" s="224">
        <v>20000</v>
      </c>
      <c r="G36" s="224">
        <v>41545</v>
      </c>
      <c r="H36" s="224">
        <v>41545</v>
      </c>
      <c r="I36" s="224">
        <v>41545</v>
      </c>
      <c r="J36" s="228">
        <v>41545</v>
      </c>
      <c r="K36" s="259">
        <v>186180</v>
      </c>
      <c r="L36" s="227">
        <v>41545</v>
      </c>
      <c r="M36" s="224">
        <v>41545</v>
      </c>
      <c r="N36" s="224">
        <v>41545</v>
      </c>
      <c r="O36" s="224">
        <v>0</v>
      </c>
      <c r="P36" s="228">
        <v>0</v>
      </c>
      <c r="Q36" s="259">
        <v>124635</v>
      </c>
      <c r="R36" s="83">
        <v>310815</v>
      </c>
      <c r="S36" s="85">
        <f>VLOOKUP(B36,'[2]Resumo do Aging List - Contabil'!$C:$S,17,0)</f>
        <v>295815</v>
      </c>
      <c r="T36" t="b">
        <f t="shared" si="1"/>
        <v>0</v>
      </c>
      <c r="U36" s="85">
        <f>VLOOKUP(B36,'[3]Resumo do Aging List - Contabil'!$B:$R,17,0)</f>
        <v>295815</v>
      </c>
      <c r="V36" t="b">
        <f t="shared" si="2"/>
        <v>0</v>
      </c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</row>
    <row r="37" spans="1:54" s="25" customFormat="1" ht="15.75" thickBot="1" x14ac:dyDescent="0.3">
      <c r="B37" s="248" t="s">
        <v>49</v>
      </c>
      <c r="C37" s="223"/>
      <c r="D37" s="249">
        <v>0</v>
      </c>
      <c r="E37" s="255">
        <v>0</v>
      </c>
      <c r="F37" s="255">
        <v>0</v>
      </c>
      <c r="G37" s="224">
        <v>0</v>
      </c>
      <c r="H37" s="224">
        <v>0</v>
      </c>
      <c r="I37" s="224">
        <v>26165</v>
      </c>
      <c r="J37" s="228">
        <v>0</v>
      </c>
      <c r="K37" s="259">
        <v>26165</v>
      </c>
      <c r="L37" s="227">
        <v>0</v>
      </c>
      <c r="M37" s="224">
        <v>0</v>
      </c>
      <c r="N37" s="224">
        <v>0</v>
      </c>
      <c r="O37" s="224">
        <v>0</v>
      </c>
      <c r="P37" s="228">
        <v>0</v>
      </c>
      <c r="Q37" s="259">
        <v>0</v>
      </c>
      <c r="R37" s="83">
        <v>26165</v>
      </c>
      <c r="S37" s="85">
        <f>VLOOKUP(B37,'[2]Resumo do Aging List - Contabil'!$C:$S,17,0)</f>
        <v>249940</v>
      </c>
      <c r="T37" t="b">
        <f t="shared" si="1"/>
        <v>0</v>
      </c>
      <c r="U37" s="85">
        <f>VLOOKUP(B37,'[3]Resumo do Aging List - Contabil'!$B:$R,17,0)</f>
        <v>249940</v>
      </c>
      <c r="V37" t="b">
        <f t="shared" si="2"/>
        <v>0</v>
      </c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</row>
    <row r="38" spans="1:54" s="25" customFormat="1" ht="15" x14ac:dyDescent="0.25">
      <c r="B38" s="274" t="s">
        <v>473</v>
      </c>
      <c r="C38" s="223"/>
      <c r="D38" s="270">
        <v>31500</v>
      </c>
      <c r="E38" s="271">
        <v>0</v>
      </c>
      <c r="F38" s="271">
        <v>0</v>
      </c>
      <c r="G38" s="271">
        <v>0</v>
      </c>
      <c r="H38" s="271">
        <v>0</v>
      </c>
      <c r="I38" s="271">
        <v>0</v>
      </c>
      <c r="J38" s="272">
        <v>0</v>
      </c>
      <c r="K38" s="273">
        <v>31500</v>
      </c>
      <c r="L38" s="270">
        <v>0</v>
      </c>
      <c r="M38" s="271">
        <v>0</v>
      </c>
      <c r="N38" s="271">
        <v>0</v>
      </c>
      <c r="O38" s="271">
        <v>0</v>
      </c>
      <c r="P38" s="272">
        <v>0</v>
      </c>
      <c r="Q38" s="273">
        <v>0</v>
      </c>
      <c r="R38" s="86">
        <v>31500</v>
      </c>
      <c r="S38" s="87">
        <f>VLOOKUP(B38,'[2]Resumo do Aging List - Contabil'!$C:$S,17,0)</f>
        <v>31500</v>
      </c>
      <c r="T38" s="88" t="b">
        <f t="shared" si="1"/>
        <v>1</v>
      </c>
      <c r="U38" s="85">
        <f>VLOOKUP(B38,'[3]Resumo do Aging List - Contabil'!$B:$R,17,0)</f>
        <v>31500</v>
      </c>
      <c r="V38" t="b">
        <f t="shared" si="2"/>
        <v>1</v>
      </c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</row>
    <row r="39" spans="1:54" s="25" customFormat="1" ht="15" x14ac:dyDescent="0.25">
      <c r="B39" s="274" t="s">
        <v>474</v>
      </c>
      <c r="C39" s="223"/>
      <c r="D39" s="270">
        <v>51255</v>
      </c>
      <c r="E39" s="271">
        <v>0</v>
      </c>
      <c r="F39" s="271">
        <v>0</v>
      </c>
      <c r="G39" s="271">
        <v>0</v>
      </c>
      <c r="H39" s="271">
        <v>0</v>
      </c>
      <c r="I39" s="271">
        <v>0</v>
      </c>
      <c r="J39" s="272">
        <v>0</v>
      </c>
      <c r="K39" s="273">
        <v>51255</v>
      </c>
      <c r="L39" s="270">
        <v>0</v>
      </c>
      <c r="M39" s="271">
        <v>0</v>
      </c>
      <c r="N39" s="271">
        <v>0</v>
      </c>
      <c r="O39" s="271">
        <v>0</v>
      </c>
      <c r="P39" s="272">
        <v>0</v>
      </c>
      <c r="Q39" s="273">
        <v>0</v>
      </c>
      <c r="R39" s="86">
        <v>51255</v>
      </c>
      <c r="S39" s="87">
        <f>VLOOKUP(B39,'[2]Resumo do Aging List - Contabil'!$C:$S,17,0)</f>
        <v>51255</v>
      </c>
      <c r="T39" s="88" t="b">
        <f t="shared" si="1"/>
        <v>1</v>
      </c>
      <c r="U39" s="85">
        <f>VLOOKUP(B39,'[3]Resumo do Aging List - Contabil'!$B:$R,17,0)</f>
        <v>51255</v>
      </c>
      <c r="V39" t="b">
        <f t="shared" si="2"/>
        <v>1</v>
      </c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</row>
    <row r="40" spans="1:54" s="25" customFormat="1" ht="15" x14ac:dyDescent="0.25">
      <c r="B40" s="274" t="s">
        <v>475</v>
      </c>
      <c r="C40" s="223"/>
      <c r="D40" s="270">
        <v>311320.85000000003</v>
      </c>
      <c r="E40" s="271">
        <v>0</v>
      </c>
      <c r="F40" s="271">
        <v>0</v>
      </c>
      <c r="G40" s="271">
        <v>0</v>
      </c>
      <c r="H40" s="271">
        <v>11200</v>
      </c>
      <c r="I40" s="271">
        <v>0</v>
      </c>
      <c r="J40" s="272">
        <v>0</v>
      </c>
      <c r="K40" s="273">
        <v>322520.85000000003</v>
      </c>
      <c r="L40" s="270">
        <v>0</v>
      </c>
      <c r="M40" s="271">
        <v>0</v>
      </c>
      <c r="N40" s="271">
        <v>0</v>
      </c>
      <c r="O40" s="271">
        <v>0</v>
      </c>
      <c r="P40" s="272">
        <v>0</v>
      </c>
      <c r="Q40" s="273">
        <v>0</v>
      </c>
      <c r="R40" s="86">
        <v>322520.85000000003</v>
      </c>
      <c r="S40" s="87">
        <f>VLOOKUP(B40,'[2]Resumo do Aging List - Contabil'!$C:$S,17,0)</f>
        <v>322520.85000000003</v>
      </c>
      <c r="T40" s="88" t="b">
        <f t="shared" si="1"/>
        <v>1</v>
      </c>
      <c r="U40" s="85">
        <f>VLOOKUP(B40,'[3]Resumo do Aging List - Contabil'!$B:$R,17,0)</f>
        <v>322520.85000000003</v>
      </c>
      <c r="V40" t="b">
        <f t="shared" si="2"/>
        <v>1</v>
      </c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</row>
    <row r="41" spans="1:54" s="25" customFormat="1" ht="15" x14ac:dyDescent="0.25">
      <c r="B41" s="274" t="s">
        <v>791</v>
      </c>
      <c r="C41" s="223"/>
      <c r="D41" s="270">
        <v>0</v>
      </c>
      <c r="E41" s="271">
        <v>0</v>
      </c>
      <c r="F41" s="271">
        <v>0</v>
      </c>
      <c r="G41" s="271">
        <v>0</v>
      </c>
      <c r="H41" s="271">
        <v>0</v>
      </c>
      <c r="I41" s="271">
        <v>18415</v>
      </c>
      <c r="J41" s="272">
        <v>18415</v>
      </c>
      <c r="K41" s="273">
        <v>36830</v>
      </c>
      <c r="L41" s="270">
        <v>18415</v>
      </c>
      <c r="M41" s="271">
        <v>18415</v>
      </c>
      <c r="N41" s="271">
        <v>0</v>
      </c>
      <c r="O41" s="271">
        <v>0</v>
      </c>
      <c r="P41" s="272">
        <v>0</v>
      </c>
      <c r="Q41" s="273">
        <v>36830</v>
      </c>
      <c r="R41" s="86">
        <v>73660</v>
      </c>
      <c r="S41" s="87">
        <f>VLOOKUP(B41,'[2]Resumo do Aging List - Contabil'!$C:$S,17,0)</f>
        <v>73660</v>
      </c>
      <c r="T41" s="88" t="b">
        <f t="shared" si="1"/>
        <v>1</v>
      </c>
      <c r="U41" s="85">
        <f>VLOOKUP(B41,'[3]Resumo do Aging List - Contabil'!$B:$R,17,0)</f>
        <v>73660</v>
      </c>
      <c r="V41" t="b">
        <f t="shared" si="2"/>
        <v>1</v>
      </c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</row>
    <row r="42" spans="1:54" s="25" customFormat="1" ht="15" x14ac:dyDescent="0.25">
      <c r="B42" s="274" t="s">
        <v>480</v>
      </c>
      <c r="C42" s="223"/>
      <c r="D42" s="270">
        <v>78000</v>
      </c>
      <c r="E42" s="271">
        <v>0</v>
      </c>
      <c r="F42" s="271">
        <v>0</v>
      </c>
      <c r="G42" s="271">
        <v>0</v>
      </c>
      <c r="H42" s="271">
        <v>0</v>
      </c>
      <c r="I42" s="271">
        <v>0</v>
      </c>
      <c r="J42" s="272">
        <v>0</v>
      </c>
      <c r="K42" s="273">
        <v>78000</v>
      </c>
      <c r="L42" s="270">
        <v>0</v>
      </c>
      <c r="M42" s="271">
        <v>0</v>
      </c>
      <c r="N42" s="271">
        <v>0</v>
      </c>
      <c r="O42" s="271">
        <v>0</v>
      </c>
      <c r="P42" s="272">
        <v>0</v>
      </c>
      <c r="Q42" s="273">
        <v>0</v>
      </c>
      <c r="R42" s="86">
        <v>78000</v>
      </c>
      <c r="S42" s="87">
        <f>VLOOKUP(B42,'[2]Resumo do Aging List - Contabil'!$C:$S,17,0)</f>
        <v>78000</v>
      </c>
      <c r="T42" s="88" t="b">
        <f t="shared" si="1"/>
        <v>1</v>
      </c>
      <c r="U42" s="85">
        <f>VLOOKUP(B42,'[3]Resumo do Aging List - Contabil'!$B:$R,17,0)</f>
        <v>78000</v>
      </c>
      <c r="V42" t="b">
        <f t="shared" si="2"/>
        <v>1</v>
      </c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</row>
    <row r="43" spans="1:54" s="25" customFormat="1" ht="15" x14ac:dyDescent="0.25">
      <c r="B43" s="274" t="s">
        <v>481</v>
      </c>
      <c r="C43" s="223"/>
      <c r="D43" s="270">
        <v>234840</v>
      </c>
      <c r="E43" s="271">
        <v>0</v>
      </c>
      <c r="F43" s="271">
        <v>0</v>
      </c>
      <c r="G43" s="271">
        <v>0</v>
      </c>
      <c r="H43" s="271">
        <v>0</v>
      </c>
      <c r="I43" s="271">
        <v>0</v>
      </c>
      <c r="J43" s="272">
        <v>0</v>
      </c>
      <c r="K43" s="273">
        <v>234840</v>
      </c>
      <c r="L43" s="270">
        <v>0</v>
      </c>
      <c r="M43" s="271">
        <v>0</v>
      </c>
      <c r="N43" s="271">
        <v>0</v>
      </c>
      <c r="O43" s="271">
        <v>0</v>
      </c>
      <c r="P43" s="272">
        <v>0</v>
      </c>
      <c r="Q43" s="273">
        <v>0</v>
      </c>
      <c r="R43" s="86">
        <v>234840</v>
      </c>
      <c r="S43" s="87">
        <f>VLOOKUP(B43,'[2]Resumo do Aging List - Contabil'!$C:$S,17,0)</f>
        <v>234840</v>
      </c>
      <c r="T43" s="88" t="b">
        <f t="shared" si="1"/>
        <v>1</v>
      </c>
      <c r="U43" s="85">
        <f>VLOOKUP(B43,'[3]Resumo do Aging List - Contabil'!$B:$R,17,0)</f>
        <v>234840</v>
      </c>
      <c r="V43" t="b">
        <f t="shared" si="2"/>
        <v>1</v>
      </c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</row>
    <row r="44" spans="1:54" s="25" customFormat="1" ht="15.75" thickBot="1" x14ac:dyDescent="0.3">
      <c r="B44" s="240" t="s">
        <v>565</v>
      </c>
      <c r="C44" s="223"/>
      <c r="D44" s="249">
        <v>0</v>
      </c>
      <c r="E44" s="224">
        <v>0</v>
      </c>
      <c r="F44" s="224">
        <v>0</v>
      </c>
      <c r="G44" s="224">
        <v>0</v>
      </c>
      <c r="H44" s="224">
        <v>0</v>
      </c>
      <c r="I44" s="224">
        <v>0</v>
      </c>
      <c r="J44" s="228">
        <v>39860</v>
      </c>
      <c r="K44" s="259">
        <v>39860</v>
      </c>
      <c r="L44" s="227">
        <v>0</v>
      </c>
      <c r="M44" s="224">
        <v>0</v>
      </c>
      <c r="N44" s="224">
        <v>0</v>
      </c>
      <c r="O44" s="224">
        <v>0</v>
      </c>
      <c r="P44" s="228">
        <v>0</v>
      </c>
      <c r="Q44" s="259">
        <v>0</v>
      </c>
      <c r="R44" s="83">
        <v>39860</v>
      </c>
      <c r="S44" s="85">
        <f>VLOOKUP(B44,'[2]Resumo do Aging List - Contabil'!$C:$S,17,0)</f>
        <v>432930</v>
      </c>
      <c r="T44" t="b">
        <f t="shared" si="1"/>
        <v>0</v>
      </c>
      <c r="U44" s="85">
        <f>VLOOKUP(B44,'[3]Resumo do Aging List - Contabil'!$B:$R,17,0)</f>
        <v>432930</v>
      </c>
      <c r="V44" t="b">
        <f t="shared" si="2"/>
        <v>0</v>
      </c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</row>
    <row r="45" spans="1:54" s="25" customFormat="1" ht="15.75" thickBot="1" x14ac:dyDescent="0.3">
      <c r="B45" s="274" t="s">
        <v>925</v>
      </c>
      <c r="C45" s="223"/>
      <c r="D45" s="270">
        <v>0</v>
      </c>
      <c r="E45" s="271">
        <v>0</v>
      </c>
      <c r="F45" s="271">
        <v>0</v>
      </c>
      <c r="G45" s="271">
        <v>0</v>
      </c>
      <c r="H45" s="271">
        <v>0</v>
      </c>
      <c r="I45" s="271">
        <v>0</v>
      </c>
      <c r="J45" s="272">
        <v>0</v>
      </c>
      <c r="K45" s="273">
        <v>0</v>
      </c>
      <c r="L45" s="270">
        <v>0</v>
      </c>
      <c r="M45" s="271">
        <v>0</v>
      </c>
      <c r="N45" s="271">
        <v>38060</v>
      </c>
      <c r="O45" s="271">
        <v>0</v>
      </c>
      <c r="P45" s="272">
        <v>0</v>
      </c>
      <c r="Q45" s="273">
        <v>38060</v>
      </c>
      <c r="R45" s="86">
        <v>38060</v>
      </c>
      <c r="S45" s="87">
        <f>VLOOKUP(B45,'[2]Resumo do Aging List - Contabil'!$C:$S,17,0)</f>
        <v>38060</v>
      </c>
      <c r="T45" s="88" t="b">
        <f t="shared" si="1"/>
        <v>1</v>
      </c>
      <c r="U45" s="85">
        <f>VLOOKUP(B45,'[3]Resumo do Aging List - Contabil'!$B:$R,17,0)</f>
        <v>38060</v>
      </c>
      <c r="V45" t="b">
        <f t="shared" si="2"/>
        <v>1</v>
      </c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</row>
    <row r="46" spans="1:54" s="25" customFormat="1" ht="15" x14ac:dyDescent="0.25">
      <c r="B46" s="280" t="s">
        <v>482</v>
      </c>
      <c r="C46" s="223"/>
      <c r="D46" s="270">
        <v>408920.63</v>
      </c>
      <c r="E46" s="271">
        <v>0</v>
      </c>
      <c r="F46" s="271">
        <v>0</v>
      </c>
      <c r="G46" s="271">
        <v>0</v>
      </c>
      <c r="H46" s="271">
        <v>0</v>
      </c>
      <c r="I46" s="271">
        <v>0</v>
      </c>
      <c r="J46" s="272">
        <v>0</v>
      </c>
      <c r="K46" s="273">
        <v>408920.63</v>
      </c>
      <c r="L46" s="270">
        <v>0</v>
      </c>
      <c r="M46" s="271">
        <v>0</v>
      </c>
      <c r="N46" s="271">
        <v>0</v>
      </c>
      <c r="O46" s="271">
        <v>0</v>
      </c>
      <c r="P46" s="272">
        <v>0</v>
      </c>
      <c r="Q46" s="273">
        <v>0</v>
      </c>
      <c r="R46" s="86">
        <v>408920.63</v>
      </c>
      <c r="S46" s="87">
        <f>VLOOKUP(B46,'[2]Resumo do Aging List - Contabil'!$C:$S,17,0)</f>
        <v>408920.63</v>
      </c>
      <c r="T46" s="88" t="b">
        <f t="shared" si="1"/>
        <v>1</v>
      </c>
      <c r="U46" s="85">
        <f>VLOOKUP(B46,'[3]Resumo do Aging List - Contabil'!$B:$R,17,0)</f>
        <v>408920.63</v>
      </c>
      <c r="V46" t="b">
        <f t="shared" si="2"/>
        <v>1</v>
      </c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</row>
    <row r="47" spans="1:54" s="25" customFormat="1" ht="15.75" thickBot="1" x14ac:dyDescent="0.3">
      <c r="B47" s="281" t="s">
        <v>486</v>
      </c>
      <c r="C47" s="223"/>
      <c r="D47" s="270">
        <v>71100</v>
      </c>
      <c r="E47" s="271">
        <v>0</v>
      </c>
      <c r="F47" s="271">
        <v>0</v>
      </c>
      <c r="G47" s="271">
        <v>0</v>
      </c>
      <c r="H47" s="271">
        <v>0</v>
      </c>
      <c r="I47" s="271">
        <v>0</v>
      </c>
      <c r="J47" s="272">
        <v>0</v>
      </c>
      <c r="K47" s="273">
        <v>71100</v>
      </c>
      <c r="L47" s="270">
        <v>0</v>
      </c>
      <c r="M47" s="271">
        <v>0</v>
      </c>
      <c r="N47" s="271">
        <v>0</v>
      </c>
      <c r="O47" s="271">
        <v>0</v>
      </c>
      <c r="P47" s="272">
        <v>0</v>
      </c>
      <c r="Q47" s="273">
        <v>0</v>
      </c>
      <c r="R47" s="86">
        <v>71100</v>
      </c>
      <c r="S47" s="87">
        <f>VLOOKUP(B47,'[2]Resumo do Aging List - Contabil'!$C:$S,17,0)</f>
        <v>71100</v>
      </c>
      <c r="T47" s="88" t="b">
        <f t="shared" si="1"/>
        <v>1</v>
      </c>
      <c r="U47" s="85">
        <f>VLOOKUP(B47,'[3]Resumo do Aging List - Contabil'!$B:$R,17,0)</f>
        <v>71100</v>
      </c>
      <c r="V47" t="b">
        <f t="shared" si="2"/>
        <v>1</v>
      </c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</row>
    <row r="48" spans="1:54" s="25" customFormat="1" ht="15.75" thickBot="1" x14ac:dyDescent="0.3">
      <c r="B48" s="246" t="s">
        <v>927</v>
      </c>
      <c r="C48" s="223"/>
      <c r="D48" s="249">
        <v>0</v>
      </c>
      <c r="E48" s="224">
        <v>0</v>
      </c>
      <c r="F48" s="224">
        <v>0</v>
      </c>
      <c r="G48" s="224">
        <v>0</v>
      </c>
      <c r="H48" s="224">
        <v>0</v>
      </c>
      <c r="I48" s="224">
        <v>0</v>
      </c>
      <c r="J48" s="228">
        <v>0</v>
      </c>
      <c r="K48" s="259">
        <v>0</v>
      </c>
      <c r="L48" s="227">
        <v>1845</v>
      </c>
      <c r="M48" s="224">
        <v>0</v>
      </c>
      <c r="N48" s="224">
        <v>0</v>
      </c>
      <c r="O48" s="224">
        <v>0</v>
      </c>
      <c r="P48" s="228">
        <v>0</v>
      </c>
      <c r="Q48" s="259">
        <v>1845</v>
      </c>
      <c r="R48" s="83">
        <v>1845</v>
      </c>
      <c r="S48" s="85" t="e">
        <f>VLOOKUP(B48,'[2]Resumo do Aging List - Contabil'!$C:$S,17,0)</f>
        <v>#N/A</v>
      </c>
      <c r="T48" t="e">
        <f t="shared" si="1"/>
        <v>#N/A</v>
      </c>
      <c r="U48" s="85" t="e">
        <f>VLOOKUP(B48,'[3]Resumo do Aging List - Contabil'!$B:$R,17,0)</f>
        <v>#N/A</v>
      </c>
      <c r="V48" t="e">
        <f t="shared" si="2"/>
        <v>#N/A</v>
      </c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</row>
    <row r="49" spans="2:54" s="25" customFormat="1" ht="15" x14ac:dyDescent="0.25">
      <c r="B49" s="280" t="s">
        <v>56</v>
      </c>
      <c r="C49" s="223"/>
      <c r="D49" s="270">
        <v>141609.26</v>
      </c>
      <c r="E49" s="271">
        <v>0</v>
      </c>
      <c r="F49" s="271">
        <v>0</v>
      </c>
      <c r="G49" s="271">
        <v>0</v>
      </c>
      <c r="H49" s="271">
        <v>0</v>
      </c>
      <c r="I49" s="271">
        <v>0</v>
      </c>
      <c r="J49" s="272">
        <v>0</v>
      </c>
      <c r="K49" s="273">
        <v>141609.26</v>
      </c>
      <c r="L49" s="270">
        <v>0</v>
      </c>
      <c r="M49" s="271">
        <v>0</v>
      </c>
      <c r="N49" s="271">
        <v>0</v>
      </c>
      <c r="O49" s="271">
        <v>0</v>
      </c>
      <c r="P49" s="272">
        <v>0</v>
      </c>
      <c r="Q49" s="273">
        <v>0</v>
      </c>
      <c r="R49" s="86">
        <v>141609.26</v>
      </c>
      <c r="S49" s="87">
        <f>VLOOKUP(B49,'[2]Resumo do Aging List - Contabil'!$C:$S,17,0)</f>
        <v>141609.26</v>
      </c>
      <c r="T49" s="88" t="b">
        <f t="shared" si="1"/>
        <v>1</v>
      </c>
      <c r="U49" s="85">
        <f>VLOOKUP(B49,'[3]Resumo do Aging List - Contabil'!$B:$R,17,0)</f>
        <v>141609.26</v>
      </c>
      <c r="V49" t="b">
        <f t="shared" si="2"/>
        <v>1</v>
      </c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</row>
    <row r="50" spans="2:54" s="25" customFormat="1" ht="15.75" thickBot="1" x14ac:dyDescent="0.3">
      <c r="B50" s="257" t="s">
        <v>55</v>
      </c>
      <c r="C50" s="223"/>
      <c r="D50" s="249">
        <v>153000</v>
      </c>
      <c r="E50" s="255">
        <v>0</v>
      </c>
      <c r="F50" s="255">
        <v>0</v>
      </c>
      <c r="G50" s="224">
        <v>240.38</v>
      </c>
      <c r="H50" s="224">
        <v>0</v>
      </c>
      <c r="I50" s="224">
        <v>0</v>
      </c>
      <c r="J50" s="228">
        <v>0</v>
      </c>
      <c r="K50" s="259">
        <v>153240.38</v>
      </c>
      <c r="L50" s="227">
        <v>44024.72</v>
      </c>
      <c r="M50" s="224">
        <v>87062.53</v>
      </c>
      <c r="N50" s="224">
        <v>0</v>
      </c>
      <c r="O50" s="224">
        <v>0</v>
      </c>
      <c r="P50" s="228">
        <v>0</v>
      </c>
      <c r="Q50" s="259">
        <v>131087.25</v>
      </c>
      <c r="R50" s="83">
        <v>284327.63</v>
      </c>
      <c r="S50" s="85">
        <f>VLOOKUP(B50,'[2]Resumo do Aging List - Contabil'!$C:$S,17,0)</f>
        <v>341560.89</v>
      </c>
      <c r="T50" t="b">
        <f t="shared" si="1"/>
        <v>0</v>
      </c>
      <c r="U50" s="85">
        <f>VLOOKUP(B50,'[3]Resumo do Aging List - Contabil'!$B:$R,17,0)</f>
        <v>341560.89</v>
      </c>
      <c r="V50" t="b">
        <f t="shared" si="2"/>
        <v>0</v>
      </c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</row>
    <row r="51" spans="2:54" s="25" customFormat="1" ht="15" x14ac:dyDescent="0.25">
      <c r="B51" s="246" t="s">
        <v>567</v>
      </c>
      <c r="C51" s="223"/>
      <c r="D51" s="249">
        <v>0</v>
      </c>
      <c r="E51" s="224">
        <v>0</v>
      </c>
      <c r="F51" s="224">
        <v>0</v>
      </c>
      <c r="G51" s="224">
        <v>0</v>
      </c>
      <c r="H51" s="224">
        <v>15214.8</v>
      </c>
      <c r="I51" s="224">
        <v>0</v>
      </c>
      <c r="J51" s="228">
        <v>0</v>
      </c>
      <c r="K51" s="259">
        <v>15214.8</v>
      </c>
      <c r="L51" s="227">
        <v>0</v>
      </c>
      <c r="M51" s="224">
        <v>0</v>
      </c>
      <c r="N51" s="224">
        <v>0</v>
      </c>
      <c r="O51" s="224">
        <v>0</v>
      </c>
      <c r="P51" s="228">
        <v>0</v>
      </c>
      <c r="Q51" s="259">
        <v>0</v>
      </c>
      <c r="R51" s="83">
        <v>15214.8</v>
      </c>
      <c r="S51" s="85" t="e">
        <f>VLOOKUP(B51,'[2]Resumo do Aging List - Contabil'!$C:$S,17,0)</f>
        <v>#N/A</v>
      </c>
      <c r="T51" t="e">
        <f t="shared" si="1"/>
        <v>#N/A</v>
      </c>
      <c r="U51" s="85" t="e">
        <f>VLOOKUP(B51,'[3]Resumo do Aging List - Contabil'!$B:$R,17,0)</f>
        <v>#N/A</v>
      </c>
      <c r="V51" t="e">
        <f t="shared" si="2"/>
        <v>#N/A</v>
      </c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</row>
    <row r="52" spans="2:54" s="25" customFormat="1" ht="15" x14ac:dyDescent="0.25">
      <c r="B52" s="246" t="s">
        <v>430</v>
      </c>
      <c r="C52" s="223"/>
      <c r="D52" s="249">
        <v>0</v>
      </c>
      <c r="E52" s="224">
        <v>0</v>
      </c>
      <c r="F52" s="224">
        <v>0</v>
      </c>
      <c r="G52" s="224">
        <v>0</v>
      </c>
      <c r="H52" s="224">
        <v>8023</v>
      </c>
      <c r="I52" s="224">
        <v>0</v>
      </c>
      <c r="J52" s="228">
        <v>0</v>
      </c>
      <c r="K52" s="259">
        <v>8023</v>
      </c>
      <c r="L52" s="227">
        <v>0</v>
      </c>
      <c r="M52" s="224">
        <v>0</v>
      </c>
      <c r="N52" s="224">
        <v>0</v>
      </c>
      <c r="O52" s="224">
        <v>0</v>
      </c>
      <c r="P52" s="228">
        <v>0</v>
      </c>
      <c r="Q52" s="259">
        <v>0</v>
      </c>
      <c r="R52" s="83">
        <v>8023</v>
      </c>
      <c r="S52" s="85" t="e">
        <f>VLOOKUP(B52,'[2]Resumo do Aging List - Contabil'!$C:$S,17,0)</f>
        <v>#N/A</v>
      </c>
      <c r="T52" t="e">
        <f t="shared" si="1"/>
        <v>#N/A</v>
      </c>
      <c r="U52" s="85" t="e">
        <f>VLOOKUP(B52,'[3]Resumo do Aging List - Contabil'!$B:$R,17,0)</f>
        <v>#N/A</v>
      </c>
      <c r="V52" t="e">
        <f t="shared" si="2"/>
        <v>#N/A</v>
      </c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</row>
    <row r="53" spans="2:54" s="25" customFormat="1" ht="15.75" thickBot="1" x14ac:dyDescent="0.3">
      <c r="B53" s="281" t="s">
        <v>329</v>
      </c>
      <c r="C53" s="223"/>
      <c r="D53" s="270">
        <v>0</v>
      </c>
      <c r="E53" s="271">
        <v>0</v>
      </c>
      <c r="F53" s="271">
        <v>0</v>
      </c>
      <c r="G53" s="271">
        <v>0</v>
      </c>
      <c r="H53" s="271">
        <v>0</v>
      </c>
      <c r="I53" s="271">
        <v>0</v>
      </c>
      <c r="J53" s="272">
        <v>0</v>
      </c>
      <c r="K53" s="273">
        <v>0</v>
      </c>
      <c r="L53" s="270">
        <v>117795.8</v>
      </c>
      <c r="M53" s="271">
        <v>0</v>
      </c>
      <c r="N53" s="271">
        <v>0</v>
      </c>
      <c r="O53" s="271">
        <v>0</v>
      </c>
      <c r="P53" s="272">
        <v>0</v>
      </c>
      <c r="Q53" s="273">
        <v>117795.8</v>
      </c>
      <c r="R53" s="86">
        <v>117795.8</v>
      </c>
      <c r="S53" s="87">
        <f>VLOOKUP(B53,'[2]Resumo do Aging List - Contabil'!$C:$S,17,0)</f>
        <v>117795.8</v>
      </c>
      <c r="T53" s="88" t="b">
        <f t="shared" si="1"/>
        <v>1</v>
      </c>
      <c r="U53" s="85">
        <f>VLOOKUP(B53,'[3]Resumo do Aging List - Contabil'!$B:$R,17,0)</f>
        <v>117795.8</v>
      </c>
      <c r="V53" t="b">
        <f t="shared" si="2"/>
        <v>1</v>
      </c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</row>
    <row r="54" spans="2:54" s="25" customFormat="1" ht="15.75" thickBot="1" x14ac:dyDescent="0.3">
      <c r="B54" s="246" t="s">
        <v>932</v>
      </c>
      <c r="C54" s="223"/>
      <c r="D54" s="249">
        <v>0</v>
      </c>
      <c r="E54" s="224">
        <v>0</v>
      </c>
      <c r="F54" s="224">
        <v>0</v>
      </c>
      <c r="G54" s="224">
        <v>0</v>
      </c>
      <c r="H54" s="224">
        <v>0</v>
      </c>
      <c r="I54" s="224">
        <v>0</v>
      </c>
      <c r="J54" s="228">
        <v>0</v>
      </c>
      <c r="K54" s="259">
        <v>0</v>
      </c>
      <c r="L54" s="227">
        <v>0</v>
      </c>
      <c r="M54" s="224">
        <v>0</v>
      </c>
      <c r="N54" s="224">
        <v>29793.58</v>
      </c>
      <c r="O54" s="224">
        <v>0</v>
      </c>
      <c r="P54" s="228">
        <v>0</v>
      </c>
      <c r="Q54" s="259">
        <v>29793.58</v>
      </c>
      <c r="R54" s="83">
        <v>29793.58</v>
      </c>
      <c r="S54" s="85">
        <f>VLOOKUP(B54,'[2]Resumo do Aging List - Contabil'!$C:$S,17,0)</f>
        <v>50408.55</v>
      </c>
      <c r="T54" t="b">
        <f t="shared" si="1"/>
        <v>0</v>
      </c>
      <c r="U54" s="85">
        <f>VLOOKUP(B54,'[3]Resumo do Aging List - Contabil'!$B:$R,17,0)</f>
        <v>50408.55</v>
      </c>
      <c r="V54" t="b">
        <f t="shared" si="2"/>
        <v>0</v>
      </c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</row>
    <row r="55" spans="2:54" s="25" customFormat="1" ht="15.75" thickBot="1" x14ac:dyDescent="0.3">
      <c r="B55" s="245" t="s">
        <v>519</v>
      </c>
      <c r="C55" s="223"/>
      <c r="D55" s="249">
        <v>0</v>
      </c>
      <c r="E55" s="224">
        <v>0</v>
      </c>
      <c r="F55" s="224">
        <v>192200</v>
      </c>
      <c r="G55" s="224">
        <v>0</v>
      </c>
      <c r="H55" s="224">
        <v>0</v>
      </c>
      <c r="I55" s="224">
        <v>0</v>
      </c>
      <c r="J55" s="228">
        <v>0</v>
      </c>
      <c r="K55" s="259">
        <v>192200</v>
      </c>
      <c r="L55" s="227">
        <v>0</v>
      </c>
      <c r="M55" s="224">
        <v>0</v>
      </c>
      <c r="N55" s="224">
        <v>0</v>
      </c>
      <c r="O55" s="224">
        <v>0</v>
      </c>
      <c r="P55" s="228">
        <v>0</v>
      </c>
      <c r="Q55" s="259">
        <v>0</v>
      </c>
      <c r="R55" s="83">
        <v>192200</v>
      </c>
      <c r="S55" s="85">
        <f>VLOOKUP(B55,'[2]Resumo do Aging List - Contabil'!$C:$S,17,0)</f>
        <v>668660</v>
      </c>
      <c r="T55" t="b">
        <f t="shared" si="1"/>
        <v>0</v>
      </c>
      <c r="U55" s="85">
        <f>VLOOKUP(B55,'[3]Resumo do Aging List - Contabil'!$B:$R,17,0)</f>
        <v>668660</v>
      </c>
      <c r="V55" t="b">
        <f t="shared" si="2"/>
        <v>0</v>
      </c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</row>
    <row r="56" spans="2:54" s="25" customFormat="1" ht="15.75" thickBot="1" x14ac:dyDescent="0.3">
      <c r="B56" s="248" t="s">
        <v>128</v>
      </c>
      <c r="C56" s="223"/>
      <c r="D56" s="249">
        <v>0</v>
      </c>
      <c r="E56" s="255">
        <v>0</v>
      </c>
      <c r="F56" s="255">
        <v>0</v>
      </c>
      <c r="G56" s="224">
        <v>0</v>
      </c>
      <c r="H56" s="224">
        <v>0</v>
      </c>
      <c r="I56" s="224">
        <v>0</v>
      </c>
      <c r="J56" s="228">
        <v>0</v>
      </c>
      <c r="K56" s="259">
        <v>0</v>
      </c>
      <c r="L56" s="227">
        <v>0</v>
      </c>
      <c r="M56" s="224">
        <v>31180.29</v>
      </c>
      <c r="N56" s="224">
        <v>0</v>
      </c>
      <c r="O56" s="224">
        <v>0</v>
      </c>
      <c r="P56" s="228">
        <v>0</v>
      </c>
      <c r="Q56" s="259">
        <v>31180.29</v>
      </c>
      <c r="R56" s="83">
        <v>31180.29</v>
      </c>
      <c r="S56" s="85">
        <f>VLOOKUP(B56,'[2]Resumo do Aging List - Contabil'!$C:$S,17,0)</f>
        <v>300916.29000000004</v>
      </c>
      <c r="T56" t="b">
        <f t="shared" si="1"/>
        <v>0</v>
      </c>
      <c r="U56" s="85">
        <f>VLOOKUP(B56,'[3]Resumo do Aging List - Contabil'!$B:$R,17,0)</f>
        <v>300916.29000000004</v>
      </c>
      <c r="V56" t="b">
        <f t="shared" si="2"/>
        <v>0</v>
      </c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</row>
    <row r="57" spans="2:54" s="25" customFormat="1" ht="15.75" thickBot="1" x14ac:dyDescent="0.3">
      <c r="B57" s="240" t="s">
        <v>478</v>
      </c>
      <c r="C57" s="223"/>
      <c r="D57" s="249">
        <v>0</v>
      </c>
      <c r="E57" s="224">
        <v>0</v>
      </c>
      <c r="F57" s="224">
        <v>25030</v>
      </c>
      <c r="G57" s="224">
        <v>53630</v>
      </c>
      <c r="H57" s="224">
        <v>28600</v>
      </c>
      <c r="I57" s="224">
        <v>14300</v>
      </c>
      <c r="J57" s="228">
        <v>0</v>
      </c>
      <c r="K57" s="259">
        <v>121560</v>
      </c>
      <c r="L57" s="227">
        <v>0</v>
      </c>
      <c r="M57" s="224">
        <v>0</v>
      </c>
      <c r="N57" s="224">
        <v>0</v>
      </c>
      <c r="O57" s="224">
        <v>0</v>
      </c>
      <c r="P57" s="228">
        <v>0</v>
      </c>
      <c r="Q57" s="259">
        <v>0</v>
      </c>
      <c r="R57" s="83">
        <v>121560</v>
      </c>
      <c r="S57" s="85">
        <f>VLOOKUP(B57,'[2]Resumo do Aging List - Contabil'!$C:$S,17,0)</f>
        <v>71500</v>
      </c>
      <c r="T57" t="b">
        <f t="shared" si="1"/>
        <v>0</v>
      </c>
      <c r="U57" s="85">
        <f>VLOOKUP(B57,'[3]Resumo do Aging List - Contabil'!$B:$R,17,0)</f>
        <v>71500</v>
      </c>
      <c r="V57" t="b">
        <f t="shared" si="2"/>
        <v>0</v>
      </c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</row>
    <row r="58" spans="2:54" s="25" customFormat="1" ht="15.75" thickBot="1" x14ac:dyDescent="0.3">
      <c r="B58" s="274" t="s">
        <v>935</v>
      </c>
      <c r="C58" s="223"/>
      <c r="D58" s="270">
        <v>0</v>
      </c>
      <c r="E58" s="271">
        <v>0</v>
      </c>
      <c r="F58" s="271">
        <v>0</v>
      </c>
      <c r="G58" s="271">
        <v>0</v>
      </c>
      <c r="H58" s="271">
        <v>0</v>
      </c>
      <c r="I58" s="271">
        <v>0</v>
      </c>
      <c r="J58" s="272">
        <v>0</v>
      </c>
      <c r="K58" s="273">
        <v>0</v>
      </c>
      <c r="L58" s="270">
        <v>0</v>
      </c>
      <c r="M58" s="271">
        <v>32500</v>
      </c>
      <c r="N58" s="271">
        <v>0</v>
      </c>
      <c r="O58" s="271">
        <v>0</v>
      </c>
      <c r="P58" s="272">
        <v>0</v>
      </c>
      <c r="Q58" s="273">
        <v>32500</v>
      </c>
      <c r="R58" s="86">
        <v>32500</v>
      </c>
      <c r="S58" s="87">
        <f>VLOOKUP(B58,'[2]Resumo do Aging List - Contabil'!$C:$S,17,0)</f>
        <v>32500</v>
      </c>
      <c r="T58" s="88" t="b">
        <f t="shared" si="1"/>
        <v>1</v>
      </c>
      <c r="U58" s="85">
        <f>VLOOKUP(B58,'[3]Resumo do Aging List - Contabil'!$B:$R,17,0)</f>
        <v>32500</v>
      </c>
      <c r="V58" t="b">
        <f t="shared" si="2"/>
        <v>1</v>
      </c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</row>
    <row r="59" spans="2:54" s="25" customFormat="1" ht="15" x14ac:dyDescent="0.25">
      <c r="B59" s="280" t="s">
        <v>374</v>
      </c>
      <c r="C59" s="223"/>
      <c r="D59" s="270">
        <v>2034.5</v>
      </c>
      <c r="E59" s="271">
        <v>0</v>
      </c>
      <c r="F59" s="271">
        <v>0</v>
      </c>
      <c r="G59" s="271">
        <v>0</v>
      </c>
      <c r="H59" s="271">
        <v>0</v>
      </c>
      <c r="I59" s="271">
        <v>0</v>
      </c>
      <c r="J59" s="272">
        <v>0</v>
      </c>
      <c r="K59" s="273">
        <v>2034.5</v>
      </c>
      <c r="L59" s="270">
        <v>0</v>
      </c>
      <c r="M59" s="271">
        <v>0</v>
      </c>
      <c r="N59" s="271">
        <v>0</v>
      </c>
      <c r="O59" s="271">
        <v>0</v>
      </c>
      <c r="P59" s="272">
        <v>0</v>
      </c>
      <c r="Q59" s="273">
        <v>0</v>
      </c>
      <c r="R59" s="86">
        <v>2034.5</v>
      </c>
      <c r="S59" s="87">
        <f>VLOOKUP(B59,'[2]Resumo do Aging List - Contabil'!$C:$S,17,0)</f>
        <v>2034.5</v>
      </c>
      <c r="T59" s="88" t="b">
        <f t="shared" si="1"/>
        <v>1</v>
      </c>
      <c r="U59" s="85">
        <f>VLOOKUP(B59,'[3]Resumo do Aging List - Contabil'!$B:$R,17,0)</f>
        <v>2034.5</v>
      </c>
      <c r="V59" t="b">
        <f t="shared" si="2"/>
        <v>1</v>
      </c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</row>
    <row r="60" spans="2:54" s="25" customFormat="1" ht="15" x14ac:dyDescent="0.25">
      <c r="B60" s="246" t="s">
        <v>433</v>
      </c>
      <c r="C60" s="225">
        <v>0</v>
      </c>
      <c r="D60" s="249">
        <v>0</v>
      </c>
      <c r="E60" s="224">
        <v>0</v>
      </c>
      <c r="F60" s="224">
        <v>0</v>
      </c>
      <c r="G60" s="224">
        <v>0</v>
      </c>
      <c r="H60" s="224">
        <v>0</v>
      </c>
      <c r="I60" s="224">
        <v>0</v>
      </c>
      <c r="J60" s="228">
        <v>0</v>
      </c>
      <c r="K60" s="259">
        <v>0</v>
      </c>
      <c r="L60" s="227">
        <v>0</v>
      </c>
      <c r="M60" s="224">
        <v>0</v>
      </c>
      <c r="N60" s="224">
        <v>4690</v>
      </c>
      <c r="O60" s="224">
        <v>0</v>
      </c>
      <c r="P60" s="228">
        <v>0</v>
      </c>
      <c r="Q60" s="259">
        <v>4690</v>
      </c>
      <c r="R60" s="83">
        <v>4690</v>
      </c>
      <c r="S60" s="85">
        <f>VLOOKUP(B60,'[2]Resumo do Aging List - Contabil'!$C:$S,17,0)</f>
        <v>4690</v>
      </c>
      <c r="T60" t="b">
        <f t="shared" si="1"/>
        <v>1</v>
      </c>
      <c r="U60" s="85">
        <f>VLOOKUP(B60,'[3]Resumo do Aging List - Contabil'!$B:$R,17,0)</f>
        <v>4690</v>
      </c>
      <c r="V60" t="b">
        <f t="shared" si="2"/>
        <v>1</v>
      </c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</row>
    <row r="61" spans="2:54" s="25" customFormat="1" ht="15.75" thickBot="1" x14ac:dyDescent="0.3">
      <c r="B61" s="247"/>
      <c r="C61" s="226">
        <v>90000</v>
      </c>
      <c r="D61" s="250">
        <v>0</v>
      </c>
      <c r="E61" s="237">
        <v>0</v>
      </c>
      <c r="F61" s="237">
        <v>0</v>
      </c>
      <c r="G61" s="237">
        <v>0</v>
      </c>
      <c r="H61" s="237">
        <v>0</v>
      </c>
      <c r="I61" s="237">
        <v>90000</v>
      </c>
      <c r="J61" s="239">
        <v>0</v>
      </c>
      <c r="K61" s="260">
        <v>90000</v>
      </c>
      <c r="L61" s="238">
        <v>0</v>
      </c>
      <c r="M61" s="237">
        <v>0</v>
      </c>
      <c r="N61" s="237">
        <v>0</v>
      </c>
      <c r="O61" s="237">
        <v>0</v>
      </c>
      <c r="P61" s="239">
        <v>0</v>
      </c>
      <c r="Q61" s="260">
        <v>0</v>
      </c>
      <c r="R61" s="83">
        <v>90000</v>
      </c>
      <c r="S61" s="85" t="e">
        <f>VLOOKUP(B61,'[2]Resumo do Aging List - Contabil'!$C:$S,17,0)</f>
        <v>#N/A</v>
      </c>
      <c r="T61" t="e">
        <f t="shared" si="1"/>
        <v>#N/A</v>
      </c>
      <c r="U61" s="85" t="e">
        <f>VLOOKUP(B61,'[3]Resumo do Aging List - Contabil'!$B:$R,17,0)</f>
        <v>#N/A</v>
      </c>
      <c r="V61" t="e">
        <f t="shared" si="2"/>
        <v>#N/A</v>
      </c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</row>
    <row r="62" spans="2:54" s="25" customFormat="1" ht="15.75" thickBot="1" x14ac:dyDescent="0.3">
      <c r="B62" s="222" t="s">
        <v>1635</v>
      </c>
      <c r="C62" s="223"/>
      <c r="D62" s="227">
        <v>0</v>
      </c>
      <c r="E62" s="224">
        <v>0</v>
      </c>
      <c r="F62" s="224">
        <v>0</v>
      </c>
      <c r="G62" s="224">
        <v>0</v>
      </c>
      <c r="H62" s="224">
        <v>0</v>
      </c>
      <c r="I62" s="224">
        <v>90000</v>
      </c>
      <c r="J62" s="228">
        <v>0</v>
      </c>
      <c r="K62" s="259">
        <v>90000</v>
      </c>
      <c r="L62" s="227">
        <v>0</v>
      </c>
      <c r="M62" s="224">
        <v>0</v>
      </c>
      <c r="N62" s="224">
        <v>4690</v>
      </c>
      <c r="O62" s="224">
        <v>0</v>
      </c>
      <c r="P62" s="228">
        <v>0</v>
      </c>
      <c r="Q62" s="259">
        <v>4690</v>
      </c>
      <c r="R62" s="83">
        <v>94690</v>
      </c>
      <c r="S62" s="85" t="e">
        <f>VLOOKUP(B62,'[2]Resumo do Aging List - Contabil'!$C:$S,17,0)</f>
        <v>#N/A</v>
      </c>
      <c r="T62" t="e">
        <f t="shared" si="1"/>
        <v>#N/A</v>
      </c>
      <c r="U62" s="85" t="e">
        <f>VLOOKUP(B62,'[3]Resumo do Aging List - Contabil'!$B:$R,17,0)</f>
        <v>#N/A</v>
      </c>
      <c r="V62" t="e">
        <f t="shared" si="2"/>
        <v>#N/A</v>
      </c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</row>
    <row r="63" spans="2:54" s="25" customFormat="1" ht="15" x14ac:dyDescent="0.25">
      <c r="B63" s="245" t="s">
        <v>366</v>
      </c>
      <c r="C63" s="223"/>
      <c r="D63" s="249">
        <v>0</v>
      </c>
      <c r="E63" s="224">
        <v>0</v>
      </c>
      <c r="F63" s="224">
        <v>0</v>
      </c>
      <c r="G63" s="224">
        <v>0</v>
      </c>
      <c r="H63" s="224">
        <v>132300</v>
      </c>
      <c r="I63" s="224">
        <v>0</v>
      </c>
      <c r="J63" s="228">
        <v>0</v>
      </c>
      <c r="K63" s="259">
        <v>132300</v>
      </c>
      <c r="L63" s="227">
        <v>122030</v>
      </c>
      <c r="M63" s="224">
        <v>0</v>
      </c>
      <c r="N63" s="224">
        <v>0</v>
      </c>
      <c r="O63" s="224">
        <v>56249.23</v>
      </c>
      <c r="P63" s="228">
        <v>0</v>
      </c>
      <c r="Q63" s="259">
        <v>178279.23</v>
      </c>
      <c r="R63" s="83">
        <v>310579.23</v>
      </c>
      <c r="S63" s="85">
        <f>VLOOKUP(B63,'[2]Resumo do Aging List - Contabil'!$C:$S,17,0)</f>
        <v>232583.23</v>
      </c>
      <c r="T63" t="b">
        <f t="shared" si="1"/>
        <v>0</v>
      </c>
      <c r="U63" s="85">
        <f>VLOOKUP(B63,'[3]Resumo do Aging List - Contabil'!$B:$R,17,0)</f>
        <v>232583.23</v>
      </c>
      <c r="V63" t="b">
        <f t="shared" si="2"/>
        <v>0</v>
      </c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</row>
    <row r="64" spans="2:54" s="25" customFormat="1" ht="15.75" thickBot="1" x14ac:dyDescent="0.3">
      <c r="B64" s="246" t="s">
        <v>479</v>
      </c>
      <c r="C64" s="223"/>
      <c r="D64" s="249">
        <v>0</v>
      </c>
      <c r="E64" s="224">
        <v>0</v>
      </c>
      <c r="F64" s="224">
        <v>8102</v>
      </c>
      <c r="G64" s="224">
        <v>8102</v>
      </c>
      <c r="H64" s="224">
        <v>8102</v>
      </c>
      <c r="I64" s="224">
        <v>0</v>
      </c>
      <c r="J64" s="228">
        <v>8102</v>
      </c>
      <c r="K64" s="259">
        <v>32408</v>
      </c>
      <c r="L64" s="227">
        <v>8102</v>
      </c>
      <c r="M64" s="224">
        <v>0</v>
      </c>
      <c r="N64" s="224">
        <v>0</v>
      </c>
      <c r="O64" s="224">
        <v>0</v>
      </c>
      <c r="P64" s="228">
        <v>0</v>
      </c>
      <c r="Q64" s="259">
        <v>8102</v>
      </c>
      <c r="R64" s="83">
        <v>40510</v>
      </c>
      <c r="S64" s="85">
        <f>VLOOKUP(B64,'[2]Resumo do Aging List - Contabil'!$C:$S,17,0)</f>
        <v>32408</v>
      </c>
      <c r="T64" t="b">
        <f t="shared" si="1"/>
        <v>0</v>
      </c>
      <c r="U64" s="85">
        <f>VLOOKUP(B64,'[3]Resumo do Aging List - Contabil'!$B:$R,17,0)</f>
        <v>32408</v>
      </c>
      <c r="V64" t="b">
        <f t="shared" si="2"/>
        <v>0</v>
      </c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</row>
    <row r="65" spans="2:54" s="25" customFormat="1" ht="15.75" thickBot="1" x14ac:dyDescent="0.3">
      <c r="B65" s="248" t="s">
        <v>50</v>
      </c>
      <c r="C65" s="223"/>
      <c r="D65" s="249">
        <v>0</v>
      </c>
      <c r="E65" s="255">
        <v>0</v>
      </c>
      <c r="F65" s="255">
        <v>0</v>
      </c>
      <c r="G65" s="224">
        <v>0</v>
      </c>
      <c r="H65" s="224">
        <v>0</v>
      </c>
      <c r="I65" s="224">
        <v>0</v>
      </c>
      <c r="J65" s="228">
        <v>0</v>
      </c>
      <c r="K65" s="259">
        <v>0</v>
      </c>
      <c r="L65" s="227">
        <v>29763.58</v>
      </c>
      <c r="M65" s="224">
        <v>0</v>
      </c>
      <c r="N65" s="224">
        <v>14000</v>
      </c>
      <c r="O65" s="224">
        <v>89904.63</v>
      </c>
      <c r="P65" s="228">
        <v>0</v>
      </c>
      <c r="Q65" s="259">
        <v>133668.21000000002</v>
      </c>
      <c r="R65" s="86">
        <v>133668.21000000002</v>
      </c>
      <c r="S65" s="87">
        <f>VLOOKUP(B65,'[2]Resumo do Aging List - Contabil'!$C:$S,17,0)</f>
        <v>103904.63</v>
      </c>
      <c r="T65" s="88" t="b">
        <f t="shared" si="1"/>
        <v>0</v>
      </c>
      <c r="U65" s="85">
        <f>VLOOKUP(B65,'[3]Resumo do Aging List - Contabil'!$B:$R,17,0)</f>
        <v>103904.63</v>
      </c>
      <c r="V65" t="b">
        <f t="shared" si="2"/>
        <v>0</v>
      </c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</row>
    <row r="66" spans="2:54" s="25" customFormat="1" ht="15" x14ac:dyDescent="0.25">
      <c r="B66" s="246" t="s">
        <v>633</v>
      </c>
      <c r="C66" s="223"/>
      <c r="D66" s="249">
        <v>0</v>
      </c>
      <c r="E66" s="224">
        <v>0</v>
      </c>
      <c r="F66" s="224">
        <v>0</v>
      </c>
      <c r="G66" s="224">
        <v>0</v>
      </c>
      <c r="H66" s="224">
        <v>0</v>
      </c>
      <c r="I66" s="224">
        <v>0</v>
      </c>
      <c r="J66" s="228">
        <v>0</v>
      </c>
      <c r="K66" s="259">
        <v>0</v>
      </c>
      <c r="L66" s="227">
        <v>14710.91</v>
      </c>
      <c r="M66" s="224">
        <v>9822.25</v>
      </c>
      <c r="N66" s="224">
        <v>9822.25</v>
      </c>
      <c r="O66" s="224">
        <v>9822.25</v>
      </c>
      <c r="P66" s="228">
        <v>0</v>
      </c>
      <c r="Q66" s="259">
        <v>44177.66</v>
      </c>
      <c r="R66" s="86">
        <v>44177.66</v>
      </c>
      <c r="S66" s="87">
        <f>VLOOKUP(B66,'[2]Resumo do Aging List - Contabil'!$C:$S,17,0)</f>
        <v>67150.75</v>
      </c>
      <c r="T66" s="88" t="b">
        <f t="shared" si="1"/>
        <v>0</v>
      </c>
      <c r="U66" s="85">
        <f>VLOOKUP(B66,'[3]Resumo do Aging List - Contabil'!$B:$R,17,0)</f>
        <v>67150.75</v>
      </c>
      <c r="V66" t="b">
        <f t="shared" si="2"/>
        <v>0</v>
      </c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</row>
    <row r="67" spans="2:54" s="25" customFormat="1" ht="15" x14ac:dyDescent="0.25">
      <c r="B67" s="274" t="s">
        <v>634</v>
      </c>
      <c r="C67" s="223"/>
      <c r="D67" s="270">
        <v>0</v>
      </c>
      <c r="E67" s="271">
        <v>0</v>
      </c>
      <c r="F67" s="271">
        <v>0</v>
      </c>
      <c r="G67" s="271">
        <v>0</v>
      </c>
      <c r="H67" s="271">
        <v>0</v>
      </c>
      <c r="I67" s="271">
        <v>0</v>
      </c>
      <c r="J67" s="272">
        <v>97675</v>
      </c>
      <c r="K67" s="273">
        <v>97675</v>
      </c>
      <c r="L67" s="270">
        <v>0</v>
      </c>
      <c r="M67" s="271">
        <v>0</v>
      </c>
      <c r="N67" s="271">
        <v>0</v>
      </c>
      <c r="O67" s="271">
        <v>0</v>
      </c>
      <c r="P67" s="272">
        <v>0</v>
      </c>
      <c r="Q67" s="273">
        <v>0</v>
      </c>
      <c r="R67" s="83">
        <v>97675</v>
      </c>
      <c r="S67" s="85">
        <f>VLOOKUP(B67,'[2]Resumo do Aging List - Contabil'!$C:$S,17,0)</f>
        <v>97675</v>
      </c>
      <c r="T67" t="b">
        <f t="shared" si="1"/>
        <v>1</v>
      </c>
      <c r="U67" s="85">
        <f>VLOOKUP(B67,'[3]Resumo do Aging List - Contabil'!$B:$R,17,0)</f>
        <v>97675</v>
      </c>
      <c r="V67" t="b">
        <f t="shared" si="2"/>
        <v>1</v>
      </c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</row>
    <row r="68" spans="2:54" s="25" customFormat="1" ht="15" x14ac:dyDescent="0.25">
      <c r="B68" s="274" t="s">
        <v>494</v>
      </c>
      <c r="C68" s="223"/>
      <c r="D68" s="270">
        <v>59944.800000000003</v>
      </c>
      <c r="E68" s="271">
        <v>0</v>
      </c>
      <c r="F68" s="271">
        <v>0</v>
      </c>
      <c r="G68" s="271">
        <v>0</v>
      </c>
      <c r="H68" s="271">
        <v>0</v>
      </c>
      <c r="I68" s="271">
        <v>0</v>
      </c>
      <c r="J68" s="272">
        <v>69200</v>
      </c>
      <c r="K68" s="273">
        <v>129144.8</v>
      </c>
      <c r="L68" s="270">
        <v>0</v>
      </c>
      <c r="M68" s="271">
        <v>0</v>
      </c>
      <c r="N68" s="271">
        <v>0</v>
      </c>
      <c r="O68" s="271">
        <v>0</v>
      </c>
      <c r="P68" s="272">
        <v>0</v>
      </c>
      <c r="Q68" s="273">
        <v>0</v>
      </c>
      <c r="R68" s="83">
        <v>129144.8</v>
      </c>
      <c r="S68" s="85">
        <f>VLOOKUP(B68,'[2]Resumo do Aging List - Contabil'!$C:$S,17,0)</f>
        <v>129144.8</v>
      </c>
      <c r="T68" t="b">
        <f t="shared" si="1"/>
        <v>1</v>
      </c>
      <c r="U68" s="85">
        <f>VLOOKUP(B68,'[3]Resumo do Aging List - Contabil'!$B:$R,17,0)</f>
        <v>129144.8</v>
      </c>
      <c r="V68" t="b">
        <f t="shared" si="2"/>
        <v>1</v>
      </c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</row>
    <row r="69" spans="2:54" s="25" customFormat="1" ht="15" x14ac:dyDescent="0.25">
      <c r="B69" s="246" t="s">
        <v>496</v>
      </c>
      <c r="C69" s="223"/>
      <c r="D69" s="249">
        <v>0</v>
      </c>
      <c r="E69" s="224">
        <v>0</v>
      </c>
      <c r="F69" s="224">
        <v>0</v>
      </c>
      <c r="G69" s="224">
        <v>0</v>
      </c>
      <c r="H69" s="224">
        <v>0</v>
      </c>
      <c r="I69" s="224">
        <v>0</v>
      </c>
      <c r="J69" s="228">
        <v>0</v>
      </c>
      <c r="K69" s="259">
        <v>0</v>
      </c>
      <c r="L69" s="227">
        <v>172052</v>
      </c>
      <c r="M69" s="224">
        <v>22800</v>
      </c>
      <c r="N69" s="224">
        <v>0</v>
      </c>
      <c r="O69" s="224">
        <v>0</v>
      </c>
      <c r="P69" s="228">
        <v>0</v>
      </c>
      <c r="Q69" s="259">
        <v>194852</v>
      </c>
      <c r="R69" s="86">
        <v>194852</v>
      </c>
      <c r="S69" s="87">
        <f>VLOOKUP(B69,'[2]Resumo do Aging List - Contabil'!$C:$S,17,0)</f>
        <v>629789</v>
      </c>
      <c r="T69" s="88" t="b">
        <f t="shared" si="1"/>
        <v>0</v>
      </c>
      <c r="U69" s="85">
        <f>VLOOKUP(B69,'[3]Resumo do Aging List - Contabil'!$B:$R,17,0)</f>
        <v>629789</v>
      </c>
      <c r="V69" t="b">
        <f t="shared" si="2"/>
        <v>0</v>
      </c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</row>
    <row r="70" spans="2:54" s="25" customFormat="1" ht="15.75" thickBot="1" x14ac:dyDescent="0.3">
      <c r="B70" s="246" t="s">
        <v>434</v>
      </c>
      <c r="C70" s="223"/>
      <c r="D70" s="249">
        <v>0</v>
      </c>
      <c r="E70" s="224">
        <v>0</v>
      </c>
      <c r="F70" s="224">
        <v>0</v>
      </c>
      <c r="G70" s="224">
        <v>0</v>
      </c>
      <c r="H70" s="224">
        <v>77500</v>
      </c>
      <c r="I70" s="224">
        <v>65292.45</v>
      </c>
      <c r="J70" s="228">
        <v>86630</v>
      </c>
      <c r="K70" s="259">
        <v>229422.45</v>
      </c>
      <c r="L70" s="227">
        <v>0</v>
      </c>
      <c r="M70" s="224">
        <v>0</v>
      </c>
      <c r="N70" s="224">
        <v>0</v>
      </c>
      <c r="O70" s="224">
        <v>0</v>
      </c>
      <c r="P70" s="228">
        <v>0</v>
      </c>
      <c r="Q70" s="259">
        <v>0</v>
      </c>
      <c r="R70" s="86">
        <v>229422.45</v>
      </c>
      <c r="S70" s="87">
        <f>VLOOKUP(B70,'[2]Resumo do Aging List - Contabil'!$C:$S,17,0)</f>
        <v>164130</v>
      </c>
      <c r="T70" s="88" t="b">
        <f t="shared" si="1"/>
        <v>0</v>
      </c>
      <c r="U70" s="85">
        <f>VLOOKUP(B70,'[3]Resumo do Aging List - Contabil'!$B:$R,17,0)</f>
        <v>164130</v>
      </c>
      <c r="V70" t="b">
        <f t="shared" si="2"/>
        <v>0</v>
      </c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</row>
    <row r="71" spans="2:54" s="25" customFormat="1" ht="15.75" thickBot="1" x14ac:dyDescent="0.3">
      <c r="B71" s="275" t="s">
        <v>375</v>
      </c>
      <c r="C71" s="223"/>
      <c r="D71" s="270">
        <v>5920</v>
      </c>
      <c r="E71" s="271">
        <v>0</v>
      </c>
      <c r="F71" s="271">
        <v>0</v>
      </c>
      <c r="G71" s="271">
        <v>0</v>
      </c>
      <c r="H71" s="271">
        <v>0</v>
      </c>
      <c r="I71" s="271">
        <v>0</v>
      </c>
      <c r="J71" s="272">
        <v>0</v>
      </c>
      <c r="K71" s="273">
        <v>5920</v>
      </c>
      <c r="L71" s="270">
        <v>0</v>
      </c>
      <c r="M71" s="271">
        <v>0</v>
      </c>
      <c r="N71" s="271">
        <v>0</v>
      </c>
      <c r="O71" s="271">
        <v>0</v>
      </c>
      <c r="P71" s="272">
        <v>0</v>
      </c>
      <c r="Q71" s="273">
        <v>0</v>
      </c>
      <c r="R71" s="86">
        <v>5920</v>
      </c>
      <c r="S71" s="87">
        <f>VLOOKUP(B71,'[2]Resumo do Aging List - Contabil'!$C:$S,17,0)</f>
        <v>5920</v>
      </c>
      <c r="T71" s="88" t="b">
        <f t="shared" si="1"/>
        <v>1</v>
      </c>
      <c r="U71" s="85">
        <f>VLOOKUP(B71,'[3]Resumo do Aging List - Contabil'!$B:$R,17,0)</f>
        <v>5920</v>
      </c>
      <c r="V71" t="b">
        <f t="shared" si="2"/>
        <v>1</v>
      </c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</row>
    <row r="72" spans="2:54" s="25" customFormat="1" ht="15.75" thickBot="1" x14ac:dyDescent="0.3">
      <c r="B72" s="274" t="s">
        <v>368</v>
      </c>
      <c r="C72" s="223"/>
      <c r="D72" s="270">
        <v>1071489.56</v>
      </c>
      <c r="E72" s="271">
        <v>0</v>
      </c>
      <c r="F72" s="271">
        <v>0</v>
      </c>
      <c r="G72" s="271">
        <v>0</v>
      </c>
      <c r="H72" s="271">
        <v>0</v>
      </c>
      <c r="I72" s="271">
        <v>0</v>
      </c>
      <c r="J72" s="272">
        <v>113722.45000000001</v>
      </c>
      <c r="K72" s="273">
        <v>1185212.01</v>
      </c>
      <c r="L72" s="270">
        <v>0</v>
      </c>
      <c r="M72" s="271">
        <v>26187.42</v>
      </c>
      <c r="N72" s="271">
        <v>0</v>
      </c>
      <c r="O72" s="271">
        <v>0</v>
      </c>
      <c r="P72" s="272">
        <v>0</v>
      </c>
      <c r="Q72" s="273">
        <v>26187.42</v>
      </c>
      <c r="R72" s="83">
        <v>1211399.43</v>
      </c>
      <c r="S72" s="85">
        <f>VLOOKUP(B72,'[2]Resumo do Aging List - Contabil'!$C:$S,17,0)</f>
        <v>1211399.43</v>
      </c>
      <c r="T72" t="b">
        <f t="shared" si="1"/>
        <v>1</v>
      </c>
      <c r="U72" s="85">
        <f>VLOOKUP(B72,'[3]Resumo do Aging List - Contabil'!$B:$R,17,0)</f>
        <v>1211399.43</v>
      </c>
      <c r="V72" t="b">
        <f t="shared" si="2"/>
        <v>1</v>
      </c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</row>
    <row r="73" spans="2:54" s="25" customFormat="1" ht="15.75" thickBot="1" x14ac:dyDescent="0.3">
      <c r="B73" s="275" t="s">
        <v>62</v>
      </c>
      <c r="C73" s="223"/>
      <c r="D73" s="270">
        <v>9430</v>
      </c>
      <c r="E73" s="271">
        <v>0</v>
      </c>
      <c r="F73" s="271">
        <v>0</v>
      </c>
      <c r="G73" s="271">
        <v>0</v>
      </c>
      <c r="H73" s="271">
        <v>0</v>
      </c>
      <c r="I73" s="271">
        <v>0</v>
      </c>
      <c r="J73" s="272">
        <v>0</v>
      </c>
      <c r="K73" s="273">
        <v>9430</v>
      </c>
      <c r="L73" s="270">
        <v>0</v>
      </c>
      <c r="M73" s="271">
        <v>0</v>
      </c>
      <c r="N73" s="271">
        <v>0</v>
      </c>
      <c r="O73" s="271">
        <v>0</v>
      </c>
      <c r="P73" s="272">
        <v>0</v>
      </c>
      <c r="Q73" s="273">
        <v>0</v>
      </c>
      <c r="R73" s="83">
        <v>9430</v>
      </c>
      <c r="S73" s="85">
        <f>VLOOKUP(B73,'[2]Resumo do Aging List - Contabil'!$C:$S,17,0)</f>
        <v>9430</v>
      </c>
      <c r="T73" t="b">
        <f t="shared" si="1"/>
        <v>1</v>
      </c>
      <c r="U73" s="85">
        <f>VLOOKUP(B73,'[3]Resumo do Aging List - Contabil'!$B:$R,17,0)</f>
        <v>9430</v>
      </c>
      <c r="V73" t="b">
        <f t="shared" si="2"/>
        <v>1</v>
      </c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</row>
    <row r="74" spans="2:54" s="25" customFormat="1" ht="15" x14ac:dyDescent="0.25">
      <c r="B74" s="246" t="s">
        <v>512</v>
      </c>
      <c r="C74" s="223"/>
      <c r="D74" s="249">
        <v>0</v>
      </c>
      <c r="E74" s="224">
        <v>0</v>
      </c>
      <c r="F74" s="224">
        <v>0</v>
      </c>
      <c r="G74" s="224">
        <v>0</v>
      </c>
      <c r="H74" s="224">
        <v>0</v>
      </c>
      <c r="I74" s="224">
        <v>0</v>
      </c>
      <c r="J74" s="228">
        <v>0</v>
      </c>
      <c r="K74" s="259">
        <v>0</v>
      </c>
      <c r="L74" s="227">
        <v>10107.24</v>
      </c>
      <c r="M74" s="224">
        <v>10107.24</v>
      </c>
      <c r="N74" s="224">
        <v>0</v>
      </c>
      <c r="O74" s="224">
        <v>0</v>
      </c>
      <c r="P74" s="228">
        <v>0</v>
      </c>
      <c r="Q74" s="259">
        <v>20214.48</v>
      </c>
      <c r="R74" s="83">
        <v>20214.48</v>
      </c>
      <c r="S74" s="85">
        <f>VLOOKUP(B74,'[2]Resumo do Aging List - Contabil'!$C:$S,17,0)</f>
        <v>10107.24</v>
      </c>
      <c r="T74" t="b">
        <f t="shared" si="1"/>
        <v>0</v>
      </c>
      <c r="U74" s="85">
        <f>VLOOKUP(B74,'[3]Resumo do Aging List - Contabil'!$B:$R,17,0)</f>
        <v>10107.24</v>
      </c>
      <c r="V74" t="b">
        <f t="shared" si="2"/>
        <v>0</v>
      </c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</row>
    <row r="75" spans="2:54" s="25" customFormat="1" ht="15" x14ac:dyDescent="0.25">
      <c r="B75" s="246" t="s">
        <v>369</v>
      </c>
      <c r="C75" s="223"/>
      <c r="D75" s="249">
        <v>0</v>
      </c>
      <c r="E75" s="224">
        <v>0</v>
      </c>
      <c r="F75" s="224">
        <v>0</v>
      </c>
      <c r="G75" s="224">
        <v>0</v>
      </c>
      <c r="H75" s="224">
        <v>0</v>
      </c>
      <c r="I75" s="224">
        <v>0</v>
      </c>
      <c r="J75" s="228">
        <v>118600</v>
      </c>
      <c r="K75" s="259">
        <v>118600</v>
      </c>
      <c r="L75" s="227">
        <v>0</v>
      </c>
      <c r="M75" s="224">
        <v>0</v>
      </c>
      <c r="N75" s="224">
        <v>0</v>
      </c>
      <c r="O75" s="224">
        <v>0</v>
      </c>
      <c r="P75" s="228">
        <v>0</v>
      </c>
      <c r="Q75" s="259">
        <v>0</v>
      </c>
      <c r="R75" s="86">
        <v>118600</v>
      </c>
      <c r="S75" s="87">
        <f>VLOOKUP(B75,'[2]Resumo do Aging List - Contabil'!$C:$S,17,0)</f>
        <v>941708.48</v>
      </c>
      <c r="T75" s="88" t="b">
        <f t="shared" si="1"/>
        <v>0</v>
      </c>
      <c r="U75" s="85">
        <f>VLOOKUP(B75,'[3]Resumo do Aging List - Contabil'!$B:$R,17,0)</f>
        <v>941708.48</v>
      </c>
      <c r="V75" t="b">
        <f t="shared" si="2"/>
        <v>0</v>
      </c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</row>
    <row r="76" spans="2:54" s="25" customFormat="1" ht="15.75" thickBot="1" x14ac:dyDescent="0.3">
      <c r="B76" s="246" t="s">
        <v>639</v>
      </c>
      <c r="C76" s="223"/>
      <c r="D76" s="249">
        <v>0</v>
      </c>
      <c r="E76" s="224">
        <v>0</v>
      </c>
      <c r="F76" s="224">
        <v>0</v>
      </c>
      <c r="G76" s="224">
        <v>0</v>
      </c>
      <c r="H76" s="224">
        <v>0</v>
      </c>
      <c r="I76" s="224">
        <v>189480</v>
      </c>
      <c r="J76" s="228">
        <v>0</v>
      </c>
      <c r="K76" s="259">
        <v>189480</v>
      </c>
      <c r="L76" s="227">
        <v>0</v>
      </c>
      <c r="M76" s="224">
        <v>0</v>
      </c>
      <c r="N76" s="224">
        <v>0</v>
      </c>
      <c r="O76" s="224">
        <v>0</v>
      </c>
      <c r="P76" s="228">
        <v>0</v>
      </c>
      <c r="Q76" s="259">
        <v>0</v>
      </c>
      <c r="R76" s="86">
        <v>189480</v>
      </c>
      <c r="S76" s="87" t="e">
        <f>VLOOKUP(B76,'[2]Resumo do Aging List - Contabil'!$C:$S,17,0)</f>
        <v>#N/A</v>
      </c>
      <c r="T76" s="88" t="e">
        <f t="shared" si="1"/>
        <v>#N/A</v>
      </c>
      <c r="U76" s="85" t="e">
        <f>VLOOKUP(B76,'[3]Resumo do Aging List - Contabil'!$B:$R,17,0)</f>
        <v>#N/A</v>
      </c>
      <c r="V76" t="e">
        <f t="shared" si="2"/>
        <v>#N/A</v>
      </c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</row>
    <row r="77" spans="2:54" s="25" customFormat="1" ht="15" x14ac:dyDescent="0.25">
      <c r="B77" s="280" t="s">
        <v>57</v>
      </c>
      <c r="C77" s="223"/>
      <c r="D77" s="270">
        <v>24975</v>
      </c>
      <c r="E77" s="271">
        <v>0</v>
      </c>
      <c r="F77" s="271">
        <v>0</v>
      </c>
      <c r="G77" s="271">
        <v>0</v>
      </c>
      <c r="H77" s="271">
        <v>0</v>
      </c>
      <c r="I77" s="271">
        <v>0</v>
      </c>
      <c r="J77" s="272">
        <v>0</v>
      </c>
      <c r="K77" s="273">
        <v>24975</v>
      </c>
      <c r="L77" s="270">
        <v>0</v>
      </c>
      <c r="M77" s="271">
        <v>0</v>
      </c>
      <c r="N77" s="271">
        <v>0</v>
      </c>
      <c r="O77" s="271">
        <v>0</v>
      </c>
      <c r="P77" s="272">
        <v>0</v>
      </c>
      <c r="Q77" s="273">
        <v>0</v>
      </c>
      <c r="R77" s="86">
        <v>24975</v>
      </c>
      <c r="S77" s="87">
        <f>VLOOKUP(B77,'[2]Resumo do Aging List - Contabil'!$C:$S,17,0)</f>
        <v>24975</v>
      </c>
      <c r="T77" s="88" t="b">
        <f t="shared" si="1"/>
        <v>1</v>
      </c>
      <c r="U77" s="85">
        <f>VLOOKUP(B77,'[3]Resumo do Aging List - Contabil'!$B:$R,17,0)</f>
        <v>24975</v>
      </c>
      <c r="V77" t="b">
        <f t="shared" si="2"/>
        <v>1</v>
      </c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</row>
    <row r="78" spans="2:54" s="25" customFormat="1" ht="15.75" thickBot="1" x14ac:dyDescent="0.3">
      <c r="B78" s="281" t="s">
        <v>51</v>
      </c>
      <c r="C78" s="223"/>
      <c r="D78" s="270">
        <v>110892.5</v>
      </c>
      <c r="E78" s="271">
        <v>0</v>
      </c>
      <c r="F78" s="271">
        <v>0</v>
      </c>
      <c r="G78" s="271">
        <v>0</v>
      </c>
      <c r="H78" s="271">
        <v>0</v>
      </c>
      <c r="I78" s="271">
        <v>0</v>
      </c>
      <c r="J78" s="272">
        <v>0</v>
      </c>
      <c r="K78" s="273">
        <v>110892.5</v>
      </c>
      <c r="L78" s="270">
        <v>0</v>
      </c>
      <c r="M78" s="271">
        <v>0</v>
      </c>
      <c r="N78" s="271">
        <v>0</v>
      </c>
      <c r="O78" s="271">
        <v>0</v>
      </c>
      <c r="P78" s="272">
        <v>0</v>
      </c>
      <c r="Q78" s="273">
        <v>0</v>
      </c>
      <c r="R78" s="83">
        <v>110892.5</v>
      </c>
      <c r="S78" s="85">
        <f>VLOOKUP(B78,'[2]Resumo do Aging List - Contabil'!$C:$S,17,0)</f>
        <v>110892.5</v>
      </c>
      <c r="T78" t="b">
        <f t="shared" si="1"/>
        <v>1</v>
      </c>
      <c r="U78" s="85">
        <f>VLOOKUP(B78,'[3]Resumo do Aging List - Contabil'!$B:$R,17,0)</f>
        <v>110892.5</v>
      </c>
      <c r="V78" t="b">
        <f t="shared" si="2"/>
        <v>1</v>
      </c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</row>
    <row r="79" spans="2:54" s="25" customFormat="1" ht="15" x14ac:dyDescent="0.25">
      <c r="B79" s="274" t="s">
        <v>513</v>
      </c>
      <c r="C79" s="223"/>
      <c r="D79" s="270">
        <v>15531</v>
      </c>
      <c r="E79" s="271">
        <v>0</v>
      </c>
      <c r="F79" s="271">
        <v>0</v>
      </c>
      <c r="G79" s="271">
        <v>0</v>
      </c>
      <c r="H79" s="271">
        <v>0</v>
      </c>
      <c r="I79" s="271">
        <v>0</v>
      </c>
      <c r="J79" s="272">
        <v>0</v>
      </c>
      <c r="K79" s="273">
        <v>15531</v>
      </c>
      <c r="L79" s="270">
        <v>0</v>
      </c>
      <c r="M79" s="271">
        <v>0</v>
      </c>
      <c r="N79" s="271">
        <v>0</v>
      </c>
      <c r="O79" s="271">
        <v>0</v>
      </c>
      <c r="P79" s="272">
        <v>0</v>
      </c>
      <c r="Q79" s="273">
        <v>0</v>
      </c>
      <c r="R79" s="86">
        <v>15531</v>
      </c>
      <c r="S79" s="87">
        <f>VLOOKUP(B79,'[2]Resumo do Aging List - Contabil'!$C:$S,17,0)</f>
        <v>15531</v>
      </c>
      <c r="T79" s="88" t="b">
        <f t="shared" si="1"/>
        <v>1</v>
      </c>
      <c r="U79" s="85">
        <f>VLOOKUP(B79,'[3]Resumo do Aging List - Contabil'!$B:$R,17,0)</f>
        <v>15531</v>
      </c>
      <c r="V79" t="b">
        <f t="shared" si="2"/>
        <v>1</v>
      </c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</row>
    <row r="80" spans="2:54" s="25" customFormat="1" ht="15" x14ac:dyDescent="0.25">
      <c r="B80" s="246" t="s">
        <v>472</v>
      </c>
      <c r="C80" s="223"/>
      <c r="D80" s="249">
        <v>0</v>
      </c>
      <c r="E80" s="224">
        <v>0</v>
      </c>
      <c r="F80" s="224">
        <v>0</v>
      </c>
      <c r="G80" s="224">
        <v>0</v>
      </c>
      <c r="H80" s="224">
        <v>0</v>
      </c>
      <c r="I80" s="224">
        <v>0</v>
      </c>
      <c r="J80" s="228">
        <v>0</v>
      </c>
      <c r="K80" s="259">
        <v>0</v>
      </c>
      <c r="L80" s="227">
        <v>32087</v>
      </c>
      <c r="M80" s="224">
        <v>0</v>
      </c>
      <c r="N80" s="224">
        <v>0</v>
      </c>
      <c r="O80" s="224">
        <v>0</v>
      </c>
      <c r="P80" s="228">
        <v>0</v>
      </c>
      <c r="Q80" s="259">
        <v>32087</v>
      </c>
      <c r="R80" s="83">
        <v>32087</v>
      </c>
      <c r="S80" s="85">
        <f>VLOOKUP(B80,'[2]Resumo do Aging List - Contabil'!$C:$S,17,0)</f>
        <v>74234</v>
      </c>
      <c r="T80" t="b">
        <f t="shared" si="1"/>
        <v>0</v>
      </c>
      <c r="U80" s="85">
        <f>VLOOKUP(B80,'[3]Resumo do Aging List - Contabil'!$B:$R,17,0)</f>
        <v>74234</v>
      </c>
      <c r="V80" t="b">
        <f t="shared" si="2"/>
        <v>0</v>
      </c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</row>
    <row r="81" spans="1:54" s="25" customFormat="1" ht="15" x14ac:dyDescent="0.25">
      <c r="B81" s="274" t="s">
        <v>497</v>
      </c>
      <c r="C81" s="223"/>
      <c r="D81" s="270">
        <v>105756</v>
      </c>
      <c r="E81" s="271">
        <v>0</v>
      </c>
      <c r="F81" s="271">
        <v>0</v>
      </c>
      <c r="G81" s="271">
        <v>0</v>
      </c>
      <c r="H81" s="271">
        <v>0</v>
      </c>
      <c r="I81" s="271">
        <v>0</v>
      </c>
      <c r="J81" s="272">
        <v>0</v>
      </c>
      <c r="K81" s="273">
        <v>105756</v>
      </c>
      <c r="L81" s="270">
        <v>0</v>
      </c>
      <c r="M81" s="271">
        <v>0</v>
      </c>
      <c r="N81" s="271">
        <v>0</v>
      </c>
      <c r="O81" s="271">
        <v>0</v>
      </c>
      <c r="P81" s="272">
        <v>0</v>
      </c>
      <c r="Q81" s="273">
        <v>0</v>
      </c>
      <c r="R81" s="86">
        <v>105756</v>
      </c>
      <c r="S81" s="87">
        <f>VLOOKUP(B81,'[2]Resumo do Aging List - Contabil'!$C:$S,17,0)</f>
        <v>105756</v>
      </c>
      <c r="T81" s="88" t="b">
        <f t="shared" si="1"/>
        <v>1</v>
      </c>
      <c r="U81" s="85">
        <f>VLOOKUP(B81,'[3]Resumo do Aging List - Contabil'!$B:$R,17,0)</f>
        <v>105756</v>
      </c>
      <c r="V81" t="b">
        <f t="shared" si="2"/>
        <v>1</v>
      </c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</row>
    <row r="82" spans="1:54" s="25" customFormat="1" ht="15.75" thickBot="1" x14ac:dyDescent="0.3">
      <c r="B82" s="246" t="s">
        <v>488</v>
      </c>
      <c r="C82" s="223"/>
      <c r="D82" s="249">
        <v>0</v>
      </c>
      <c r="E82" s="224">
        <v>0</v>
      </c>
      <c r="F82" s="224">
        <v>0</v>
      </c>
      <c r="G82" s="224">
        <v>0</v>
      </c>
      <c r="H82" s="224">
        <v>0</v>
      </c>
      <c r="I82" s="224">
        <v>0</v>
      </c>
      <c r="J82" s="228">
        <v>40749.1</v>
      </c>
      <c r="K82" s="259">
        <v>40749.1</v>
      </c>
      <c r="L82" s="227">
        <v>14467.86</v>
      </c>
      <c r="M82" s="224">
        <v>149427.86000000002</v>
      </c>
      <c r="N82" s="224">
        <v>24206.799999999999</v>
      </c>
      <c r="O82" s="224">
        <v>0</v>
      </c>
      <c r="P82" s="228">
        <v>0</v>
      </c>
      <c r="Q82" s="259">
        <v>188102.52</v>
      </c>
      <c r="R82" s="83">
        <v>228851.62</v>
      </c>
      <c r="S82" s="85">
        <f>VLOOKUP(B82,'[2]Resumo do Aging List - Contabil'!$C:$S,17,0)</f>
        <v>322533.33</v>
      </c>
      <c r="T82" t="b">
        <f t="shared" si="1"/>
        <v>0</v>
      </c>
      <c r="U82" s="85">
        <f>VLOOKUP(B82,'[3]Resumo do Aging List - Contabil'!$B:$R,17,0)</f>
        <v>322533.33</v>
      </c>
      <c r="V82" t="b">
        <f t="shared" si="2"/>
        <v>0</v>
      </c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</row>
    <row r="83" spans="1:54" s="25" customFormat="1" ht="15.75" thickBot="1" x14ac:dyDescent="0.3">
      <c r="B83" s="275" t="s">
        <v>53</v>
      </c>
      <c r="C83" s="223"/>
      <c r="D83" s="270">
        <v>85930.5</v>
      </c>
      <c r="E83" s="271">
        <v>0</v>
      </c>
      <c r="F83" s="271">
        <v>0</v>
      </c>
      <c r="G83" s="271">
        <v>0</v>
      </c>
      <c r="H83" s="271">
        <v>0</v>
      </c>
      <c r="I83" s="271">
        <v>0</v>
      </c>
      <c r="J83" s="272">
        <v>0</v>
      </c>
      <c r="K83" s="273">
        <v>85930.5</v>
      </c>
      <c r="L83" s="270">
        <v>0</v>
      </c>
      <c r="M83" s="271">
        <v>0</v>
      </c>
      <c r="N83" s="271">
        <v>0</v>
      </c>
      <c r="O83" s="271">
        <v>0</v>
      </c>
      <c r="P83" s="272">
        <v>0</v>
      </c>
      <c r="Q83" s="273">
        <v>0</v>
      </c>
      <c r="R83" s="83">
        <v>85930.5</v>
      </c>
      <c r="S83" s="85">
        <f>VLOOKUP(B83,'[2]Resumo do Aging List - Contabil'!$C:$S,17,0)</f>
        <v>85930.5</v>
      </c>
      <c r="T83" t="b">
        <f t="shared" si="1"/>
        <v>1</v>
      </c>
      <c r="U83" s="85">
        <f>VLOOKUP(B83,'[3]Resumo do Aging List - Contabil'!$B:$R,17,0)</f>
        <v>85930.5</v>
      </c>
      <c r="V83" t="b">
        <f t="shared" si="2"/>
        <v>1</v>
      </c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</row>
    <row r="84" spans="1:54" s="25" customFormat="1" ht="15.75" thickBot="1" x14ac:dyDescent="0.3">
      <c r="B84" s="240" t="s">
        <v>408</v>
      </c>
      <c r="C84" s="223"/>
      <c r="D84" s="249">
        <v>0</v>
      </c>
      <c r="E84" s="224">
        <v>0</v>
      </c>
      <c r="F84" s="224">
        <v>0</v>
      </c>
      <c r="G84" s="224">
        <v>0</v>
      </c>
      <c r="H84" s="224">
        <v>0</v>
      </c>
      <c r="I84" s="224">
        <v>0</v>
      </c>
      <c r="J84" s="228">
        <v>0</v>
      </c>
      <c r="K84" s="259">
        <v>0</v>
      </c>
      <c r="L84" s="227">
        <v>147853</v>
      </c>
      <c r="M84" s="224">
        <v>0</v>
      </c>
      <c r="N84" s="224">
        <v>0</v>
      </c>
      <c r="O84" s="224">
        <v>0</v>
      </c>
      <c r="P84" s="228">
        <v>0</v>
      </c>
      <c r="Q84" s="259">
        <v>147853</v>
      </c>
      <c r="R84" s="83">
        <v>147853</v>
      </c>
      <c r="S84" s="85" t="e">
        <f>VLOOKUP(B84,'[2]Resumo do Aging List - Contabil'!$C:$S,17,0)</f>
        <v>#N/A</v>
      </c>
      <c r="T84" t="e">
        <f t="shared" si="1"/>
        <v>#N/A</v>
      </c>
      <c r="U84" s="85" t="e">
        <f>VLOOKUP(B84,'[3]Resumo do Aging List - Contabil'!$B:$R,17,0)</f>
        <v>#N/A</v>
      </c>
      <c r="V84" t="e">
        <f t="shared" si="2"/>
        <v>#N/A</v>
      </c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</row>
    <row r="85" spans="1:54" s="25" customFormat="1" ht="15.75" thickBot="1" x14ac:dyDescent="0.3">
      <c r="B85" s="241" t="s">
        <v>946</v>
      </c>
      <c r="C85" s="223"/>
      <c r="D85" s="249">
        <v>0</v>
      </c>
      <c r="E85" s="224">
        <v>0</v>
      </c>
      <c r="F85" s="224">
        <v>0</v>
      </c>
      <c r="G85" s="224">
        <v>0</v>
      </c>
      <c r="H85" s="224">
        <v>0</v>
      </c>
      <c r="I85" s="224">
        <v>0</v>
      </c>
      <c r="J85" s="228">
        <v>0</v>
      </c>
      <c r="K85" s="259">
        <v>0</v>
      </c>
      <c r="L85" s="227">
        <v>31382.5</v>
      </c>
      <c r="M85" s="224">
        <v>31382.5</v>
      </c>
      <c r="N85" s="224">
        <v>0</v>
      </c>
      <c r="O85" s="224">
        <v>0</v>
      </c>
      <c r="P85" s="228">
        <v>0</v>
      </c>
      <c r="Q85" s="259">
        <v>62765</v>
      </c>
      <c r="R85" s="83">
        <v>62765</v>
      </c>
      <c r="S85" s="85">
        <f>VLOOKUP(B85,'[2]Resumo do Aging List - Contabil'!$C:$S,17,0)</f>
        <v>31382.5</v>
      </c>
      <c r="T85" t="b">
        <f t="shared" si="1"/>
        <v>0</v>
      </c>
      <c r="U85" s="85">
        <f>VLOOKUP(B85,'[3]Resumo do Aging List - Contabil'!$B:$R,17,0)</f>
        <v>31382.5</v>
      </c>
      <c r="V85" t="b">
        <f t="shared" si="2"/>
        <v>0</v>
      </c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</row>
    <row r="86" spans="1:54" s="25" customFormat="1" ht="15.75" thickBot="1" x14ac:dyDescent="0.3">
      <c r="B86" s="245" t="s">
        <v>865</v>
      </c>
      <c r="C86" s="223"/>
      <c r="D86" s="249">
        <v>0</v>
      </c>
      <c r="E86" s="224">
        <v>0</v>
      </c>
      <c r="F86" s="224">
        <v>0</v>
      </c>
      <c r="G86" s="224">
        <v>0</v>
      </c>
      <c r="H86" s="224">
        <v>0</v>
      </c>
      <c r="I86" s="224">
        <v>0</v>
      </c>
      <c r="J86" s="228">
        <v>0</v>
      </c>
      <c r="K86" s="259">
        <v>0</v>
      </c>
      <c r="L86" s="227">
        <v>0</v>
      </c>
      <c r="M86" s="224">
        <v>0</v>
      </c>
      <c r="N86" s="224">
        <v>320000</v>
      </c>
      <c r="O86" s="224">
        <v>228877.26</v>
      </c>
      <c r="P86" s="228">
        <v>0</v>
      </c>
      <c r="Q86" s="259">
        <v>548877.26</v>
      </c>
      <c r="R86" s="86">
        <v>548877.26</v>
      </c>
      <c r="S86" s="87">
        <f>VLOOKUP(B86,'[2]Resumo do Aging List - Contabil'!$C:$S,17,0)</f>
        <v>2440818.5000000005</v>
      </c>
      <c r="T86" s="88" t="b">
        <f t="shared" si="1"/>
        <v>0</v>
      </c>
      <c r="U86" s="85">
        <f>VLOOKUP(B86,'[3]Resumo do Aging List - Contabil'!$B:$R,17,0)</f>
        <v>2440818.5000000005</v>
      </c>
      <c r="V86" t="b">
        <f t="shared" si="2"/>
        <v>0</v>
      </c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</row>
    <row r="87" spans="1:54" s="25" customFormat="1" ht="15.75" thickBot="1" x14ac:dyDescent="0.3">
      <c r="B87" s="248" t="s">
        <v>574</v>
      </c>
      <c r="C87" s="223"/>
      <c r="D87" s="249">
        <v>0</v>
      </c>
      <c r="E87" s="255">
        <v>0</v>
      </c>
      <c r="F87" s="255">
        <v>0</v>
      </c>
      <c r="G87" s="224">
        <v>0</v>
      </c>
      <c r="H87" s="224">
        <v>0</v>
      </c>
      <c r="I87" s="224">
        <v>0</v>
      </c>
      <c r="J87" s="228">
        <v>0</v>
      </c>
      <c r="K87" s="259">
        <v>0</v>
      </c>
      <c r="L87" s="227">
        <v>6300</v>
      </c>
      <c r="M87" s="224">
        <v>6133.33</v>
      </c>
      <c r="N87" s="224">
        <v>6133.33</v>
      </c>
      <c r="O87" s="224">
        <v>6133.34</v>
      </c>
      <c r="P87" s="228">
        <v>0</v>
      </c>
      <c r="Q87" s="259">
        <v>24700</v>
      </c>
      <c r="R87" s="83">
        <v>24700</v>
      </c>
      <c r="S87" s="85">
        <f>VLOOKUP(B87,'[2]Resumo do Aging List - Contabil'!$C:$S,17,0)</f>
        <v>18400</v>
      </c>
      <c r="T87" t="b">
        <f t="shared" si="1"/>
        <v>0</v>
      </c>
      <c r="U87" s="85">
        <f>VLOOKUP(B87,'[3]Resumo do Aging List - Contabil'!$B:$R,17,0)</f>
        <v>18400</v>
      </c>
      <c r="V87" t="b">
        <f t="shared" si="2"/>
        <v>0</v>
      </c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</row>
    <row r="88" spans="1:54" s="25" customFormat="1" ht="15.75" thickBot="1" x14ac:dyDescent="0.3">
      <c r="B88" s="274" t="s">
        <v>515</v>
      </c>
      <c r="C88" s="223"/>
      <c r="D88" s="270">
        <v>7371</v>
      </c>
      <c r="E88" s="271">
        <v>0</v>
      </c>
      <c r="F88" s="271">
        <v>0</v>
      </c>
      <c r="G88" s="271">
        <v>0</v>
      </c>
      <c r="H88" s="271">
        <v>0</v>
      </c>
      <c r="I88" s="271">
        <v>0</v>
      </c>
      <c r="J88" s="272">
        <v>0</v>
      </c>
      <c r="K88" s="273">
        <v>7371</v>
      </c>
      <c r="L88" s="270">
        <v>0</v>
      </c>
      <c r="M88" s="271">
        <v>0</v>
      </c>
      <c r="N88" s="271">
        <v>0</v>
      </c>
      <c r="O88" s="271">
        <v>0</v>
      </c>
      <c r="P88" s="272">
        <v>0</v>
      </c>
      <c r="Q88" s="273">
        <v>0</v>
      </c>
      <c r="R88" s="83">
        <v>7371</v>
      </c>
      <c r="S88" s="85">
        <f>VLOOKUP(B88,'[2]Resumo do Aging List - Contabil'!$C:$S,17,0)</f>
        <v>7371</v>
      </c>
      <c r="T88" t="b">
        <f t="shared" si="1"/>
        <v>1</v>
      </c>
      <c r="U88" s="85">
        <f>VLOOKUP(B88,'[3]Resumo do Aging List - Contabil'!$B:$R,17,0)</f>
        <v>7371</v>
      </c>
      <c r="V88" t="b">
        <f t="shared" si="2"/>
        <v>1</v>
      </c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</row>
    <row r="89" spans="1:54" s="25" customFormat="1" ht="15.75" thickBot="1" x14ac:dyDescent="0.3">
      <c r="B89" s="248" t="s">
        <v>572</v>
      </c>
      <c r="C89" s="223"/>
      <c r="D89" s="249">
        <v>0</v>
      </c>
      <c r="E89" s="255">
        <v>0</v>
      </c>
      <c r="F89" s="255">
        <v>0</v>
      </c>
      <c r="G89" s="224">
        <v>73500</v>
      </c>
      <c r="H89" s="224">
        <v>0</v>
      </c>
      <c r="I89" s="224">
        <v>0</v>
      </c>
      <c r="J89" s="228">
        <v>0</v>
      </c>
      <c r="K89" s="259">
        <v>73500</v>
      </c>
      <c r="L89" s="227">
        <v>0</v>
      </c>
      <c r="M89" s="224">
        <v>0</v>
      </c>
      <c r="N89" s="224">
        <v>0</v>
      </c>
      <c r="O89" s="224">
        <v>0</v>
      </c>
      <c r="P89" s="228">
        <v>0</v>
      </c>
      <c r="Q89" s="259">
        <v>0</v>
      </c>
      <c r="R89" s="83">
        <v>73500</v>
      </c>
      <c r="S89" s="85" t="e">
        <f>VLOOKUP(B89,'[2]Resumo do Aging List - Contabil'!$C:$S,17,0)</f>
        <v>#N/A</v>
      </c>
      <c r="T89" t="e">
        <f t="shared" si="1"/>
        <v>#N/A</v>
      </c>
      <c r="U89" s="85" t="e">
        <f>VLOOKUP(B89,'[3]Resumo do Aging List - Contabil'!$B:$R,17,0)</f>
        <v>#N/A</v>
      </c>
      <c r="V89" t="e">
        <f t="shared" si="2"/>
        <v>#N/A</v>
      </c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</row>
    <row r="90" spans="1:54" s="25" customFormat="1" ht="15" x14ac:dyDescent="0.25">
      <c r="B90" s="246" t="s">
        <v>409</v>
      </c>
      <c r="C90" s="223"/>
      <c r="D90" s="249">
        <v>0</v>
      </c>
      <c r="E90" s="224">
        <v>0</v>
      </c>
      <c r="F90" s="224">
        <v>0</v>
      </c>
      <c r="G90" s="224">
        <v>0</v>
      </c>
      <c r="H90" s="224">
        <v>0</v>
      </c>
      <c r="I90" s="224">
        <v>0</v>
      </c>
      <c r="J90" s="228">
        <v>0</v>
      </c>
      <c r="K90" s="259">
        <v>0</v>
      </c>
      <c r="L90" s="227">
        <v>43899.21</v>
      </c>
      <c r="M90" s="224">
        <v>50270.06</v>
      </c>
      <c r="N90" s="224">
        <v>0</v>
      </c>
      <c r="O90" s="224">
        <v>0</v>
      </c>
      <c r="P90" s="228">
        <v>0</v>
      </c>
      <c r="Q90" s="259">
        <v>94169.26999999999</v>
      </c>
      <c r="R90" s="83">
        <v>94169.26999999999</v>
      </c>
      <c r="S90" s="85">
        <f>VLOOKUP(B90,'[2]Resumo do Aging List - Contabil'!$C:$S,17,0)</f>
        <v>158877.72999999998</v>
      </c>
      <c r="T90" t="b">
        <f t="shared" si="1"/>
        <v>0</v>
      </c>
      <c r="U90" s="85">
        <f>VLOOKUP(B90,'[3]Resumo do Aging List - Contabil'!$B:$R,17,0)</f>
        <v>158877.72999999998</v>
      </c>
      <c r="V90" t="b">
        <f t="shared" si="2"/>
        <v>0</v>
      </c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</row>
    <row r="91" spans="1:54" s="25" customFormat="1" ht="15" x14ac:dyDescent="0.25">
      <c r="B91" s="246" t="s">
        <v>72</v>
      </c>
      <c r="C91" s="223"/>
      <c r="D91" s="249">
        <v>0</v>
      </c>
      <c r="E91" s="224">
        <v>0</v>
      </c>
      <c r="F91" s="224">
        <v>0</v>
      </c>
      <c r="G91" s="224">
        <v>0</v>
      </c>
      <c r="H91" s="224">
        <v>0</v>
      </c>
      <c r="I91" s="224">
        <v>0</v>
      </c>
      <c r="J91" s="228">
        <v>0</v>
      </c>
      <c r="K91" s="259">
        <v>0</v>
      </c>
      <c r="L91" s="227">
        <v>49950</v>
      </c>
      <c r="M91" s="224">
        <v>97782.92</v>
      </c>
      <c r="N91" s="224">
        <v>176210.4</v>
      </c>
      <c r="O91" s="224">
        <v>0</v>
      </c>
      <c r="P91" s="228">
        <v>0</v>
      </c>
      <c r="Q91" s="259">
        <v>323943.32</v>
      </c>
      <c r="R91" s="83">
        <v>323943.32</v>
      </c>
      <c r="S91" s="85">
        <f>VLOOKUP(B91,'[2]Resumo do Aging List - Contabil'!$C:$S,17,0)</f>
        <v>910216.65999999992</v>
      </c>
      <c r="T91" t="b">
        <f t="shared" si="1"/>
        <v>0</v>
      </c>
      <c r="U91" s="85">
        <f>VLOOKUP(B91,'[3]Resumo do Aging List - Contabil'!$B:$R,17,0)</f>
        <v>910216.65999999992</v>
      </c>
      <c r="V91" t="b">
        <f t="shared" si="2"/>
        <v>0</v>
      </c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</row>
    <row r="92" spans="1:54" s="25" customFormat="1" ht="15" x14ac:dyDescent="0.25">
      <c r="B92" s="246" t="s">
        <v>305</v>
      </c>
      <c r="C92" s="223"/>
      <c r="D92" s="249">
        <v>0</v>
      </c>
      <c r="E92" s="224">
        <v>0</v>
      </c>
      <c r="F92" s="224">
        <v>0</v>
      </c>
      <c r="G92" s="224">
        <v>0</v>
      </c>
      <c r="H92" s="224">
        <v>0</v>
      </c>
      <c r="I92" s="224">
        <v>0</v>
      </c>
      <c r="J92" s="228">
        <v>0</v>
      </c>
      <c r="K92" s="259">
        <v>0</v>
      </c>
      <c r="L92" s="227">
        <v>55467.43</v>
      </c>
      <c r="M92" s="224">
        <v>73033.66</v>
      </c>
      <c r="N92" s="224">
        <v>127539.56999999999</v>
      </c>
      <c r="O92" s="224">
        <v>0</v>
      </c>
      <c r="P92" s="228">
        <v>0</v>
      </c>
      <c r="Q92" s="259">
        <v>256040.65999999997</v>
      </c>
      <c r="R92" s="86">
        <v>256040.65999999997</v>
      </c>
      <c r="S92" s="87">
        <f>VLOOKUP(B92,'[2]Resumo do Aging List - Contabil'!$C:$S,17,0)</f>
        <v>335540.57</v>
      </c>
      <c r="T92" s="88" t="b">
        <f t="shared" si="1"/>
        <v>0</v>
      </c>
      <c r="U92" s="85">
        <f>VLOOKUP(B92,'[3]Resumo do Aging List - Contabil'!$B:$R,17,0)</f>
        <v>335540.57</v>
      </c>
      <c r="V92" t="b">
        <f t="shared" si="2"/>
        <v>0</v>
      </c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</row>
    <row r="93" spans="1:54" s="25" customFormat="1" ht="15" x14ac:dyDescent="0.25">
      <c r="B93" s="246" t="s">
        <v>876</v>
      </c>
      <c r="C93" s="223"/>
      <c r="D93" s="249">
        <v>0</v>
      </c>
      <c r="E93" s="224">
        <v>0</v>
      </c>
      <c r="F93" s="224">
        <v>0</v>
      </c>
      <c r="G93" s="224">
        <v>0</v>
      </c>
      <c r="H93" s="224">
        <v>0</v>
      </c>
      <c r="I93" s="224">
        <v>0</v>
      </c>
      <c r="J93" s="228">
        <v>31613.34</v>
      </c>
      <c r="K93" s="259">
        <v>31613.34</v>
      </c>
      <c r="L93" s="227">
        <v>0</v>
      </c>
      <c r="M93" s="224">
        <v>0</v>
      </c>
      <c r="N93" s="224">
        <v>0</v>
      </c>
      <c r="O93" s="224">
        <v>0</v>
      </c>
      <c r="P93" s="228">
        <v>0</v>
      </c>
      <c r="Q93" s="259">
        <v>0</v>
      </c>
      <c r="R93" s="86">
        <v>31613.34</v>
      </c>
      <c r="S93" s="87">
        <f>VLOOKUP(B93,'[2]Resumo do Aging List - Contabil'!$C:$S,17,0)</f>
        <v>75004.160000000003</v>
      </c>
      <c r="T93" s="88" t="b">
        <f t="shared" si="1"/>
        <v>0</v>
      </c>
      <c r="U93" s="85">
        <f>VLOOKUP(B93,'[3]Resumo do Aging List - Contabil'!$B:$R,17,0)</f>
        <v>75004.160000000003</v>
      </c>
      <c r="V93" t="b">
        <f t="shared" si="2"/>
        <v>0</v>
      </c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</row>
    <row r="94" spans="1:54" s="25" customFormat="1" ht="15" x14ac:dyDescent="0.25">
      <c r="B94" s="274" t="s">
        <v>781</v>
      </c>
      <c r="C94" s="223"/>
      <c r="D94" s="270">
        <v>0</v>
      </c>
      <c r="E94" s="271">
        <v>0</v>
      </c>
      <c r="F94" s="271">
        <v>0</v>
      </c>
      <c r="G94" s="271">
        <v>0</v>
      </c>
      <c r="H94" s="271">
        <v>0</v>
      </c>
      <c r="I94" s="271">
        <v>0</v>
      </c>
      <c r="J94" s="272">
        <v>0</v>
      </c>
      <c r="K94" s="273">
        <v>0</v>
      </c>
      <c r="L94" s="270">
        <v>72079.42</v>
      </c>
      <c r="M94" s="271">
        <v>130526.40000000001</v>
      </c>
      <c r="N94" s="271">
        <v>0</v>
      </c>
      <c r="O94" s="271">
        <v>0</v>
      </c>
      <c r="P94" s="272">
        <v>0</v>
      </c>
      <c r="Q94" s="273">
        <v>202605.82</v>
      </c>
      <c r="R94" s="83">
        <v>202605.82</v>
      </c>
      <c r="S94" s="85">
        <f>VLOOKUP(B94,'[2]Resumo do Aging List - Contabil'!$C:$S,17,0)</f>
        <v>202605.82</v>
      </c>
      <c r="T94" t="b">
        <f t="shared" si="1"/>
        <v>1</v>
      </c>
      <c r="U94" s="85">
        <f>VLOOKUP(B94,'[3]Resumo do Aging List - Contabil'!$B:$R,17,0)</f>
        <v>202605.82</v>
      </c>
      <c r="V94" t="b">
        <f t="shared" si="2"/>
        <v>1</v>
      </c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</row>
    <row r="95" spans="1:54" s="26" customFormat="1" ht="15.75" thickBot="1" x14ac:dyDescent="0.3">
      <c r="A95" s="25"/>
      <c r="B95" s="274" t="s">
        <v>643</v>
      </c>
      <c r="C95" s="223"/>
      <c r="D95" s="270">
        <v>0</v>
      </c>
      <c r="E95" s="271">
        <v>0</v>
      </c>
      <c r="F95" s="271">
        <v>0</v>
      </c>
      <c r="G95" s="271">
        <v>0</v>
      </c>
      <c r="H95" s="271">
        <v>0</v>
      </c>
      <c r="I95" s="271">
        <v>0</v>
      </c>
      <c r="J95" s="272">
        <v>0</v>
      </c>
      <c r="K95" s="273">
        <v>0</v>
      </c>
      <c r="L95" s="270">
        <v>128000</v>
      </c>
      <c r="M95" s="271">
        <v>0</v>
      </c>
      <c r="N95" s="271">
        <v>0</v>
      </c>
      <c r="O95" s="271">
        <v>97403.7</v>
      </c>
      <c r="P95" s="272">
        <v>0</v>
      </c>
      <c r="Q95" s="273">
        <v>225403.7</v>
      </c>
      <c r="R95" s="86">
        <v>225403.7</v>
      </c>
      <c r="S95" s="87">
        <f>VLOOKUP(B95,'[2]Resumo do Aging List - Contabil'!$C:$S,17,0)</f>
        <v>225403.7</v>
      </c>
      <c r="T95" s="88" t="b">
        <f t="shared" si="1"/>
        <v>1</v>
      </c>
      <c r="U95" s="85">
        <f>VLOOKUP(B95,'[3]Resumo do Aging List - Contabil'!$B:$R,17,0)</f>
        <v>225403.7</v>
      </c>
      <c r="V95" t="b">
        <f t="shared" si="2"/>
        <v>1</v>
      </c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</row>
    <row r="96" spans="1:54" s="27" customFormat="1" ht="15.75" thickBot="1" x14ac:dyDescent="0.3">
      <c r="A96" s="43"/>
      <c r="B96" s="246" t="s">
        <v>353</v>
      </c>
      <c r="C96" s="223"/>
      <c r="D96" s="249">
        <v>52624</v>
      </c>
      <c r="E96" s="224">
        <v>0</v>
      </c>
      <c r="F96" s="224">
        <v>0</v>
      </c>
      <c r="G96" s="224">
        <v>0</v>
      </c>
      <c r="H96" s="224">
        <v>0</v>
      </c>
      <c r="I96" s="224">
        <v>0</v>
      </c>
      <c r="J96" s="228">
        <v>0</v>
      </c>
      <c r="K96" s="259">
        <v>52624</v>
      </c>
      <c r="L96" s="227">
        <v>50765</v>
      </c>
      <c r="M96" s="224">
        <v>0</v>
      </c>
      <c r="N96" s="224">
        <v>250218</v>
      </c>
      <c r="O96" s="224">
        <v>0</v>
      </c>
      <c r="P96" s="228">
        <v>0</v>
      </c>
      <c r="Q96" s="259">
        <v>300983</v>
      </c>
      <c r="R96" s="83">
        <v>353607</v>
      </c>
      <c r="S96" s="85">
        <f>VLOOKUP(B96,'[2]Resumo do Aging List - Contabil'!$C:$S,17,0)</f>
        <v>392584.77</v>
      </c>
      <c r="T96" t="b">
        <f t="shared" si="1"/>
        <v>0</v>
      </c>
      <c r="U96" s="85">
        <f>VLOOKUP(B96,'[3]Resumo do Aging List - Contabil'!$B:$R,17,0)</f>
        <v>392584.77</v>
      </c>
      <c r="V96" t="b">
        <f t="shared" si="2"/>
        <v>0</v>
      </c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</row>
    <row r="97" spans="2:22" ht="15" x14ac:dyDescent="0.2">
      <c r="B97" s="274" t="s">
        <v>881</v>
      </c>
      <c r="C97" s="223"/>
      <c r="D97" s="270">
        <v>0</v>
      </c>
      <c r="E97" s="271">
        <v>0</v>
      </c>
      <c r="F97" s="271">
        <v>0</v>
      </c>
      <c r="G97" s="271">
        <v>0</v>
      </c>
      <c r="H97" s="271">
        <v>0</v>
      </c>
      <c r="I97" s="271">
        <v>0</v>
      </c>
      <c r="J97" s="272">
        <v>156100</v>
      </c>
      <c r="K97" s="273">
        <v>156100</v>
      </c>
      <c r="L97" s="270">
        <v>0</v>
      </c>
      <c r="M97" s="271">
        <v>0</v>
      </c>
      <c r="N97" s="271">
        <v>0</v>
      </c>
      <c r="O97" s="271">
        <v>0</v>
      </c>
      <c r="P97" s="272">
        <v>0</v>
      </c>
      <c r="Q97" s="273">
        <v>0</v>
      </c>
      <c r="R97" s="86">
        <v>156100</v>
      </c>
      <c r="S97" s="87">
        <f>VLOOKUP(B97,'[2]Resumo do Aging List - Contabil'!$C:$S,17,0)</f>
        <v>156100</v>
      </c>
      <c r="T97" s="88" t="b">
        <f t="shared" si="1"/>
        <v>1</v>
      </c>
      <c r="U97" s="85">
        <f>VLOOKUP(B97,'[3]Resumo do Aging List - Contabil'!$B:$R,17,0)</f>
        <v>156100</v>
      </c>
      <c r="V97" t="b">
        <f t="shared" si="2"/>
        <v>1</v>
      </c>
    </row>
    <row r="98" spans="2:22" ht="15" x14ac:dyDescent="0.2">
      <c r="B98" s="246" t="s">
        <v>647</v>
      </c>
      <c r="C98" s="223"/>
      <c r="D98" s="249">
        <v>0</v>
      </c>
      <c r="E98" s="224">
        <v>0</v>
      </c>
      <c r="F98" s="224">
        <v>0</v>
      </c>
      <c r="G98" s="224">
        <v>0</v>
      </c>
      <c r="H98" s="224">
        <v>0</v>
      </c>
      <c r="I98" s="224">
        <v>0</v>
      </c>
      <c r="J98" s="228">
        <v>0</v>
      </c>
      <c r="K98" s="259">
        <v>0</v>
      </c>
      <c r="L98" s="227">
        <v>132200</v>
      </c>
      <c r="M98" s="224">
        <v>0</v>
      </c>
      <c r="N98" s="224">
        <v>0</v>
      </c>
      <c r="O98" s="224">
        <v>0</v>
      </c>
      <c r="P98" s="228">
        <v>0</v>
      </c>
      <c r="Q98" s="259">
        <v>132200</v>
      </c>
      <c r="R98" s="83">
        <v>132200</v>
      </c>
      <c r="S98" s="85" t="e">
        <f>VLOOKUP(B98,'[2]Resumo do Aging List - Contabil'!$C:$S,17,0)</f>
        <v>#N/A</v>
      </c>
      <c r="T98" t="e">
        <f t="shared" si="1"/>
        <v>#N/A</v>
      </c>
      <c r="U98" s="85" t="e">
        <f>VLOOKUP(B98,'[3]Resumo do Aging List - Contabil'!$B:$R,17,0)</f>
        <v>#N/A</v>
      </c>
      <c r="V98" t="e">
        <f t="shared" si="2"/>
        <v>#N/A</v>
      </c>
    </row>
    <row r="99" spans="2:22" ht="15" x14ac:dyDescent="0.2">
      <c r="B99" s="274" t="s">
        <v>734</v>
      </c>
      <c r="C99" s="223"/>
      <c r="D99" s="270">
        <v>0</v>
      </c>
      <c r="E99" s="271">
        <v>0</v>
      </c>
      <c r="F99" s="271">
        <v>0</v>
      </c>
      <c r="G99" s="271">
        <v>0</v>
      </c>
      <c r="H99" s="271">
        <v>0</v>
      </c>
      <c r="I99" s="271">
        <v>0</v>
      </c>
      <c r="J99" s="272">
        <v>0</v>
      </c>
      <c r="K99" s="273">
        <v>0</v>
      </c>
      <c r="L99" s="270">
        <v>0</v>
      </c>
      <c r="M99" s="271">
        <v>0</v>
      </c>
      <c r="N99" s="271">
        <v>4600</v>
      </c>
      <c r="O99" s="271">
        <v>0</v>
      </c>
      <c r="P99" s="272">
        <v>0</v>
      </c>
      <c r="Q99" s="273">
        <v>4600</v>
      </c>
      <c r="R99" s="86">
        <v>4600</v>
      </c>
      <c r="S99" s="87">
        <f>VLOOKUP(B99,'[2]Resumo do Aging List - Contabil'!$C:$S,17,0)</f>
        <v>4600</v>
      </c>
      <c r="T99" s="88" t="b">
        <f t="shared" ref="T99:T162" si="3">R99=S99</f>
        <v>1</v>
      </c>
      <c r="U99" s="85">
        <f>VLOOKUP(B99,'[3]Resumo do Aging List - Contabil'!$B:$R,17,0)</f>
        <v>4600</v>
      </c>
      <c r="V99" t="b">
        <f t="shared" ref="V99:V162" si="4">R99=U99</f>
        <v>1</v>
      </c>
    </row>
    <row r="100" spans="2:22" ht="15" x14ac:dyDescent="0.2">
      <c r="B100" s="246" t="s">
        <v>365</v>
      </c>
      <c r="C100" s="223"/>
      <c r="D100" s="249">
        <v>0</v>
      </c>
      <c r="E100" s="224">
        <v>3190</v>
      </c>
      <c r="F100" s="224">
        <v>0</v>
      </c>
      <c r="G100" s="224">
        <v>0</v>
      </c>
      <c r="H100" s="224">
        <v>32815.199999999997</v>
      </c>
      <c r="I100" s="224">
        <v>0</v>
      </c>
      <c r="J100" s="228">
        <v>0</v>
      </c>
      <c r="K100" s="259">
        <v>36005.199999999997</v>
      </c>
      <c r="L100" s="227">
        <v>31968.400000000001</v>
      </c>
      <c r="M100" s="224">
        <v>0</v>
      </c>
      <c r="N100" s="224">
        <v>33433.019999999997</v>
      </c>
      <c r="O100" s="224">
        <v>0</v>
      </c>
      <c r="P100" s="228">
        <v>0</v>
      </c>
      <c r="Q100" s="259">
        <v>65401.42</v>
      </c>
      <c r="R100" s="83">
        <v>101406.62</v>
      </c>
      <c r="S100" s="85">
        <f>VLOOKUP(B100,'[2]Resumo do Aging List - Contabil'!$C:$S,17,0)</f>
        <v>69791.42</v>
      </c>
      <c r="T100" t="b">
        <f t="shared" si="3"/>
        <v>0</v>
      </c>
      <c r="U100" s="85">
        <f>VLOOKUP(B100,'[3]Resumo do Aging List - Contabil'!$B:$R,17,0)</f>
        <v>69791.42</v>
      </c>
      <c r="V100" t="b">
        <f t="shared" si="4"/>
        <v>0</v>
      </c>
    </row>
    <row r="101" spans="2:22" ht="15" x14ac:dyDescent="0.2">
      <c r="B101" s="274" t="s">
        <v>367</v>
      </c>
      <c r="C101" s="223"/>
      <c r="D101" s="270">
        <v>58660.55</v>
      </c>
      <c r="E101" s="271">
        <v>0</v>
      </c>
      <c r="F101" s="271">
        <v>0</v>
      </c>
      <c r="G101" s="271">
        <v>0</v>
      </c>
      <c r="H101" s="271">
        <v>65528.959999999999</v>
      </c>
      <c r="I101" s="271">
        <v>0</v>
      </c>
      <c r="J101" s="272">
        <v>0</v>
      </c>
      <c r="K101" s="273">
        <v>124189.51</v>
      </c>
      <c r="L101" s="270">
        <v>0</v>
      </c>
      <c r="M101" s="271">
        <v>0</v>
      </c>
      <c r="N101" s="271">
        <v>0</v>
      </c>
      <c r="O101" s="271">
        <v>0</v>
      </c>
      <c r="P101" s="272">
        <v>0</v>
      </c>
      <c r="Q101" s="273">
        <v>0</v>
      </c>
      <c r="R101" s="86">
        <v>124189.51</v>
      </c>
      <c r="S101" s="87">
        <f>VLOOKUP(B101,'[2]Resumo do Aging List - Contabil'!$C:$S,17,0)</f>
        <v>124189.51</v>
      </c>
      <c r="T101" s="88" t="b">
        <f t="shared" si="3"/>
        <v>1</v>
      </c>
      <c r="U101" s="85">
        <f>VLOOKUP(B101,'[3]Resumo do Aging List - Contabil'!$B:$R,17,0)</f>
        <v>124189.51</v>
      </c>
      <c r="V101" t="b">
        <f t="shared" si="4"/>
        <v>1</v>
      </c>
    </row>
    <row r="102" spans="2:22" ht="15" x14ac:dyDescent="0.2">
      <c r="B102" s="246" t="s">
        <v>498</v>
      </c>
      <c r="C102" s="223"/>
      <c r="D102" s="249">
        <v>0</v>
      </c>
      <c r="E102" s="224">
        <v>0</v>
      </c>
      <c r="F102" s="224">
        <v>0</v>
      </c>
      <c r="G102" s="224">
        <v>0</v>
      </c>
      <c r="H102" s="224">
        <v>42845</v>
      </c>
      <c r="I102" s="224">
        <v>0</v>
      </c>
      <c r="J102" s="228">
        <v>0</v>
      </c>
      <c r="K102" s="259">
        <v>42845</v>
      </c>
      <c r="L102" s="227">
        <v>0</v>
      </c>
      <c r="M102" s="224">
        <v>0</v>
      </c>
      <c r="N102" s="224">
        <v>0</v>
      </c>
      <c r="O102" s="224">
        <v>0</v>
      </c>
      <c r="P102" s="228">
        <v>0</v>
      </c>
      <c r="Q102" s="259">
        <v>0</v>
      </c>
      <c r="R102" s="83">
        <v>42845</v>
      </c>
      <c r="S102" s="85" t="e">
        <f>VLOOKUP(B102,'[2]Resumo do Aging List - Contabil'!$C:$S,17,0)</f>
        <v>#N/A</v>
      </c>
      <c r="T102" t="e">
        <f t="shared" si="3"/>
        <v>#N/A</v>
      </c>
      <c r="U102" s="85" t="e">
        <f>VLOOKUP(B102,'[3]Resumo do Aging List - Contabil'!$B:$R,17,0)</f>
        <v>#N/A</v>
      </c>
      <c r="V102" t="e">
        <f t="shared" si="4"/>
        <v>#N/A</v>
      </c>
    </row>
    <row r="103" spans="2:22" ht="15" x14ac:dyDescent="0.2">
      <c r="B103" s="274" t="s">
        <v>884</v>
      </c>
      <c r="C103" s="223"/>
      <c r="D103" s="270">
        <v>0</v>
      </c>
      <c r="E103" s="271">
        <v>0</v>
      </c>
      <c r="F103" s="271">
        <v>0</v>
      </c>
      <c r="G103" s="271">
        <v>0</v>
      </c>
      <c r="H103" s="271">
        <v>0</v>
      </c>
      <c r="I103" s="271">
        <v>0</v>
      </c>
      <c r="J103" s="272">
        <v>0</v>
      </c>
      <c r="K103" s="273">
        <v>0</v>
      </c>
      <c r="L103" s="270">
        <v>0</v>
      </c>
      <c r="M103" s="271">
        <v>29290.1</v>
      </c>
      <c r="N103" s="271">
        <v>0</v>
      </c>
      <c r="O103" s="271">
        <v>0</v>
      </c>
      <c r="P103" s="272">
        <v>0</v>
      </c>
      <c r="Q103" s="273">
        <v>29290.1</v>
      </c>
      <c r="R103" s="83">
        <v>29290.1</v>
      </c>
      <c r="S103" s="85">
        <f>VLOOKUP(B103,'[2]Resumo do Aging List - Contabil'!$C:$S,17,0)</f>
        <v>29290.1</v>
      </c>
      <c r="T103" t="b">
        <f t="shared" si="3"/>
        <v>1</v>
      </c>
      <c r="U103" s="85">
        <f>VLOOKUP(B103,'[3]Resumo do Aging List - Contabil'!$B:$R,17,0)</f>
        <v>29290.1</v>
      </c>
      <c r="V103" t="b">
        <f t="shared" si="4"/>
        <v>1</v>
      </c>
    </row>
    <row r="104" spans="2:22" ht="15" x14ac:dyDescent="0.2">
      <c r="B104" s="246" t="s">
        <v>650</v>
      </c>
      <c r="C104" s="223"/>
      <c r="D104" s="249">
        <v>0</v>
      </c>
      <c r="E104" s="224">
        <v>0</v>
      </c>
      <c r="F104" s="224">
        <v>0</v>
      </c>
      <c r="G104" s="224">
        <v>0</v>
      </c>
      <c r="H104" s="224">
        <v>0</v>
      </c>
      <c r="I104" s="224">
        <v>0</v>
      </c>
      <c r="J104" s="228">
        <v>0</v>
      </c>
      <c r="K104" s="259">
        <v>0</v>
      </c>
      <c r="L104" s="227">
        <v>0</v>
      </c>
      <c r="M104" s="224">
        <v>9929.2800000000007</v>
      </c>
      <c r="N104" s="224">
        <v>0</v>
      </c>
      <c r="O104" s="224">
        <v>0</v>
      </c>
      <c r="P104" s="228">
        <v>0</v>
      </c>
      <c r="Q104" s="259">
        <v>9929.2800000000007</v>
      </c>
      <c r="R104" s="83">
        <v>9929.2800000000007</v>
      </c>
      <c r="S104" s="85">
        <f>VLOOKUP(B104,'[2]Resumo do Aging List - Contabil'!$C:$S,17,0)</f>
        <v>98068.14</v>
      </c>
      <c r="T104" t="b">
        <f t="shared" si="3"/>
        <v>0</v>
      </c>
      <c r="U104" s="85">
        <f>VLOOKUP(B104,'[3]Resumo do Aging List - Contabil'!$B:$R,17,0)</f>
        <v>98068.14</v>
      </c>
      <c r="V104" t="b">
        <f t="shared" si="4"/>
        <v>0</v>
      </c>
    </row>
    <row r="105" spans="2:22" ht="15.75" thickBot="1" x14ac:dyDescent="0.25">
      <c r="B105" s="246" t="s">
        <v>436</v>
      </c>
      <c r="C105" s="223"/>
      <c r="D105" s="249">
        <v>141643</v>
      </c>
      <c r="E105" s="224">
        <v>0</v>
      </c>
      <c r="F105" s="224">
        <v>0</v>
      </c>
      <c r="G105" s="224">
        <v>0</v>
      </c>
      <c r="H105" s="224">
        <v>0</v>
      </c>
      <c r="I105" s="224">
        <v>0</v>
      </c>
      <c r="J105" s="228">
        <v>0</v>
      </c>
      <c r="K105" s="259">
        <v>141643</v>
      </c>
      <c r="L105" s="227">
        <v>273876</v>
      </c>
      <c r="M105" s="224">
        <v>188400</v>
      </c>
      <c r="N105" s="224">
        <v>0</v>
      </c>
      <c r="O105" s="224">
        <v>0</v>
      </c>
      <c r="P105" s="228">
        <v>0</v>
      </c>
      <c r="Q105" s="259">
        <v>462276</v>
      </c>
      <c r="R105" s="83">
        <v>603919</v>
      </c>
      <c r="S105" s="85">
        <f>VLOOKUP(B105,'[2]Resumo do Aging List - Contabil'!$C:$S,17,0)</f>
        <v>488249</v>
      </c>
      <c r="T105" t="b">
        <f t="shared" si="3"/>
        <v>0</v>
      </c>
      <c r="U105" s="85">
        <f>VLOOKUP(B105,'[3]Resumo do Aging List - Contabil'!$B:$R,17,0)</f>
        <v>488249</v>
      </c>
      <c r="V105" t="b">
        <f t="shared" si="4"/>
        <v>0</v>
      </c>
    </row>
    <row r="106" spans="2:22" ht="15.75" thickBot="1" x14ac:dyDescent="0.25">
      <c r="B106" s="248" t="s">
        <v>887</v>
      </c>
      <c r="C106" s="223"/>
      <c r="D106" s="249">
        <v>0</v>
      </c>
      <c r="E106" s="255">
        <v>0</v>
      </c>
      <c r="F106" s="255">
        <v>0</v>
      </c>
      <c r="G106" s="224">
        <v>0</v>
      </c>
      <c r="H106" s="224">
        <v>0</v>
      </c>
      <c r="I106" s="224">
        <v>0</v>
      </c>
      <c r="J106" s="228">
        <v>0</v>
      </c>
      <c r="K106" s="259">
        <v>0</v>
      </c>
      <c r="L106" s="227">
        <v>50695.33</v>
      </c>
      <c r="M106" s="224">
        <v>108195.33</v>
      </c>
      <c r="N106" s="224">
        <v>108195.34</v>
      </c>
      <c r="O106" s="224">
        <v>0</v>
      </c>
      <c r="P106" s="228">
        <v>0</v>
      </c>
      <c r="Q106" s="259">
        <v>267086</v>
      </c>
      <c r="R106" s="83">
        <v>267086</v>
      </c>
      <c r="S106" s="85">
        <f>VLOOKUP(B106,'[2]Resumo do Aging List - Contabil'!$C:$S,17,0)</f>
        <v>356360.47</v>
      </c>
      <c r="T106" t="b">
        <f t="shared" si="3"/>
        <v>0</v>
      </c>
      <c r="U106" s="85">
        <f>VLOOKUP(B106,'[3]Resumo do Aging List - Contabil'!$B:$R,17,0)</f>
        <v>356360.47</v>
      </c>
      <c r="V106" t="b">
        <f t="shared" si="4"/>
        <v>0</v>
      </c>
    </row>
    <row r="107" spans="2:22" ht="15" x14ac:dyDescent="0.2">
      <c r="B107" s="246" t="s">
        <v>371</v>
      </c>
      <c r="C107" s="223"/>
      <c r="D107" s="249">
        <v>0</v>
      </c>
      <c r="E107" s="224">
        <v>0</v>
      </c>
      <c r="F107" s="224">
        <v>0</v>
      </c>
      <c r="G107" s="224">
        <v>0</v>
      </c>
      <c r="H107" s="224">
        <v>0</v>
      </c>
      <c r="I107" s="224">
        <v>0</v>
      </c>
      <c r="J107" s="228">
        <v>84670</v>
      </c>
      <c r="K107" s="259">
        <v>84670</v>
      </c>
      <c r="L107" s="227">
        <v>0</v>
      </c>
      <c r="M107" s="224">
        <v>0</v>
      </c>
      <c r="N107" s="224">
        <v>0</v>
      </c>
      <c r="O107" s="224">
        <v>0</v>
      </c>
      <c r="P107" s="228">
        <v>0</v>
      </c>
      <c r="Q107" s="259">
        <v>0</v>
      </c>
      <c r="R107" s="83">
        <v>84670</v>
      </c>
      <c r="S107" s="85">
        <f>VLOOKUP(B107,'[2]Resumo do Aging List - Contabil'!$C:$S,17,0)</f>
        <v>253824.22999999998</v>
      </c>
      <c r="T107" t="b">
        <f t="shared" si="3"/>
        <v>0</v>
      </c>
      <c r="U107" s="85">
        <f>VLOOKUP(B107,'[3]Resumo do Aging List - Contabil'!$B:$R,17,0)</f>
        <v>253824.22999999998</v>
      </c>
      <c r="V107" t="b">
        <f t="shared" si="4"/>
        <v>0</v>
      </c>
    </row>
    <row r="108" spans="2:22" ht="15.75" thickBot="1" x14ac:dyDescent="0.25">
      <c r="B108" s="240" t="s">
        <v>778</v>
      </c>
      <c r="C108" s="223"/>
      <c r="D108" s="249">
        <v>0</v>
      </c>
      <c r="E108" s="224">
        <v>0</v>
      </c>
      <c r="F108" s="224">
        <v>0</v>
      </c>
      <c r="G108" s="224">
        <v>0</v>
      </c>
      <c r="H108" s="224">
        <v>0</v>
      </c>
      <c r="I108" s="224">
        <v>0</v>
      </c>
      <c r="J108" s="228">
        <v>0</v>
      </c>
      <c r="K108" s="259">
        <v>0</v>
      </c>
      <c r="L108" s="227">
        <v>0</v>
      </c>
      <c r="M108" s="224">
        <v>13447.23</v>
      </c>
      <c r="N108" s="224">
        <v>0</v>
      </c>
      <c r="O108" s="224">
        <v>0</v>
      </c>
      <c r="P108" s="228">
        <v>0</v>
      </c>
      <c r="Q108" s="259">
        <v>13447.23</v>
      </c>
      <c r="R108" s="83">
        <v>13447.23</v>
      </c>
      <c r="S108" s="85">
        <f>VLOOKUP(B108,'[2]Resumo do Aging List - Contabil'!$C:$S,17,0)</f>
        <v>14504.28</v>
      </c>
      <c r="T108" t="b">
        <f t="shared" si="3"/>
        <v>0</v>
      </c>
      <c r="U108" s="85">
        <f>VLOOKUP(B108,'[3]Resumo do Aging List - Contabil'!$B:$R,17,0)</f>
        <v>14504.28</v>
      </c>
      <c r="V108" t="b">
        <f t="shared" si="4"/>
        <v>0</v>
      </c>
    </row>
    <row r="109" spans="2:22" ht="15.75" thickBot="1" x14ac:dyDescent="0.25">
      <c r="B109" s="246" t="s">
        <v>959</v>
      </c>
      <c r="C109" s="223"/>
      <c r="D109" s="249">
        <v>0</v>
      </c>
      <c r="E109" s="224">
        <v>0</v>
      </c>
      <c r="F109" s="224">
        <v>0</v>
      </c>
      <c r="G109" s="224">
        <v>0</v>
      </c>
      <c r="H109" s="224">
        <v>0</v>
      </c>
      <c r="I109" s="224">
        <v>0</v>
      </c>
      <c r="J109" s="228">
        <v>0</v>
      </c>
      <c r="K109" s="259">
        <v>0</v>
      </c>
      <c r="L109" s="227">
        <v>51931.9</v>
      </c>
      <c r="M109" s="224">
        <v>0</v>
      </c>
      <c r="N109" s="224">
        <v>0</v>
      </c>
      <c r="O109" s="224">
        <v>0</v>
      </c>
      <c r="P109" s="228">
        <v>0</v>
      </c>
      <c r="Q109" s="259">
        <v>51931.9</v>
      </c>
      <c r="R109" s="83">
        <v>51931.9</v>
      </c>
      <c r="S109" s="85">
        <f>VLOOKUP(B109,'[2]Resumo do Aging List - Contabil'!$C:$S,17,0)</f>
        <v>324441.48000000004</v>
      </c>
      <c r="T109" t="b">
        <f t="shared" si="3"/>
        <v>0</v>
      </c>
      <c r="U109" s="85">
        <f>VLOOKUP(B109,'[3]Resumo do Aging List - Contabil'!$B:$R,17,0)</f>
        <v>324441.48000000004</v>
      </c>
      <c r="V109" t="b">
        <f t="shared" si="4"/>
        <v>0</v>
      </c>
    </row>
    <row r="110" spans="2:22" ht="15" x14ac:dyDescent="0.2">
      <c r="B110" s="245" t="s">
        <v>307</v>
      </c>
      <c r="C110" s="223"/>
      <c r="D110" s="249">
        <v>0</v>
      </c>
      <c r="E110" s="224">
        <v>0</v>
      </c>
      <c r="F110" s="224">
        <v>0</v>
      </c>
      <c r="G110" s="224">
        <v>0</v>
      </c>
      <c r="H110" s="224">
        <v>0</v>
      </c>
      <c r="I110" s="224">
        <v>0</v>
      </c>
      <c r="J110" s="228">
        <v>0</v>
      </c>
      <c r="K110" s="259">
        <v>0</v>
      </c>
      <c r="L110" s="227">
        <v>107238.42</v>
      </c>
      <c r="M110" s="224">
        <v>100716.56</v>
      </c>
      <c r="N110" s="224">
        <v>0</v>
      </c>
      <c r="O110" s="224">
        <v>0</v>
      </c>
      <c r="P110" s="228">
        <v>0</v>
      </c>
      <c r="Q110" s="259">
        <v>207954.97999999998</v>
      </c>
      <c r="R110" s="86">
        <v>207954.97999999998</v>
      </c>
      <c r="S110" s="87">
        <f>VLOOKUP(B110,'[2]Resumo do Aging List - Contabil'!$C:$S,17,0)</f>
        <v>187522.97999999998</v>
      </c>
      <c r="T110" s="88" t="b">
        <f t="shared" si="3"/>
        <v>0</v>
      </c>
      <c r="U110" s="85">
        <f>VLOOKUP(B110,'[3]Resumo do Aging List - Contabil'!$B:$R,17,0)</f>
        <v>187522.97999999998</v>
      </c>
      <c r="V110" t="b">
        <f t="shared" si="4"/>
        <v>0</v>
      </c>
    </row>
    <row r="111" spans="2:22" ht="15" x14ac:dyDescent="0.2">
      <c r="B111" s="246" t="s">
        <v>437</v>
      </c>
      <c r="C111" s="223"/>
      <c r="D111" s="249">
        <v>0</v>
      </c>
      <c r="E111" s="224">
        <v>0</v>
      </c>
      <c r="F111" s="224">
        <v>0</v>
      </c>
      <c r="G111" s="224">
        <v>0</v>
      </c>
      <c r="H111" s="224">
        <v>0</v>
      </c>
      <c r="I111" s="224">
        <v>0</v>
      </c>
      <c r="J111" s="228">
        <v>0</v>
      </c>
      <c r="K111" s="259">
        <v>0</v>
      </c>
      <c r="L111" s="227">
        <v>30758.17</v>
      </c>
      <c r="M111" s="224">
        <v>0</v>
      </c>
      <c r="N111" s="224">
        <v>0</v>
      </c>
      <c r="O111" s="224">
        <v>0</v>
      </c>
      <c r="P111" s="228">
        <v>0</v>
      </c>
      <c r="Q111" s="259">
        <v>30758.17</v>
      </c>
      <c r="R111" s="86">
        <v>30758.17</v>
      </c>
      <c r="S111" s="87" t="e">
        <f>VLOOKUP(B111,'[2]Resumo do Aging List - Contabil'!$C:$S,17,0)</f>
        <v>#N/A</v>
      </c>
      <c r="T111" s="88" t="e">
        <f t="shared" si="3"/>
        <v>#N/A</v>
      </c>
      <c r="U111" s="85" t="e">
        <f>VLOOKUP(B111,'[3]Resumo do Aging List - Contabil'!$B:$R,17,0)</f>
        <v>#N/A</v>
      </c>
      <c r="V111" t="e">
        <f t="shared" si="4"/>
        <v>#N/A</v>
      </c>
    </row>
    <row r="112" spans="2:22" ht="15.75" thickBot="1" x14ac:dyDescent="0.25">
      <c r="B112" s="274" t="s">
        <v>726</v>
      </c>
      <c r="C112" s="223"/>
      <c r="D112" s="270">
        <v>0</v>
      </c>
      <c r="E112" s="271">
        <v>0</v>
      </c>
      <c r="F112" s="271">
        <v>0</v>
      </c>
      <c r="G112" s="271">
        <v>0</v>
      </c>
      <c r="H112" s="271">
        <v>0</v>
      </c>
      <c r="I112" s="271">
        <v>0</v>
      </c>
      <c r="J112" s="272">
        <v>0</v>
      </c>
      <c r="K112" s="273">
        <v>0</v>
      </c>
      <c r="L112" s="270">
        <v>2356</v>
      </c>
      <c r="M112" s="271">
        <v>0</v>
      </c>
      <c r="N112" s="271">
        <v>0</v>
      </c>
      <c r="O112" s="271">
        <v>0</v>
      </c>
      <c r="P112" s="272">
        <v>0</v>
      </c>
      <c r="Q112" s="273">
        <v>2356</v>
      </c>
      <c r="R112" s="83">
        <v>2356</v>
      </c>
      <c r="S112" s="85">
        <f>VLOOKUP(B112,'[2]Resumo do Aging List - Contabil'!$C:$S,17,0)</f>
        <v>2356</v>
      </c>
      <c r="T112" t="b">
        <f t="shared" si="3"/>
        <v>1</v>
      </c>
      <c r="U112" s="85">
        <f>VLOOKUP(B112,'[3]Resumo do Aging List - Contabil'!$B:$R,17,0)</f>
        <v>2356</v>
      </c>
      <c r="V112" t="b">
        <f t="shared" si="4"/>
        <v>1</v>
      </c>
    </row>
    <row r="113" spans="2:22" ht="15.75" thickBot="1" x14ac:dyDescent="0.25">
      <c r="B113" s="275" t="s">
        <v>65</v>
      </c>
      <c r="C113" s="223"/>
      <c r="D113" s="270">
        <v>21762.22</v>
      </c>
      <c r="E113" s="271">
        <v>10881.11</v>
      </c>
      <c r="F113" s="271">
        <v>10881.11</v>
      </c>
      <c r="G113" s="271">
        <v>10881.11</v>
      </c>
      <c r="H113" s="271">
        <v>10881.11</v>
      </c>
      <c r="I113" s="271">
        <v>10881.11</v>
      </c>
      <c r="J113" s="272">
        <v>10881.11</v>
      </c>
      <c r="K113" s="273">
        <v>87048.88</v>
      </c>
      <c r="L113" s="270">
        <v>10881.11</v>
      </c>
      <c r="M113" s="271">
        <v>10881.11</v>
      </c>
      <c r="N113" s="271">
        <v>10881.11</v>
      </c>
      <c r="O113" s="271">
        <v>10881.11</v>
      </c>
      <c r="P113" s="272">
        <v>152335.70000000001</v>
      </c>
      <c r="Q113" s="273">
        <v>195860.13999999996</v>
      </c>
      <c r="R113" s="83">
        <v>282909.01999999996</v>
      </c>
      <c r="S113" s="85">
        <f>VLOOKUP(B113,'[2]Resumo do Aging List - Contabil'!$C:$S,17,0)</f>
        <v>282909.0199999999</v>
      </c>
      <c r="T113" t="b">
        <f t="shared" si="3"/>
        <v>1</v>
      </c>
      <c r="U113" s="85">
        <f>VLOOKUP(B113,'[3]Resumo do Aging List - Contabil'!$B:$R,17,0)</f>
        <v>282909.0199999999</v>
      </c>
      <c r="V113" t="b">
        <f t="shared" si="4"/>
        <v>1</v>
      </c>
    </row>
    <row r="114" spans="2:22" ht="15" x14ac:dyDescent="0.2">
      <c r="B114" s="246" t="s">
        <v>511</v>
      </c>
      <c r="C114" s="223"/>
      <c r="D114" s="249">
        <v>182750</v>
      </c>
      <c r="E114" s="224">
        <v>0</v>
      </c>
      <c r="F114" s="224">
        <v>0</v>
      </c>
      <c r="G114" s="224">
        <v>0</v>
      </c>
      <c r="H114" s="224">
        <v>0</v>
      </c>
      <c r="I114" s="224">
        <v>0</v>
      </c>
      <c r="J114" s="228">
        <v>0</v>
      </c>
      <c r="K114" s="259">
        <v>182750</v>
      </c>
      <c r="L114" s="227">
        <v>0</v>
      </c>
      <c r="M114" s="224">
        <v>0</v>
      </c>
      <c r="N114" s="224">
        <v>0</v>
      </c>
      <c r="O114" s="224">
        <v>0</v>
      </c>
      <c r="P114" s="228">
        <v>0</v>
      </c>
      <c r="Q114" s="259">
        <v>0</v>
      </c>
      <c r="R114" s="83">
        <v>182750</v>
      </c>
      <c r="S114" s="85">
        <f>VLOOKUP(B114,'[2]Resumo do Aging List - Contabil'!$C:$S,17,0)</f>
        <v>366350</v>
      </c>
      <c r="T114" t="b">
        <f t="shared" si="3"/>
        <v>0</v>
      </c>
      <c r="U114" s="85">
        <f>VLOOKUP(B114,'[3]Resumo do Aging List - Contabil'!$B:$R,17,0)</f>
        <v>366350</v>
      </c>
      <c r="V114" t="b">
        <f t="shared" si="4"/>
        <v>0</v>
      </c>
    </row>
    <row r="115" spans="2:22" ht="15" x14ac:dyDescent="0.2">
      <c r="B115" s="246" t="s">
        <v>438</v>
      </c>
      <c r="C115" s="223"/>
      <c r="D115" s="249">
        <v>0</v>
      </c>
      <c r="E115" s="224">
        <v>0</v>
      </c>
      <c r="F115" s="224">
        <v>0</v>
      </c>
      <c r="G115" s="224">
        <v>0</v>
      </c>
      <c r="H115" s="224">
        <v>0</v>
      </c>
      <c r="I115" s="224">
        <v>0</v>
      </c>
      <c r="J115" s="228">
        <v>0</v>
      </c>
      <c r="K115" s="259">
        <v>0</v>
      </c>
      <c r="L115" s="227">
        <v>95697.12</v>
      </c>
      <c r="M115" s="224">
        <v>0</v>
      </c>
      <c r="N115" s="224">
        <v>0</v>
      </c>
      <c r="O115" s="224">
        <v>0</v>
      </c>
      <c r="P115" s="228">
        <v>0</v>
      </c>
      <c r="Q115" s="259">
        <v>95697.12</v>
      </c>
      <c r="R115" s="83">
        <v>95697.12</v>
      </c>
      <c r="S115" s="85">
        <f>VLOOKUP(B115,'[2]Resumo do Aging List - Contabil'!$C:$S,17,0)</f>
        <v>248444.14</v>
      </c>
      <c r="T115" t="b">
        <f t="shared" si="3"/>
        <v>0</v>
      </c>
      <c r="U115" s="85">
        <f>VLOOKUP(B115,'[3]Resumo do Aging List - Contabil'!$B:$R,17,0)</f>
        <v>248444.14</v>
      </c>
      <c r="V115" t="b">
        <f t="shared" si="4"/>
        <v>0</v>
      </c>
    </row>
    <row r="116" spans="2:22" ht="15" x14ac:dyDescent="0.2">
      <c r="B116" s="246" t="s">
        <v>439</v>
      </c>
      <c r="C116" s="223"/>
      <c r="D116" s="249">
        <v>0</v>
      </c>
      <c r="E116" s="224">
        <v>0</v>
      </c>
      <c r="F116" s="224">
        <v>0</v>
      </c>
      <c r="G116" s="224">
        <v>0</v>
      </c>
      <c r="H116" s="224">
        <v>0</v>
      </c>
      <c r="I116" s="224">
        <v>0</v>
      </c>
      <c r="J116" s="228">
        <v>0</v>
      </c>
      <c r="K116" s="259">
        <v>0</v>
      </c>
      <c r="L116" s="227">
        <v>1619.94</v>
      </c>
      <c r="M116" s="224">
        <v>0</v>
      </c>
      <c r="N116" s="224">
        <v>0</v>
      </c>
      <c r="O116" s="224">
        <v>0</v>
      </c>
      <c r="P116" s="228">
        <v>0</v>
      </c>
      <c r="Q116" s="259">
        <v>1619.94</v>
      </c>
      <c r="R116" s="83">
        <v>1619.94</v>
      </c>
      <c r="S116" s="85">
        <f>VLOOKUP(B116,'[2]Resumo do Aging List - Contabil'!$C:$S,17,0)</f>
        <v>105256</v>
      </c>
      <c r="T116" t="b">
        <f t="shared" si="3"/>
        <v>0</v>
      </c>
      <c r="U116" s="85">
        <f>VLOOKUP(B116,'[3]Resumo do Aging List - Contabil'!$B:$R,17,0)</f>
        <v>105256</v>
      </c>
      <c r="V116" t="b">
        <f t="shared" si="4"/>
        <v>0</v>
      </c>
    </row>
    <row r="117" spans="2:22" ht="15" x14ac:dyDescent="0.2">
      <c r="B117" s="246" t="s">
        <v>410</v>
      </c>
      <c r="C117" s="223"/>
      <c r="D117" s="249">
        <v>0</v>
      </c>
      <c r="E117" s="224">
        <v>0</v>
      </c>
      <c r="F117" s="224">
        <v>0</v>
      </c>
      <c r="G117" s="224">
        <v>0</v>
      </c>
      <c r="H117" s="224">
        <v>0</v>
      </c>
      <c r="I117" s="224">
        <v>0</v>
      </c>
      <c r="J117" s="228">
        <v>0</v>
      </c>
      <c r="K117" s="259">
        <v>0</v>
      </c>
      <c r="L117" s="227">
        <v>17300</v>
      </c>
      <c r="M117" s="224">
        <v>6948.7</v>
      </c>
      <c r="N117" s="224">
        <v>0</v>
      </c>
      <c r="O117" s="224">
        <v>0</v>
      </c>
      <c r="P117" s="228">
        <v>0</v>
      </c>
      <c r="Q117" s="259">
        <v>24248.7</v>
      </c>
      <c r="R117" s="86">
        <v>24248.7</v>
      </c>
      <c r="S117" s="87">
        <f>VLOOKUP(B117,'[2]Resumo do Aging List - Contabil'!$C:$S,17,0)</f>
        <v>510479.29</v>
      </c>
      <c r="T117" s="88" t="b">
        <f t="shared" si="3"/>
        <v>0</v>
      </c>
      <c r="U117" s="85">
        <f>VLOOKUP(B117,'[3]Resumo do Aging List - Contabil'!$B:$R,17,0)</f>
        <v>510479.29</v>
      </c>
      <c r="V117" t="b">
        <f t="shared" si="4"/>
        <v>0</v>
      </c>
    </row>
    <row r="118" spans="2:22" ht="15.75" thickBot="1" x14ac:dyDescent="0.25">
      <c r="B118" s="240" t="s">
        <v>893</v>
      </c>
      <c r="C118" s="223"/>
      <c r="D118" s="249">
        <v>0</v>
      </c>
      <c r="E118" s="224">
        <v>0</v>
      </c>
      <c r="F118" s="224">
        <v>0</v>
      </c>
      <c r="G118" s="224">
        <v>0</v>
      </c>
      <c r="H118" s="224">
        <v>0</v>
      </c>
      <c r="I118" s="224">
        <v>0</v>
      </c>
      <c r="J118" s="228">
        <v>0</v>
      </c>
      <c r="K118" s="259">
        <v>0</v>
      </c>
      <c r="L118" s="227">
        <v>57500</v>
      </c>
      <c r="M118" s="224">
        <v>0</v>
      </c>
      <c r="N118" s="224">
        <v>0</v>
      </c>
      <c r="O118" s="224">
        <v>0</v>
      </c>
      <c r="P118" s="228">
        <v>0</v>
      </c>
      <c r="Q118" s="259">
        <v>57500</v>
      </c>
      <c r="R118" s="83">
        <v>57500</v>
      </c>
      <c r="S118" s="85" t="e">
        <f>VLOOKUP(B118,'[2]Resumo do Aging List - Contabil'!$C:$S,17,0)</f>
        <v>#N/A</v>
      </c>
      <c r="T118" t="e">
        <f t="shared" si="3"/>
        <v>#N/A</v>
      </c>
      <c r="U118" s="85" t="e">
        <f>VLOOKUP(B118,'[3]Resumo do Aging List - Contabil'!$B:$R,17,0)</f>
        <v>#N/A</v>
      </c>
      <c r="V118" t="e">
        <f t="shared" si="4"/>
        <v>#N/A</v>
      </c>
    </row>
    <row r="119" spans="2:22" ht="15.75" thickBot="1" x14ac:dyDescent="0.25">
      <c r="B119" s="274" t="s">
        <v>967</v>
      </c>
      <c r="C119" s="223"/>
      <c r="D119" s="270">
        <v>0</v>
      </c>
      <c r="E119" s="271">
        <v>0</v>
      </c>
      <c r="F119" s="271">
        <v>0</v>
      </c>
      <c r="G119" s="271">
        <v>0</v>
      </c>
      <c r="H119" s="271">
        <v>0</v>
      </c>
      <c r="I119" s="271">
        <v>0</v>
      </c>
      <c r="J119" s="272">
        <v>0</v>
      </c>
      <c r="K119" s="273">
        <v>0</v>
      </c>
      <c r="L119" s="270">
        <v>0</v>
      </c>
      <c r="M119" s="271">
        <v>0</v>
      </c>
      <c r="N119" s="271">
        <v>0</v>
      </c>
      <c r="O119" s="271">
        <v>118100</v>
      </c>
      <c r="P119" s="272">
        <v>0</v>
      </c>
      <c r="Q119" s="273">
        <v>118100</v>
      </c>
      <c r="R119" s="86">
        <v>118100</v>
      </c>
      <c r="S119" s="87">
        <f>VLOOKUP(B119,'[2]Resumo do Aging List - Contabil'!$C:$S,17,0)</f>
        <v>118100</v>
      </c>
      <c r="T119" s="88" t="b">
        <f t="shared" si="3"/>
        <v>1</v>
      </c>
      <c r="U119" s="85">
        <f>VLOOKUP(B119,'[3]Resumo do Aging List - Contabil'!$B:$R,17,0)</f>
        <v>118100</v>
      </c>
      <c r="V119" t="b">
        <f t="shared" si="4"/>
        <v>1</v>
      </c>
    </row>
    <row r="120" spans="2:22" ht="15" x14ac:dyDescent="0.2">
      <c r="B120" s="245" t="s">
        <v>317</v>
      </c>
      <c r="C120" s="223"/>
      <c r="D120" s="249">
        <v>0</v>
      </c>
      <c r="E120" s="224">
        <v>0</v>
      </c>
      <c r="F120" s="224">
        <v>0</v>
      </c>
      <c r="G120" s="224">
        <v>0</v>
      </c>
      <c r="H120" s="224">
        <v>0</v>
      </c>
      <c r="I120" s="224">
        <v>0</v>
      </c>
      <c r="J120" s="228">
        <v>9166.67</v>
      </c>
      <c r="K120" s="259">
        <v>9166.67</v>
      </c>
      <c r="L120" s="227">
        <v>9166.67</v>
      </c>
      <c r="M120" s="224">
        <v>9166.67</v>
      </c>
      <c r="N120" s="224">
        <v>9166.67</v>
      </c>
      <c r="O120" s="224">
        <v>9166.67</v>
      </c>
      <c r="P120" s="228">
        <v>9166.6299999999992</v>
      </c>
      <c r="Q120" s="259">
        <v>45833.31</v>
      </c>
      <c r="R120" s="86">
        <v>54999.979999999996</v>
      </c>
      <c r="S120" s="87">
        <f>VLOOKUP(B120,'[2]Resumo do Aging List - Contabil'!$C:$S,17,0)</f>
        <v>218333.31</v>
      </c>
      <c r="T120" s="88" t="b">
        <f t="shared" si="3"/>
        <v>0</v>
      </c>
      <c r="U120" s="85">
        <f>VLOOKUP(B120,'[3]Resumo do Aging List - Contabil'!$B:$R,17,0)</f>
        <v>218333.31</v>
      </c>
      <c r="V120" t="b">
        <f t="shared" si="4"/>
        <v>0</v>
      </c>
    </row>
    <row r="121" spans="2:22" ht="15" x14ac:dyDescent="0.2">
      <c r="B121" s="274" t="s">
        <v>390</v>
      </c>
      <c r="C121" s="223"/>
      <c r="D121" s="270">
        <v>136470.29</v>
      </c>
      <c r="E121" s="271">
        <v>44799.47</v>
      </c>
      <c r="F121" s="271">
        <v>44319.31</v>
      </c>
      <c r="G121" s="271">
        <v>43598.66</v>
      </c>
      <c r="H121" s="271">
        <v>71981.45</v>
      </c>
      <c r="I121" s="271">
        <v>105133.91</v>
      </c>
      <c r="J121" s="272">
        <v>0</v>
      </c>
      <c r="K121" s="273">
        <v>446303.08999999997</v>
      </c>
      <c r="L121" s="270">
        <v>43598.66</v>
      </c>
      <c r="M121" s="271">
        <v>0</v>
      </c>
      <c r="N121" s="271">
        <v>0</v>
      </c>
      <c r="O121" s="271">
        <v>0</v>
      </c>
      <c r="P121" s="272">
        <v>0</v>
      </c>
      <c r="Q121" s="273">
        <v>43598.66</v>
      </c>
      <c r="R121" s="83">
        <v>489901.75</v>
      </c>
      <c r="S121" s="85">
        <f>VLOOKUP(B121,'[2]Resumo do Aging List - Contabil'!$C:$S,17,0)</f>
        <v>489901.75</v>
      </c>
      <c r="T121" t="b">
        <f t="shared" si="3"/>
        <v>1</v>
      </c>
      <c r="U121" s="85">
        <f>VLOOKUP(B121,'[3]Resumo do Aging List - Contabil'!$B:$R,17,0)</f>
        <v>489901.75</v>
      </c>
      <c r="V121" t="b">
        <f t="shared" si="4"/>
        <v>1</v>
      </c>
    </row>
    <row r="122" spans="2:22" ht="15.75" thickBot="1" x14ac:dyDescent="0.25">
      <c r="B122" s="274" t="s">
        <v>318</v>
      </c>
      <c r="C122" s="223"/>
      <c r="D122" s="270">
        <v>0</v>
      </c>
      <c r="E122" s="271">
        <v>295318.56</v>
      </c>
      <c r="F122" s="271">
        <v>0</v>
      </c>
      <c r="G122" s="271">
        <v>0</v>
      </c>
      <c r="H122" s="271">
        <v>0</v>
      </c>
      <c r="I122" s="271">
        <v>85231.01</v>
      </c>
      <c r="J122" s="272">
        <v>186606</v>
      </c>
      <c r="K122" s="273">
        <v>567155.57000000007</v>
      </c>
      <c r="L122" s="270">
        <v>42922.45</v>
      </c>
      <c r="M122" s="271">
        <v>0</v>
      </c>
      <c r="N122" s="271">
        <v>0</v>
      </c>
      <c r="O122" s="271">
        <v>0</v>
      </c>
      <c r="P122" s="272">
        <v>0</v>
      </c>
      <c r="Q122" s="273">
        <v>42922.45</v>
      </c>
      <c r="R122" s="83">
        <v>610078.02</v>
      </c>
      <c r="S122" s="85">
        <f>VLOOKUP(B122,'[2]Resumo do Aging List - Contabil'!$C:$S,17,0)</f>
        <v>610078.02</v>
      </c>
      <c r="T122" t="b">
        <f t="shared" si="3"/>
        <v>1</v>
      </c>
      <c r="U122" s="85">
        <f>VLOOKUP(B122,'[3]Resumo do Aging List - Contabil'!$B:$R,17,0)</f>
        <v>610078.02</v>
      </c>
      <c r="V122" t="b">
        <f t="shared" si="4"/>
        <v>1</v>
      </c>
    </row>
    <row r="123" spans="2:22" ht="15.75" thickBot="1" x14ac:dyDescent="0.25">
      <c r="B123" s="248" t="s">
        <v>841</v>
      </c>
      <c r="C123" s="223"/>
      <c r="D123" s="249">
        <v>0</v>
      </c>
      <c r="E123" s="255">
        <v>0</v>
      </c>
      <c r="F123" s="255">
        <v>0</v>
      </c>
      <c r="G123" s="224">
        <v>0</v>
      </c>
      <c r="H123" s="224">
        <v>0</v>
      </c>
      <c r="I123" s="224">
        <v>0</v>
      </c>
      <c r="J123" s="228">
        <v>0</v>
      </c>
      <c r="K123" s="259">
        <v>0</v>
      </c>
      <c r="L123" s="227">
        <v>149050</v>
      </c>
      <c r="M123" s="224">
        <v>149050</v>
      </c>
      <c r="N123" s="224">
        <v>149050.01</v>
      </c>
      <c r="O123" s="224">
        <v>166516.66999999998</v>
      </c>
      <c r="P123" s="228">
        <v>290033.32</v>
      </c>
      <c r="Q123" s="259">
        <v>903700</v>
      </c>
      <c r="R123" s="83">
        <v>903700</v>
      </c>
      <c r="S123" s="85">
        <f>VLOOKUP(B123,'[2]Resumo do Aging List - Contabil'!$C:$S,17,0)</f>
        <v>891400</v>
      </c>
      <c r="T123" t="b">
        <f t="shared" si="3"/>
        <v>0</v>
      </c>
      <c r="U123" s="85">
        <f>VLOOKUP(B123,'[3]Resumo do Aging List - Contabil'!$B:$R,17,0)</f>
        <v>891400</v>
      </c>
      <c r="V123" t="b">
        <f t="shared" si="4"/>
        <v>0</v>
      </c>
    </row>
    <row r="124" spans="2:22" ht="15" x14ac:dyDescent="0.2">
      <c r="B124" s="246" t="s">
        <v>402</v>
      </c>
      <c r="C124" s="223"/>
      <c r="D124" s="249">
        <v>0</v>
      </c>
      <c r="E124" s="224">
        <v>0</v>
      </c>
      <c r="F124" s="224">
        <v>0</v>
      </c>
      <c r="G124" s="224">
        <v>0</v>
      </c>
      <c r="H124" s="224">
        <v>0</v>
      </c>
      <c r="I124" s="224">
        <v>0</v>
      </c>
      <c r="J124" s="228">
        <v>0</v>
      </c>
      <c r="K124" s="259">
        <v>0</v>
      </c>
      <c r="L124" s="227">
        <v>28666.68</v>
      </c>
      <c r="M124" s="224">
        <v>0</v>
      </c>
      <c r="N124" s="224">
        <v>0</v>
      </c>
      <c r="O124" s="224">
        <v>0</v>
      </c>
      <c r="P124" s="228">
        <v>0</v>
      </c>
      <c r="Q124" s="259">
        <v>28666.68</v>
      </c>
      <c r="R124" s="86">
        <v>28666.68</v>
      </c>
      <c r="S124" s="87" t="e">
        <f>VLOOKUP(B124,'[2]Resumo do Aging List - Contabil'!$C:$S,17,0)</f>
        <v>#N/A</v>
      </c>
      <c r="T124" s="88" t="e">
        <f t="shared" si="3"/>
        <v>#N/A</v>
      </c>
      <c r="U124" s="85" t="e">
        <f>VLOOKUP(B124,'[3]Resumo do Aging List - Contabil'!$B:$R,17,0)</f>
        <v>#N/A</v>
      </c>
      <c r="V124" t="e">
        <f t="shared" si="4"/>
        <v>#N/A</v>
      </c>
    </row>
    <row r="125" spans="2:22" ht="15.75" thickBot="1" x14ac:dyDescent="0.25">
      <c r="B125" s="246" t="s">
        <v>526</v>
      </c>
      <c r="C125" s="223"/>
      <c r="D125" s="249">
        <v>0</v>
      </c>
      <c r="E125" s="224">
        <v>0</v>
      </c>
      <c r="F125" s="224">
        <v>0</v>
      </c>
      <c r="G125" s="224">
        <v>0</v>
      </c>
      <c r="H125" s="224">
        <v>0</v>
      </c>
      <c r="I125" s="224">
        <v>55467.43</v>
      </c>
      <c r="J125" s="228">
        <v>42922.54</v>
      </c>
      <c r="K125" s="259">
        <v>98389.97</v>
      </c>
      <c r="L125" s="227">
        <v>40100.22</v>
      </c>
      <c r="M125" s="224">
        <v>97022.67</v>
      </c>
      <c r="N125" s="224">
        <v>40100.239999999998</v>
      </c>
      <c r="O125" s="224">
        <v>0</v>
      </c>
      <c r="P125" s="228">
        <v>0</v>
      </c>
      <c r="Q125" s="259">
        <v>177223.13</v>
      </c>
      <c r="R125" s="86">
        <v>275613.09999999998</v>
      </c>
      <c r="S125" s="87">
        <f>VLOOKUP(B125,'[2]Resumo do Aging List - Contabil'!$C:$S,17,0)</f>
        <v>462037.29000000004</v>
      </c>
      <c r="T125" s="88" t="b">
        <f t="shared" si="3"/>
        <v>0</v>
      </c>
      <c r="U125" s="85">
        <f>VLOOKUP(B125,'[3]Resumo do Aging List - Contabil'!$B:$R,17,0)</f>
        <v>462037.29000000004</v>
      </c>
      <c r="V125" t="b">
        <f t="shared" si="4"/>
        <v>0</v>
      </c>
    </row>
    <row r="126" spans="2:22" ht="15.75" thickBot="1" x14ac:dyDescent="0.25">
      <c r="B126" s="275" t="s">
        <v>63</v>
      </c>
      <c r="C126" s="223"/>
      <c r="D126" s="270">
        <v>21214.32</v>
      </c>
      <c r="E126" s="271">
        <v>0</v>
      </c>
      <c r="F126" s="271">
        <v>0</v>
      </c>
      <c r="G126" s="271">
        <v>0</v>
      </c>
      <c r="H126" s="271">
        <v>0</v>
      </c>
      <c r="I126" s="271">
        <v>0</v>
      </c>
      <c r="J126" s="272">
        <v>0</v>
      </c>
      <c r="K126" s="273">
        <v>21214.32</v>
      </c>
      <c r="L126" s="270">
        <v>0</v>
      </c>
      <c r="M126" s="271">
        <v>0</v>
      </c>
      <c r="N126" s="271">
        <v>0</v>
      </c>
      <c r="O126" s="271">
        <v>0</v>
      </c>
      <c r="P126" s="272">
        <v>0</v>
      </c>
      <c r="Q126" s="273">
        <v>0</v>
      </c>
      <c r="R126" s="83">
        <v>21214.32</v>
      </c>
      <c r="S126" s="85">
        <f>VLOOKUP(B126,'[2]Resumo do Aging List - Contabil'!$C:$S,17,0)</f>
        <v>21214.32</v>
      </c>
      <c r="T126" t="b">
        <f t="shared" si="3"/>
        <v>1</v>
      </c>
      <c r="U126" s="85">
        <f>VLOOKUP(B126,'[3]Resumo do Aging List - Contabil'!$B:$R,17,0)</f>
        <v>21214.32</v>
      </c>
      <c r="V126" t="b">
        <f t="shared" si="4"/>
        <v>1</v>
      </c>
    </row>
    <row r="127" spans="2:22" ht="15.75" thickBot="1" x14ac:dyDescent="0.25">
      <c r="B127" s="274" t="s">
        <v>505</v>
      </c>
      <c r="C127" s="223"/>
      <c r="D127" s="270">
        <v>32455.13</v>
      </c>
      <c r="E127" s="271">
        <v>0</v>
      </c>
      <c r="F127" s="271">
        <v>0</v>
      </c>
      <c r="G127" s="271">
        <v>0</v>
      </c>
      <c r="H127" s="271">
        <v>0</v>
      </c>
      <c r="I127" s="271">
        <v>0</v>
      </c>
      <c r="J127" s="272">
        <v>0</v>
      </c>
      <c r="K127" s="273">
        <v>32455.13</v>
      </c>
      <c r="L127" s="270">
        <v>0</v>
      </c>
      <c r="M127" s="271">
        <v>0</v>
      </c>
      <c r="N127" s="271">
        <v>0</v>
      </c>
      <c r="O127" s="271">
        <v>0</v>
      </c>
      <c r="P127" s="272">
        <v>0</v>
      </c>
      <c r="Q127" s="273">
        <v>0</v>
      </c>
      <c r="R127" s="83">
        <v>32455.13</v>
      </c>
      <c r="S127" s="85">
        <f>VLOOKUP(B127,'[2]Resumo do Aging List - Contabil'!$C:$S,17,0)</f>
        <v>32455.13</v>
      </c>
      <c r="T127" t="b">
        <f t="shared" si="3"/>
        <v>1</v>
      </c>
      <c r="U127" s="85">
        <f>VLOOKUP(B127,'[3]Resumo do Aging List - Contabil'!$B:$R,17,0)</f>
        <v>32455.13</v>
      </c>
      <c r="V127" t="b">
        <f t="shared" si="4"/>
        <v>1</v>
      </c>
    </row>
    <row r="128" spans="2:22" ht="15.75" thickBot="1" x14ac:dyDescent="0.25">
      <c r="B128" s="248" t="s">
        <v>58</v>
      </c>
      <c r="C128" s="223"/>
      <c r="D128" s="249">
        <v>0</v>
      </c>
      <c r="E128" s="255">
        <v>0</v>
      </c>
      <c r="F128" s="255">
        <v>0</v>
      </c>
      <c r="G128" s="224">
        <v>0</v>
      </c>
      <c r="H128" s="224">
        <v>0</v>
      </c>
      <c r="I128" s="224">
        <v>0</v>
      </c>
      <c r="J128" s="228">
        <v>0</v>
      </c>
      <c r="K128" s="259">
        <v>0</v>
      </c>
      <c r="L128" s="227">
        <v>0</v>
      </c>
      <c r="M128" s="224">
        <v>14405</v>
      </c>
      <c r="N128" s="224">
        <v>0</v>
      </c>
      <c r="O128" s="224">
        <v>0</v>
      </c>
      <c r="P128" s="228">
        <v>0</v>
      </c>
      <c r="Q128" s="259">
        <v>14405</v>
      </c>
      <c r="R128" s="86">
        <v>14405</v>
      </c>
      <c r="S128" s="87">
        <f>VLOOKUP(B128,'[2]Resumo do Aging List - Contabil'!$C:$S,17,0)</f>
        <v>215213.5</v>
      </c>
      <c r="T128" s="88" t="b">
        <f t="shared" si="3"/>
        <v>0</v>
      </c>
      <c r="U128" s="85">
        <f>VLOOKUP(B128,'[3]Resumo do Aging List - Contabil'!$B:$R,17,0)</f>
        <v>215213.5</v>
      </c>
      <c r="V128" t="b">
        <f t="shared" si="4"/>
        <v>0</v>
      </c>
    </row>
    <row r="129" spans="2:22" ht="15.75" thickBot="1" x14ac:dyDescent="0.25">
      <c r="B129" s="257" t="s">
        <v>69</v>
      </c>
      <c r="C129" s="223"/>
      <c r="D129" s="249">
        <v>0</v>
      </c>
      <c r="E129" s="255">
        <v>0</v>
      </c>
      <c r="F129" s="255">
        <v>0</v>
      </c>
      <c r="G129" s="224">
        <v>0</v>
      </c>
      <c r="H129" s="224">
        <v>0</v>
      </c>
      <c r="I129" s="224">
        <v>0</v>
      </c>
      <c r="J129" s="228">
        <v>0</v>
      </c>
      <c r="K129" s="259">
        <v>0</v>
      </c>
      <c r="L129" s="227">
        <v>76394.16</v>
      </c>
      <c r="M129" s="224">
        <v>0</v>
      </c>
      <c r="N129" s="224">
        <v>58245.5</v>
      </c>
      <c r="O129" s="224">
        <v>0</v>
      </c>
      <c r="P129" s="228">
        <v>0</v>
      </c>
      <c r="Q129" s="259">
        <v>134639.66</v>
      </c>
      <c r="R129" s="86">
        <v>134639.66</v>
      </c>
      <c r="S129" s="87">
        <f>VLOOKUP(B129,'[2]Resumo do Aging List - Contabil'!$C:$S,17,0)</f>
        <v>754574.46000000008</v>
      </c>
      <c r="T129" s="88" t="b">
        <f t="shared" si="3"/>
        <v>0</v>
      </c>
      <c r="U129" s="85">
        <f>VLOOKUP(B129,'[3]Resumo do Aging List - Contabil'!$B:$R,17,0)</f>
        <v>754574.46000000008</v>
      </c>
      <c r="V129" t="b">
        <f t="shared" si="4"/>
        <v>0</v>
      </c>
    </row>
    <row r="130" spans="2:22" ht="15.75" thickBot="1" x14ac:dyDescent="0.25">
      <c r="B130" s="275" t="s">
        <v>355</v>
      </c>
      <c r="C130" s="223"/>
      <c r="D130" s="270">
        <v>0</v>
      </c>
      <c r="E130" s="271">
        <v>0</v>
      </c>
      <c r="F130" s="271">
        <v>0</v>
      </c>
      <c r="G130" s="271">
        <v>0</v>
      </c>
      <c r="H130" s="271">
        <v>5120</v>
      </c>
      <c r="I130" s="271">
        <v>0</v>
      </c>
      <c r="J130" s="272">
        <v>0</v>
      </c>
      <c r="K130" s="273">
        <v>5120</v>
      </c>
      <c r="L130" s="270">
        <v>0</v>
      </c>
      <c r="M130" s="271">
        <v>0</v>
      </c>
      <c r="N130" s="271">
        <v>0</v>
      </c>
      <c r="O130" s="271">
        <v>0</v>
      </c>
      <c r="P130" s="272">
        <v>0</v>
      </c>
      <c r="Q130" s="273">
        <v>0</v>
      </c>
      <c r="R130" s="86">
        <v>5120</v>
      </c>
      <c r="S130" s="87">
        <f>VLOOKUP(B130,'[2]Resumo do Aging List - Contabil'!$C:$S,17,0)</f>
        <v>5120</v>
      </c>
      <c r="T130" s="88" t="b">
        <f t="shared" si="3"/>
        <v>1</v>
      </c>
      <c r="U130" s="85">
        <f>VLOOKUP(B130,'[3]Resumo do Aging List - Contabil'!$B:$R,17,0)</f>
        <v>5120</v>
      </c>
      <c r="V130" t="b">
        <f t="shared" si="4"/>
        <v>1</v>
      </c>
    </row>
    <row r="131" spans="2:22" ht="15.75" thickBot="1" x14ac:dyDescent="0.25">
      <c r="B131" s="274" t="s">
        <v>977</v>
      </c>
      <c r="C131" s="223"/>
      <c r="D131" s="270">
        <v>0</v>
      </c>
      <c r="E131" s="271">
        <v>0</v>
      </c>
      <c r="F131" s="271">
        <v>0</v>
      </c>
      <c r="G131" s="271">
        <v>0</v>
      </c>
      <c r="H131" s="271">
        <v>0</v>
      </c>
      <c r="I131" s="271">
        <v>0</v>
      </c>
      <c r="J131" s="272">
        <v>0</v>
      </c>
      <c r="K131" s="273">
        <v>0</v>
      </c>
      <c r="L131" s="270">
        <v>0</v>
      </c>
      <c r="M131" s="271">
        <v>35000</v>
      </c>
      <c r="N131" s="271">
        <v>0</v>
      </c>
      <c r="O131" s="271">
        <v>0</v>
      </c>
      <c r="P131" s="272">
        <v>0</v>
      </c>
      <c r="Q131" s="273">
        <v>35000</v>
      </c>
      <c r="R131" s="83">
        <v>35000</v>
      </c>
      <c r="S131" s="85">
        <f>VLOOKUP(B131,'[2]Resumo do Aging List - Contabil'!$C:$S,17,0)</f>
        <v>35000</v>
      </c>
      <c r="T131" t="b">
        <f t="shared" si="3"/>
        <v>1</v>
      </c>
      <c r="U131" s="85">
        <f>VLOOKUP(B131,'[3]Resumo do Aging List - Contabil'!$B:$R,17,0)</f>
        <v>35000</v>
      </c>
      <c r="V131" t="b">
        <f t="shared" si="4"/>
        <v>1</v>
      </c>
    </row>
    <row r="132" spans="2:22" ht="15.75" thickBot="1" x14ac:dyDescent="0.25">
      <c r="B132" s="275" t="s">
        <v>898</v>
      </c>
      <c r="C132" s="223"/>
      <c r="D132" s="270">
        <v>0</v>
      </c>
      <c r="E132" s="271">
        <v>0</v>
      </c>
      <c r="F132" s="271">
        <v>0</v>
      </c>
      <c r="G132" s="271">
        <v>0</v>
      </c>
      <c r="H132" s="271">
        <v>0</v>
      </c>
      <c r="I132" s="271">
        <v>0</v>
      </c>
      <c r="J132" s="272">
        <v>0</v>
      </c>
      <c r="K132" s="273">
        <v>0</v>
      </c>
      <c r="L132" s="270">
        <v>0</v>
      </c>
      <c r="M132" s="271">
        <v>39238.339999999997</v>
      </c>
      <c r="N132" s="271">
        <v>0</v>
      </c>
      <c r="O132" s="271">
        <v>39238.339999999997</v>
      </c>
      <c r="P132" s="272">
        <v>0</v>
      </c>
      <c r="Q132" s="273">
        <v>78476.679999999993</v>
      </c>
      <c r="R132" s="83">
        <v>78476.679999999993</v>
      </c>
      <c r="S132" s="85">
        <f>VLOOKUP(B132,'[2]Resumo do Aging List - Contabil'!$C:$S,17,0)</f>
        <v>78476.679999999993</v>
      </c>
      <c r="T132" t="b">
        <f t="shared" si="3"/>
        <v>1</v>
      </c>
      <c r="U132" s="85">
        <f>VLOOKUP(B132,'[3]Resumo do Aging List - Contabil'!$B:$R,17,0)</f>
        <v>78476.679999999993</v>
      </c>
      <c r="V132" t="b">
        <f t="shared" si="4"/>
        <v>1</v>
      </c>
    </row>
    <row r="133" spans="2:22" ht="15.75" thickBot="1" x14ac:dyDescent="0.25">
      <c r="B133" s="240" t="s">
        <v>414</v>
      </c>
      <c r="C133" s="223"/>
      <c r="D133" s="249">
        <v>0</v>
      </c>
      <c r="E133" s="224">
        <v>141827</v>
      </c>
      <c r="F133" s="224">
        <v>0</v>
      </c>
      <c r="G133" s="224">
        <v>0</v>
      </c>
      <c r="H133" s="224">
        <v>0</v>
      </c>
      <c r="I133" s="224">
        <v>0</v>
      </c>
      <c r="J133" s="228">
        <v>0</v>
      </c>
      <c r="K133" s="259">
        <v>141827</v>
      </c>
      <c r="L133" s="227">
        <v>0</v>
      </c>
      <c r="M133" s="224">
        <v>0</v>
      </c>
      <c r="N133" s="224">
        <v>0</v>
      </c>
      <c r="O133" s="224">
        <v>0</v>
      </c>
      <c r="P133" s="228">
        <v>0</v>
      </c>
      <c r="Q133" s="259">
        <v>0</v>
      </c>
      <c r="R133" s="86">
        <v>141827</v>
      </c>
      <c r="S133" s="87" t="e">
        <f>VLOOKUP(B133,'[2]Resumo do Aging List - Contabil'!$C:$S,17,0)</f>
        <v>#N/A</v>
      </c>
      <c r="T133" s="88" t="e">
        <f t="shared" si="3"/>
        <v>#N/A</v>
      </c>
      <c r="U133" s="85" t="e">
        <f>VLOOKUP(B133,'[3]Resumo do Aging List - Contabil'!$B:$R,17,0)</f>
        <v>#N/A</v>
      </c>
      <c r="V133" t="e">
        <f t="shared" si="4"/>
        <v>#N/A</v>
      </c>
    </row>
    <row r="134" spans="2:22" ht="15" x14ac:dyDescent="0.2">
      <c r="B134" s="245" t="s">
        <v>403</v>
      </c>
      <c r="C134" s="223"/>
      <c r="D134" s="249">
        <v>0</v>
      </c>
      <c r="E134" s="224">
        <v>0</v>
      </c>
      <c r="F134" s="224">
        <v>0</v>
      </c>
      <c r="G134" s="224">
        <v>0</v>
      </c>
      <c r="H134" s="224">
        <v>0</v>
      </c>
      <c r="I134" s="224">
        <v>14976.58</v>
      </c>
      <c r="J134" s="228">
        <v>0</v>
      </c>
      <c r="K134" s="259">
        <v>14976.58</v>
      </c>
      <c r="L134" s="227">
        <v>0</v>
      </c>
      <c r="M134" s="224">
        <v>0</v>
      </c>
      <c r="N134" s="224">
        <v>0</v>
      </c>
      <c r="O134" s="224">
        <v>0</v>
      </c>
      <c r="P134" s="228">
        <v>0</v>
      </c>
      <c r="Q134" s="259">
        <v>0</v>
      </c>
      <c r="R134" s="83">
        <v>14976.58</v>
      </c>
      <c r="S134" s="85" t="e">
        <f>VLOOKUP(B134,'[2]Resumo do Aging List - Contabil'!$C:$S,17,0)</f>
        <v>#N/A</v>
      </c>
      <c r="T134" t="e">
        <f t="shared" si="3"/>
        <v>#N/A</v>
      </c>
      <c r="U134" s="85" t="e">
        <f>VLOOKUP(B134,'[3]Resumo do Aging List - Contabil'!$B:$R,17,0)</f>
        <v>#N/A</v>
      </c>
      <c r="V134" t="e">
        <f t="shared" si="4"/>
        <v>#N/A</v>
      </c>
    </row>
    <row r="135" spans="2:22" ht="15.75" thickBot="1" x14ac:dyDescent="0.25">
      <c r="B135" s="281" t="s">
        <v>500</v>
      </c>
      <c r="C135" s="223"/>
      <c r="D135" s="270">
        <v>23400</v>
      </c>
      <c r="E135" s="271">
        <v>0</v>
      </c>
      <c r="F135" s="271">
        <v>0</v>
      </c>
      <c r="G135" s="271">
        <v>0</v>
      </c>
      <c r="H135" s="271">
        <v>0</v>
      </c>
      <c r="I135" s="271">
        <v>0</v>
      </c>
      <c r="J135" s="272">
        <v>0</v>
      </c>
      <c r="K135" s="273">
        <v>23400</v>
      </c>
      <c r="L135" s="270">
        <v>0</v>
      </c>
      <c r="M135" s="271">
        <v>0</v>
      </c>
      <c r="N135" s="271">
        <v>0</v>
      </c>
      <c r="O135" s="271">
        <v>0</v>
      </c>
      <c r="P135" s="272">
        <v>0</v>
      </c>
      <c r="Q135" s="273">
        <v>0</v>
      </c>
      <c r="R135" s="83">
        <v>23400</v>
      </c>
      <c r="S135" s="85">
        <f>VLOOKUP(B135,'[2]Resumo do Aging List - Contabil'!$C:$S,17,0)</f>
        <v>23400</v>
      </c>
      <c r="T135" t="b">
        <f t="shared" si="3"/>
        <v>1</v>
      </c>
      <c r="U135" s="85">
        <f>VLOOKUP(B135,'[3]Resumo do Aging List - Contabil'!$B:$R,17,0)</f>
        <v>23400</v>
      </c>
      <c r="V135" t="b">
        <f t="shared" si="4"/>
        <v>1</v>
      </c>
    </row>
    <row r="136" spans="2:22" ht="15" x14ac:dyDescent="0.2">
      <c r="B136" s="245" t="s">
        <v>471</v>
      </c>
      <c r="C136" s="223"/>
      <c r="D136" s="249">
        <v>104976.62999999999</v>
      </c>
      <c r="E136" s="224">
        <v>0</v>
      </c>
      <c r="F136" s="224">
        <v>0</v>
      </c>
      <c r="G136" s="224">
        <v>0</v>
      </c>
      <c r="H136" s="224">
        <v>0</v>
      </c>
      <c r="I136" s="224">
        <v>27483</v>
      </c>
      <c r="J136" s="228">
        <v>0</v>
      </c>
      <c r="K136" s="259">
        <v>132459.63</v>
      </c>
      <c r="L136" s="227">
        <v>66521.83</v>
      </c>
      <c r="M136" s="224">
        <v>21153.08</v>
      </c>
      <c r="N136" s="224">
        <v>29108.42</v>
      </c>
      <c r="O136" s="224">
        <v>37868.770000000004</v>
      </c>
      <c r="P136" s="228">
        <v>8760.31</v>
      </c>
      <c r="Q136" s="259">
        <v>163412.41000000003</v>
      </c>
      <c r="R136" s="86">
        <v>295872.04000000004</v>
      </c>
      <c r="S136" s="87">
        <f>VLOOKUP(B136,'[2]Resumo do Aging List - Contabil'!$C:$S,17,0)</f>
        <v>363116.55000000005</v>
      </c>
      <c r="T136" s="88" t="b">
        <f t="shared" si="3"/>
        <v>0</v>
      </c>
      <c r="U136" s="85">
        <f>VLOOKUP(B136,'[3]Resumo do Aging List - Contabil'!$B:$R,17,0)</f>
        <v>363116.55000000005</v>
      </c>
      <c r="V136" t="b">
        <f t="shared" si="4"/>
        <v>0</v>
      </c>
    </row>
    <row r="137" spans="2:22" ht="15" x14ac:dyDescent="0.2">
      <c r="B137" s="246" t="s">
        <v>417</v>
      </c>
      <c r="C137" s="223"/>
      <c r="D137" s="249">
        <v>0</v>
      </c>
      <c r="E137" s="224">
        <v>0</v>
      </c>
      <c r="F137" s="224">
        <v>0</v>
      </c>
      <c r="G137" s="224">
        <v>0</v>
      </c>
      <c r="H137" s="224">
        <v>0</v>
      </c>
      <c r="I137" s="224">
        <v>118961</v>
      </c>
      <c r="J137" s="228">
        <v>360248</v>
      </c>
      <c r="K137" s="259">
        <v>479209</v>
      </c>
      <c r="L137" s="227">
        <v>0</v>
      </c>
      <c r="M137" s="224">
        <v>4204.8</v>
      </c>
      <c r="N137" s="224">
        <v>0</v>
      </c>
      <c r="O137" s="224">
        <v>0</v>
      </c>
      <c r="P137" s="228">
        <v>0</v>
      </c>
      <c r="Q137" s="259">
        <v>4204.8</v>
      </c>
      <c r="R137" s="83">
        <v>483413.8</v>
      </c>
      <c r="S137" s="85">
        <f>VLOOKUP(B137,'[2]Resumo do Aging List - Contabil'!$C:$S,17,0)</f>
        <v>447518.33999999997</v>
      </c>
      <c r="T137" t="b">
        <f t="shared" si="3"/>
        <v>0</v>
      </c>
      <c r="U137" s="85">
        <f>VLOOKUP(B137,'[3]Resumo do Aging List - Contabil'!$B:$R,17,0)</f>
        <v>447518.33999999997</v>
      </c>
      <c r="V137" t="b">
        <f t="shared" si="4"/>
        <v>0</v>
      </c>
    </row>
    <row r="138" spans="2:22" ht="15.75" thickBot="1" x14ac:dyDescent="0.25">
      <c r="B138" s="281" t="s">
        <v>904</v>
      </c>
      <c r="C138" s="223"/>
      <c r="D138" s="270">
        <v>0</v>
      </c>
      <c r="E138" s="271">
        <v>0</v>
      </c>
      <c r="F138" s="271">
        <v>0</v>
      </c>
      <c r="G138" s="271">
        <v>0</v>
      </c>
      <c r="H138" s="271">
        <v>0</v>
      </c>
      <c r="I138" s="271">
        <v>0</v>
      </c>
      <c r="J138" s="272">
        <v>0</v>
      </c>
      <c r="K138" s="273">
        <v>0</v>
      </c>
      <c r="L138" s="270">
        <v>0</v>
      </c>
      <c r="M138" s="271">
        <v>161000</v>
      </c>
      <c r="N138" s="271">
        <v>0</v>
      </c>
      <c r="O138" s="271">
        <v>0</v>
      </c>
      <c r="P138" s="272">
        <v>0</v>
      </c>
      <c r="Q138" s="273">
        <v>161000</v>
      </c>
      <c r="R138" s="86">
        <v>161000</v>
      </c>
      <c r="S138" s="87">
        <f>VLOOKUP(B138,'[2]Resumo do Aging List - Contabil'!$C:$S,17,0)</f>
        <v>161000</v>
      </c>
      <c r="T138" s="88" t="b">
        <f t="shared" si="3"/>
        <v>1</v>
      </c>
      <c r="U138" s="85">
        <f>VLOOKUP(B138,'[3]Resumo do Aging List - Contabil'!$B:$R,17,0)</f>
        <v>161000</v>
      </c>
      <c r="V138" t="b">
        <f t="shared" si="4"/>
        <v>1</v>
      </c>
    </row>
    <row r="139" spans="2:22" ht="15.75" thickBot="1" x14ac:dyDescent="0.25">
      <c r="B139" s="246" t="s">
        <v>982</v>
      </c>
      <c r="C139" s="223"/>
      <c r="D139" s="249">
        <v>0</v>
      </c>
      <c r="E139" s="224">
        <v>0</v>
      </c>
      <c r="F139" s="224">
        <v>0</v>
      </c>
      <c r="G139" s="224">
        <v>0</v>
      </c>
      <c r="H139" s="224">
        <v>0</v>
      </c>
      <c r="I139" s="224">
        <v>0</v>
      </c>
      <c r="J139" s="228">
        <v>0</v>
      </c>
      <c r="K139" s="259">
        <v>0</v>
      </c>
      <c r="L139" s="227">
        <v>5437.95</v>
      </c>
      <c r="M139" s="224">
        <v>124132.70000000001</v>
      </c>
      <c r="N139" s="224">
        <v>124132.70000000001</v>
      </c>
      <c r="O139" s="224">
        <v>0</v>
      </c>
      <c r="P139" s="228">
        <v>0</v>
      </c>
      <c r="Q139" s="259">
        <v>253703.35</v>
      </c>
      <c r="R139" s="83">
        <v>253703.35</v>
      </c>
      <c r="S139" s="85">
        <f>VLOOKUP(B139,'[2]Resumo do Aging List - Contabil'!$C:$S,17,0)</f>
        <v>253519.35</v>
      </c>
      <c r="T139" t="b">
        <f t="shared" si="3"/>
        <v>0</v>
      </c>
      <c r="U139" s="85">
        <f>VLOOKUP(B139,'[3]Resumo do Aging List - Contabil'!$B:$R,17,0)</f>
        <v>253519.35</v>
      </c>
      <c r="V139" t="b">
        <f t="shared" si="4"/>
        <v>0</v>
      </c>
    </row>
    <row r="140" spans="2:22" ht="15" x14ac:dyDescent="0.2">
      <c r="B140" s="280" t="s">
        <v>363</v>
      </c>
      <c r="C140" s="223"/>
      <c r="D140" s="270">
        <v>0</v>
      </c>
      <c r="E140" s="271">
        <v>0</v>
      </c>
      <c r="F140" s="271">
        <v>0</v>
      </c>
      <c r="G140" s="271">
        <v>60090</v>
      </c>
      <c r="H140" s="271">
        <v>159570</v>
      </c>
      <c r="I140" s="271">
        <v>141220</v>
      </c>
      <c r="J140" s="272">
        <v>81310</v>
      </c>
      <c r="K140" s="273">
        <v>442190</v>
      </c>
      <c r="L140" s="270">
        <v>46520</v>
      </c>
      <c r="M140" s="271">
        <v>0</v>
      </c>
      <c r="N140" s="271">
        <v>0</v>
      </c>
      <c r="O140" s="271">
        <v>0</v>
      </c>
      <c r="P140" s="272">
        <v>0</v>
      </c>
      <c r="Q140" s="273">
        <v>46520</v>
      </c>
      <c r="R140" s="83">
        <v>488710</v>
      </c>
      <c r="S140" s="85">
        <f>VLOOKUP(B140,'[2]Resumo do Aging List - Contabil'!$C:$S,17,0)</f>
        <v>488710</v>
      </c>
      <c r="T140" t="b">
        <f t="shared" si="3"/>
        <v>1</v>
      </c>
      <c r="U140" s="85">
        <f>VLOOKUP(B140,'[3]Resumo do Aging List - Contabil'!$B:$R,17,0)</f>
        <v>488710</v>
      </c>
      <c r="V140" t="b">
        <f t="shared" si="4"/>
        <v>1</v>
      </c>
    </row>
    <row r="141" spans="2:22" ht="15" x14ac:dyDescent="0.2">
      <c r="B141" s="246" t="s">
        <v>773</v>
      </c>
      <c r="C141" s="223"/>
      <c r="D141" s="249">
        <v>0</v>
      </c>
      <c r="E141" s="224">
        <v>0</v>
      </c>
      <c r="F141" s="224">
        <v>0</v>
      </c>
      <c r="G141" s="224">
        <v>0</v>
      </c>
      <c r="H141" s="224">
        <v>0</v>
      </c>
      <c r="I141" s="224">
        <v>0</v>
      </c>
      <c r="J141" s="228">
        <v>0</v>
      </c>
      <c r="K141" s="259">
        <v>0</v>
      </c>
      <c r="L141" s="227">
        <v>23489</v>
      </c>
      <c r="M141" s="224">
        <v>0</v>
      </c>
      <c r="N141" s="224">
        <v>0</v>
      </c>
      <c r="O141" s="224">
        <v>0</v>
      </c>
      <c r="P141" s="228">
        <v>0</v>
      </c>
      <c r="Q141" s="259">
        <v>23489</v>
      </c>
      <c r="R141" s="83">
        <v>23489</v>
      </c>
      <c r="S141" s="85" t="e">
        <f>VLOOKUP(B141,'[2]Resumo do Aging List - Contabil'!$C:$S,17,0)</f>
        <v>#N/A</v>
      </c>
      <c r="T141" t="e">
        <f t="shared" si="3"/>
        <v>#N/A</v>
      </c>
      <c r="U141" s="85" t="e">
        <f>VLOOKUP(B141,'[3]Resumo do Aging List - Contabil'!$B:$R,17,0)</f>
        <v>#N/A</v>
      </c>
      <c r="V141" t="e">
        <f t="shared" si="4"/>
        <v>#N/A</v>
      </c>
    </row>
    <row r="142" spans="2:22" ht="15" x14ac:dyDescent="0.2">
      <c r="B142" s="246" t="s">
        <v>350</v>
      </c>
      <c r="C142" s="223"/>
      <c r="D142" s="249">
        <v>34444.6</v>
      </c>
      <c r="E142" s="224">
        <v>0</v>
      </c>
      <c r="F142" s="224">
        <v>0</v>
      </c>
      <c r="G142" s="224">
        <v>0</v>
      </c>
      <c r="H142" s="224">
        <v>0</v>
      </c>
      <c r="I142" s="224">
        <v>0</v>
      </c>
      <c r="J142" s="228">
        <v>0</v>
      </c>
      <c r="K142" s="259">
        <v>34444.6</v>
      </c>
      <c r="L142" s="227">
        <v>0</v>
      </c>
      <c r="M142" s="224">
        <v>0</v>
      </c>
      <c r="N142" s="224">
        <v>0</v>
      </c>
      <c r="O142" s="224">
        <v>0</v>
      </c>
      <c r="P142" s="228">
        <v>0</v>
      </c>
      <c r="Q142" s="259">
        <v>0</v>
      </c>
      <c r="R142" s="86">
        <v>34444.6</v>
      </c>
      <c r="S142" s="87">
        <f>VLOOKUP(B142,'[2]Resumo do Aging List - Contabil'!$C:$S,17,0)</f>
        <v>586976.19999999995</v>
      </c>
      <c r="T142" s="88" t="b">
        <f t="shared" si="3"/>
        <v>0</v>
      </c>
      <c r="U142" s="85">
        <f>VLOOKUP(B142,'[3]Resumo do Aging List - Contabil'!$B:$R,17,0)</f>
        <v>586976.19999999995</v>
      </c>
      <c r="V142" t="b">
        <f t="shared" si="4"/>
        <v>0</v>
      </c>
    </row>
    <row r="143" spans="2:22" ht="15" x14ac:dyDescent="0.2">
      <c r="B143" s="246" t="s">
        <v>393</v>
      </c>
      <c r="C143" s="223"/>
      <c r="D143" s="249">
        <v>0</v>
      </c>
      <c r="E143" s="224">
        <v>10542.88</v>
      </c>
      <c r="F143" s="224">
        <v>10542.88</v>
      </c>
      <c r="G143" s="224">
        <v>10542.88</v>
      </c>
      <c r="H143" s="224">
        <v>10542.86</v>
      </c>
      <c r="I143" s="224">
        <v>0</v>
      </c>
      <c r="J143" s="228">
        <v>0</v>
      </c>
      <c r="K143" s="259">
        <v>42171.5</v>
      </c>
      <c r="L143" s="227">
        <v>0</v>
      </c>
      <c r="M143" s="224">
        <v>0</v>
      </c>
      <c r="N143" s="224">
        <v>0</v>
      </c>
      <c r="O143" s="224">
        <v>0</v>
      </c>
      <c r="P143" s="228">
        <v>0</v>
      </c>
      <c r="Q143" s="259">
        <v>0</v>
      </c>
      <c r="R143" s="86">
        <v>42171.5</v>
      </c>
      <c r="S143" s="87" t="e">
        <f>VLOOKUP(B143,'[2]Resumo do Aging List - Contabil'!$C:$S,17,0)</f>
        <v>#N/A</v>
      </c>
      <c r="T143" s="88" t="e">
        <f t="shared" si="3"/>
        <v>#N/A</v>
      </c>
      <c r="U143" s="85" t="e">
        <f>VLOOKUP(B143,'[3]Resumo do Aging List - Contabil'!$B:$R,17,0)</f>
        <v>#N/A</v>
      </c>
      <c r="V143" t="e">
        <f t="shared" si="4"/>
        <v>#N/A</v>
      </c>
    </row>
    <row r="144" spans="2:22" ht="15" x14ac:dyDescent="0.2">
      <c r="B144" s="274" t="s">
        <v>502</v>
      </c>
      <c r="C144" s="223"/>
      <c r="D144" s="270">
        <v>47097.5</v>
      </c>
      <c r="E144" s="271">
        <v>0</v>
      </c>
      <c r="F144" s="271">
        <v>0</v>
      </c>
      <c r="G144" s="271">
        <v>0</v>
      </c>
      <c r="H144" s="271">
        <v>0</v>
      </c>
      <c r="I144" s="271">
        <v>0</v>
      </c>
      <c r="J144" s="272">
        <v>0</v>
      </c>
      <c r="K144" s="273">
        <v>47097.5</v>
      </c>
      <c r="L144" s="270">
        <v>0</v>
      </c>
      <c r="M144" s="271">
        <v>0</v>
      </c>
      <c r="N144" s="271">
        <v>0</v>
      </c>
      <c r="O144" s="271">
        <v>0</v>
      </c>
      <c r="P144" s="272">
        <v>0</v>
      </c>
      <c r="Q144" s="273">
        <v>0</v>
      </c>
      <c r="R144" s="83">
        <v>47097.5</v>
      </c>
      <c r="S144" s="85">
        <f>VLOOKUP(B144,'[2]Resumo do Aging List - Contabil'!$C:$S,17,0)</f>
        <v>47097.5</v>
      </c>
      <c r="T144" t="b">
        <f t="shared" si="3"/>
        <v>1</v>
      </c>
      <c r="U144" s="85">
        <f>VLOOKUP(B144,'[3]Resumo do Aging List - Contabil'!$B:$R,17,0)</f>
        <v>47097.5</v>
      </c>
      <c r="V144" t="b">
        <f t="shared" si="4"/>
        <v>1</v>
      </c>
    </row>
    <row r="145" spans="2:22" ht="15.75" thickBot="1" x14ac:dyDescent="0.25">
      <c r="B145" s="281" t="s">
        <v>418</v>
      </c>
      <c r="C145" s="223"/>
      <c r="D145" s="270">
        <v>88600</v>
      </c>
      <c r="E145" s="271">
        <v>0</v>
      </c>
      <c r="F145" s="271">
        <v>0</v>
      </c>
      <c r="G145" s="271">
        <v>58705.33</v>
      </c>
      <c r="H145" s="271">
        <v>0</v>
      </c>
      <c r="I145" s="271">
        <v>0</v>
      </c>
      <c r="J145" s="272">
        <v>0</v>
      </c>
      <c r="K145" s="273">
        <v>147305.33000000002</v>
      </c>
      <c r="L145" s="270">
        <v>70500</v>
      </c>
      <c r="M145" s="271">
        <v>0</v>
      </c>
      <c r="N145" s="271">
        <v>0</v>
      </c>
      <c r="O145" s="271">
        <v>0</v>
      </c>
      <c r="P145" s="272">
        <v>0</v>
      </c>
      <c r="Q145" s="273">
        <v>70500</v>
      </c>
      <c r="R145" s="83">
        <v>217805.33000000002</v>
      </c>
      <c r="S145" s="85">
        <f>VLOOKUP(B145,'[2]Resumo do Aging List - Contabil'!$C:$S,17,0)</f>
        <v>217805.33000000002</v>
      </c>
      <c r="T145" t="b">
        <f t="shared" si="3"/>
        <v>1</v>
      </c>
      <c r="U145" s="85">
        <f>VLOOKUP(B145,'[3]Resumo do Aging List - Contabil'!$B:$R,17,0)</f>
        <v>217805.33000000002</v>
      </c>
      <c r="V145" t="b">
        <f t="shared" si="4"/>
        <v>1</v>
      </c>
    </row>
    <row r="146" spans="2:22" ht="15.75" thickBot="1" x14ac:dyDescent="0.25">
      <c r="B146" s="246" t="s">
        <v>987</v>
      </c>
      <c r="C146" s="223"/>
      <c r="D146" s="249">
        <v>0</v>
      </c>
      <c r="E146" s="224">
        <v>0</v>
      </c>
      <c r="F146" s="224">
        <v>0</v>
      </c>
      <c r="G146" s="224">
        <v>0</v>
      </c>
      <c r="H146" s="224">
        <v>0</v>
      </c>
      <c r="I146" s="224">
        <v>0</v>
      </c>
      <c r="J146" s="228">
        <v>12685</v>
      </c>
      <c r="K146" s="259">
        <v>12685</v>
      </c>
      <c r="L146" s="227">
        <v>12685</v>
      </c>
      <c r="M146" s="224">
        <v>0</v>
      </c>
      <c r="N146" s="224">
        <v>0</v>
      </c>
      <c r="O146" s="224">
        <v>0</v>
      </c>
      <c r="P146" s="228">
        <v>0</v>
      </c>
      <c r="Q146" s="259">
        <v>12685</v>
      </c>
      <c r="R146" s="83">
        <v>25370</v>
      </c>
      <c r="S146" s="85">
        <f>VLOOKUP(B146,'[2]Resumo do Aging List - Contabil'!$C:$S,17,0)</f>
        <v>69955</v>
      </c>
      <c r="T146" t="b">
        <f t="shared" si="3"/>
        <v>0</v>
      </c>
      <c r="U146" s="85">
        <f>VLOOKUP(B146,'[3]Resumo do Aging List - Contabil'!$B:$R,17,0)</f>
        <v>69955</v>
      </c>
      <c r="V146" t="b">
        <f t="shared" si="4"/>
        <v>0</v>
      </c>
    </row>
    <row r="147" spans="2:22" ht="15" x14ac:dyDescent="0.2">
      <c r="B147" s="245" t="s">
        <v>477</v>
      </c>
      <c r="C147" s="223"/>
      <c r="D147" s="249">
        <v>125465.25</v>
      </c>
      <c r="E147" s="224">
        <v>0</v>
      </c>
      <c r="F147" s="224">
        <v>0</v>
      </c>
      <c r="G147" s="224">
        <v>0</v>
      </c>
      <c r="H147" s="224">
        <v>0</v>
      </c>
      <c r="I147" s="224">
        <v>0</v>
      </c>
      <c r="J147" s="228">
        <v>0</v>
      </c>
      <c r="K147" s="259">
        <v>125465.25</v>
      </c>
      <c r="L147" s="227">
        <v>0</v>
      </c>
      <c r="M147" s="224">
        <v>0</v>
      </c>
      <c r="N147" s="224">
        <v>0</v>
      </c>
      <c r="O147" s="224">
        <v>0</v>
      </c>
      <c r="P147" s="228">
        <v>0</v>
      </c>
      <c r="Q147" s="259">
        <v>0</v>
      </c>
      <c r="R147" s="86">
        <v>125465.25</v>
      </c>
      <c r="S147" s="87">
        <f>VLOOKUP(B147,'[2]Resumo do Aging List - Contabil'!$C:$S,17,0)</f>
        <v>233445.66999999998</v>
      </c>
      <c r="T147" s="88" t="b">
        <f t="shared" si="3"/>
        <v>0</v>
      </c>
      <c r="U147" s="85">
        <f>VLOOKUP(B147,'[3]Resumo do Aging List - Contabil'!$B:$R,17,0)</f>
        <v>233445.66999999998</v>
      </c>
      <c r="V147" t="b">
        <f t="shared" si="4"/>
        <v>0</v>
      </c>
    </row>
    <row r="148" spans="2:22" ht="15" x14ac:dyDescent="0.2">
      <c r="B148" s="246" t="s">
        <v>688</v>
      </c>
      <c r="C148" s="223"/>
      <c r="D148" s="249">
        <v>0</v>
      </c>
      <c r="E148" s="224">
        <v>0</v>
      </c>
      <c r="F148" s="224">
        <v>0</v>
      </c>
      <c r="G148" s="224">
        <v>0</v>
      </c>
      <c r="H148" s="224">
        <v>0</v>
      </c>
      <c r="I148" s="224">
        <v>0</v>
      </c>
      <c r="J148" s="228">
        <v>0</v>
      </c>
      <c r="K148" s="259">
        <v>0</v>
      </c>
      <c r="L148" s="227">
        <v>252</v>
      </c>
      <c r="M148" s="224">
        <v>0</v>
      </c>
      <c r="N148" s="224">
        <v>0</v>
      </c>
      <c r="O148" s="224">
        <v>0</v>
      </c>
      <c r="P148" s="228">
        <v>0</v>
      </c>
      <c r="Q148" s="259">
        <v>252</v>
      </c>
      <c r="R148" s="83">
        <v>252</v>
      </c>
      <c r="S148" s="85" t="e">
        <f>VLOOKUP(B148,'[2]Resumo do Aging List - Contabil'!$C:$S,17,0)</f>
        <v>#N/A</v>
      </c>
      <c r="T148" t="e">
        <f t="shared" si="3"/>
        <v>#N/A</v>
      </c>
      <c r="U148" s="85" t="e">
        <f>VLOOKUP(B148,'[3]Resumo do Aging List - Contabil'!$B:$R,17,0)</f>
        <v>#N/A</v>
      </c>
      <c r="V148" t="e">
        <f t="shared" si="4"/>
        <v>#N/A</v>
      </c>
    </row>
    <row r="149" spans="2:22" ht="15" x14ac:dyDescent="0.2">
      <c r="B149" s="274" t="s">
        <v>741</v>
      </c>
      <c r="C149" s="223"/>
      <c r="D149" s="270">
        <v>0</v>
      </c>
      <c r="E149" s="271">
        <v>0</v>
      </c>
      <c r="F149" s="271">
        <v>0</v>
      </c>
      <c r="G149" s="271">
        <v>0</v>
      </c>
      <c r="H149" s="271">
        <v>0</v>
      </c>
      <c r="I149" s="271">
        <v>0</v>
      </c>
      <c r="J149" s="272">
        <v>5244</v>
      </c>
      <c r="K149" s="273">
        <v>5244</v>
      </c>
      <c r="L149" s="270">
        <v>10967.55</v>
      </c>
      <c r="M149" s="271">
        <v>0</v>
      </c>
      <c r="N149" s="271">
        <v>0</v>
      </c>
      <c r="O149" s="271">
        <v>0</v>
      </c>
      <c r="P149" s="272">
        <v>0</v>
      </c>
      <c r="Q149" s="273">
        <v>10967.55</v>
      </c>
      <c r="R149" s="86">
        <v>16211.55</v>
      </c>
      <c r="S149" s="87">
        <f>VLOOKUP(B149,'[2]Resumo do Aging List - Contabil'!$C:$S,17,0)</f>
        <v>16211.55</v>
      </c>
      <c r="T149" s="88" t="b">
        <f t="shared" si="3"/>
        <v>1</v>
      </c>
      <c r="U149" s="85">
        <f>VLOOKUP(B149,'[3]Resumo do Aging List - Contabil'!$B:$R,17,0)</f>
        <v>16211.55</v>
      </c>
      <c r="V149" t="b">
        <f t="shared" si="4"/>
        <v>1</v>
      </c>
    </row>
    <row r="150" spans="2:22" ht="15" x14ac:dyDescent="0.2">
      <c r="B150" s="246" t="s">
        <v>770</v>
      </c>
      <c r="C150" s="223"/>
      <c r="D150" s="249">
        <v>0</v>
      </c>
      <c r="E150" s="224">
        <v>0</v>
      </c>
      <c r="F150" s="224">
        <v>0</v>
      </c>
      <c r="G150" s="224">
        <v>0</v>
      </c>
      <c r="H150" s="224">
        <v>0</v>
      </c>
      <c r="I150" s="224">
        <v>21600</v>
      </c>
      <c r="J150" s="228">
        <v>21600</v>
      </c>
      <c r="K150" s="259">
        <v>43200</v>
      </c>
      <c r="L150" s="227">
        <v>10800</v>
      </c>
      <c r="M150" s="224">
        <v>0</v>
      </c>
      <c r="N150" s="224">
        <v>0</v>
      </c>
      <c r="O150" s="224">
        <v>0</v>
      </c>
      <c r="P150" s="228">
        <v>0</v>
      </c>
      <c r="Q150" s="259">
        <v>10800</v>
      </c>
      <c r="R150" s="86">
        <v>54000</v>
      </c>
      <c r="S150" s="87">
        <f>VLOOKUP(B150,'[2]Resumo do Aging List - Contabil'!$C:$S,17,0)</f>
        <v>247590</v>
      </c>
      <c r="T150" s="88" t="b">
        <f t="shared" si="3"/>
        <v>0</v>
      </c>
      <c r="U150" s="85">
        <f>VLOOKUP(B150,'[3]Resumo do Aging List - Contabil'!$B:$R,17,0)</f>
        <v>247590</v>
      </c>
      <c r="V150" t="b">
        <f t="shared" si="4"/>
        <v>0</v>
      </c>
    </row>
    <row r="151" spans="2:22" ht="15.75" thickBot="1" x14ac:dyDescent="0.25">
      <c r="B151" s="281" t="s">
        <v>504</v>
      </c>
      <c r="C151" s="223"/>
      <c r="D151" s="270">
        <v>9600</v>
      </c>
      <c r="E151" s="271">
        <v>0</v>
      </c>
      <c r="F151" s="271">
        <v>0</v>
      </c>
      <c r="G151" s="271">
        <v>0</v>
      </c>
      <c r="H151" s="271">
        <v>0</v>
      </c>
      <c r="I151" s="271">
        <v>0</v>
      </c>
      <c r="J151" s="272">
        <v>0</v>
      </c>
      <c r="K151" s="273">
        <v>9600</v>
      </c>
      <c r="L151" s="270">
        <v>0</v>
      </c>
      <c r="M151" s="271">
        <v>0</v>
      </c>
      <c r="N151" s="271">
        <v>0</v>
      </c>
      <c r="O151" s="271">
        <v>0</v>
      </c>
      <c r="P151" s="272">
        <v>0</v>
      </c>
      <c r="Q151" s="273">
        <v>0</v>
      </c>
      <c r="R151" s="83">
        <v>9600</v>
      </c>
      <c r="S151" s="85">
        <f>VLOOKUP(B151,'[2]Resumo do Aging List - Contabil'!$C:$S,17,0)</f>
        <v>9600</v>
      </c>
      <c r="T151" t="b">
        <f t="shared" si="3"/>
        <v>1</v>
      </c>
      <c r="U151" s="85">
        <f>VLOOKUP(B151,'[3]Resumo do Aging List - Contabil'!$B:$R,17,0)</f>
        <v>9600</v>
      </c>
      <c r="V151" t="b">
        <f t="shared" si="4"/>
        <v>1</v>
      </c>
    </row>
    <row r="152" spans="2:22" ht="15.75" thickBot="1" x14ac:dyDescent="0.25">
      <c r="B152" s="280" t="s">
        <v>990</v>
      </c>
      <c r="C152" s="223"/>
      <c r="D152" s="270">
        <v>0</v>
      </c>
      <c r="E152" s="271">
        <v>0</v>
      </c>
      <c r="F152" s="271">
        <v>0</v>
      </c>
      <c r="G152" s="271">
        <v>0</v>
      </c>
      <c r="H152" s="271">
        <v>0</v>
      </c>
      <c r="I152" s="271">
        <v>0</v>
      </c>
      <c r="J152" s="272">
        <v>0</v>
      </c>
      <c r="K152" s="273">
        <v>0</v>
      </c>
      <c r="L152" s="270">
        <v>0</v>
      </c>
      <c r="M152" s="271">
        <v>14159.8</v>
      </c>
      <c r="N152" s="271">
        <v>0</v>
      </c>
      <c r="O152" s="271">
        <v>0</v>
      </c>
      <c r="P152" s="272">
        <v>0</v>
      </c>
      <c r="Q152" s="273">
        <v>14159.8</v>
      </c>
      <c r="R152" s="86">
        <v>14159.8</v>
      </c>
      <c r="S152" s="87">
        <f>VLOOKUP(B152,'[2]Resumo do Aging List - Contabil'!$C:$S,17,0)</f>
        <v>14159.8</v>
      </c>
      <c r="T152" s="88" t="b">
        <f t="shared" si="3"/>
        <v>1</v>
      </c>
      <c r="U152" s="85">
        <f>VLOOKUP(B152,'[3]Resumo do Aging List - Contabil'!$B:$R,17,0)</f>
        <v>14159.8</v>
      </c>
      <c r="V152" t="b">
        <f t="shared" si="4"/>
        <v>1</v>
      </c>
    </row>
    <row r="153" spans="2:22" ht="15.75" thickBot="1" x14ac:dyDescent="0.25">
      <c r="B153" s="256" t="s">
        <v>52</v>
      </c>
      <c r="C153" s="223"/>
      <c r="D153" s="249">
        <v>43159</v>
      </c>
      <c r="E153" s="255">
        <v>12000</v>
      </c>
      <c r="F153" s="255">
        <v>0</v>
      </c>
      <c r="G153" s="224">
        <v>0</v>
      </c>
      <c r="H153" s="224">
        <v>0</v>
      </c>
      <c r="I153" s="224">
        <v>0</v>
      </c>
      <c r="J153" s="228">
        <v>0</v>
      </c>
      <c r="K153" s="259">
        <v>55159</v>
      </c>
      <c r="L153" s="227">
        <v>0</v>
      </c>
      <c r="M153" s="224">
        <v>0</v>
      </c>
      <c r="N153" s="224">
        <v>0</v>
      </c>
      <c r="O153" s="224">
        <v>0</v>
      </c>
      <c r="P153" s="228">
        <v>0</v>
      </c>
      <c r="Q153" s="259">
        <v>0</v>
      </c>
      <c r="R153" s="83">
        <v>55159</v>
      </c>
      <c r="S153" s="85">
        <f>VLOOKUP(B153,'[2]Resumo do Aging List - Contabil'!$C:$S,17,0)</f>
        <v>99741.38</v>
      </c>
      <c r="T153" t="b">
        <f t="shared" si="3"/>
        <v>0</v>
      </c>
      <c r="U153" s="85">
        <f>VLOOKUP(B153,'[3]Resumo do Aging List - Contabil'!$B:$R,17,0)</f>
        <v>99741.38</v>
      </c>
      <c r="V153" t="b">
        <f t="shared" si="4"/>
        <v>0</v>
      </c>
    </row>
    <row r="154" spans="2:22" ht="15.75" thickBot="1" x14ac:dyDescent="0.25">
      <c r="B154" s="275" t="s">
        <v>59</v>
      </c>
      <c r="C154" s="223"/>
      <c r="D154" s="270">
        <v>39000</v>
      </c>
      <c r="E154" s="271">
        <v>0</v>
      </c>
      <c r="F154" s="271">
        <v>0</v>
      </c>
      <c r="G154" s="271">
        <v>0</v>
      </c>
      <c r="H154" s="271">
        <v>0</v>
      </c>
      <c r="I154" s="271">
        <v>0</v>
      </c>
      <c r="J154" s="272">
        <v>0</v>
      </c>
      <c r="K154" s="273">
        <v>39000</v>
      </c>
      <c r="L154" s="270">
        <v>0</v>
      </c>
      <c r="M154" s="271">
        <v>0</v>
      </c>
      <c r="N154" s="271">
        <v>0</v>
      </c>
      <c r="O154" s="271">
        <v>0</v>
      </c>
      <c r="P154" s="272">
        <v>0</v>
      </c>
      <c r="Q154" s="273">
        <v>0</v>
      </c>
      <c r="R154" s="83">
        <v>39000</v>
      </c>
      <c r="S154" s="85">
        <f>VLOOKUP(B154,'[2]Resumo do Aging List - Contabil'!$C:$S,17,0)</f>
        <v>39000</v>
      </c>
      <c r="T154" t="b">
        <f t="shared" si="3"/>
        <v>1</v>
      </c>
      <c r="U154" s="85">
        <f>VLOOKUP(B154,'[3]Resumo do Aging List - Contabil'!$B:$R,17,0)</f>
        <v>39000</v>
      </c>
      <c r="V154" t="b">
        <f t="shared" si="4"/>
        <v>1</v>
      </c>
    </row>
    <row r="155" spans="2:22" ht="15" x14ac:dyDescent="0.2">
      <c r="B155" s="246" t="s">
        <v>570</v>
      </c>
      <c r="C155" s="223"/>
      <c r="D155" s="249">
        <v>0</v>
      </c>
      <c r="E155" s="224">
        <v>0</v>
      </c>
      <c r="F155" s="224">
        <v>0</v>
      </c>
      <c r="G155" s="224">
        <v>0</v>
      </c>
      <c r="H155" s="224">
        <v>41033.33</v>
      </c>
      <c r="I155" s="224">
        <v>41033.339999999997</v>
      </c>
      <c r="J155" s="228">
        <v>0</v>
      </c>
      <c r="K155" s="259">
        <v>82066.67</v>
      </c>
      <c r="L155" s="227">
        <v>0</v>
      </c>
      <c r="M155" s="224">
        <v>0</v>
      </c>
      <c r="N155" s="224">
        <v>0</v>
      </c>
      <c r="O155" s="224">
        <v>0</v>
      </c>
      <c r="P155" s="228">
        <v>0</v>
      </c>
      <c r="Q155" s="259">
        <v>0</v>
      </c>
      <c r="R155" s="86">
        <v>82066.67</v>
      </c>
      <c r="S155" s="87">
        <f>VLOOKUP(B155,'[2]Resumo do Aging List - Contabil'!$C:$S,17,0)</f>
        <v>41033.339999999997</v>
      </c>
      <c r="T155" s="88" t="b">
        <f t="shared" si="3"/>
        <v>0</v>
      </c>
      <c r="U155" s="85">
        <f>VLOOKUP(B155,'[3]Resumo do Aging List - Contabil'!$B:$R,17,0)</f>
        <v>41033.339999999997</v>
      </c>
      <c r="V155" t="b">
        <f t="shared" si="4"/>
        <v>0</v>
      </c>
    </row>
    <row r="156" spans="2:22" ht="15" x14ac:dyDescent="0.2">
      <c r="B156" s="246" t="s">
        <v>419</v>
      </c>
      <c r="C156" s="223"/>
      <c r="D156" s="249">
        <v>10680</v>
      </c>
      <c r="E156" s="224">
        <v>5340</v>
      </c>
      <c r="F156" s="224">
        <v>0</v>
      </c>
      <c r="G156" s="224">
        <v>2866</v>
      </c>
      <c r="H156" s="224">
        <v>0</v>
      </c>
      <c r="I156" s="224">
        <v>0</v>
      </c>
      <c r="J156" s="228">
        <v>22900</v>
      </c>
      <c r="K156" s="259">
        <v>41786</v>
      </c>
      <c r="L156" s="227">
        <v>22900</v>
      </c>
      <c r="M156" s="224">
        <v>0</v>
      </c>
      <c r="N156" s="224">
        <v>0</v>
      </c>
      <c r="O156" s="224">
        <v>0</v>
      </c>
      <c r="P156" s="228">
        <v>0</v>
      </c>
      <c r="Q156" s="259">
        <v>22900</v>
      </c>
      <c r="R156" s="83">
        <v>64686</v>
      </c>
      <c r="S156" s="85">
        <f>VLOOKUP(B156,'[2]Resumo do Aging List - Contabil'!$C:$S,17,0)</f>
        <v>158534.5</v>
      </c>
      <c r="T156" t="b">
        <f t="shared" si="3"/>
        <v>0</v>
      </c>
      <c r="U156" s="85">
        <f>VLOOKUP(B156,'[3]Resumo do Aging List - Contabil'!$B:$R,17,0)</f>
        <v>158534.5</v>
      </c>
      <c r="V156" t="b">
        <f t="shared" si="4"/>
        <v>0</v>
      </c>
    </row>
    <row r="157" spans="2:22" ht="15" x14ac:dyDescent="0.2">
      <c r="B157" s="274" t="s">
        <v>495</v>
      </c>
      <c r="C157" s="223"/>
      <c r="D157" s="270">
        <v>9565.99</v>
      </c>
      <c r="E157" s="271">
        <v>0</v>
      </c>
      <c r="F157" s="271">
        <v>0</v>
      </c>
      <c r="G157" s="271">
        <v>0</v>
      </c>
      <c r="H157" s="271">
        <v>0</v>
      </c>
      <c r="I157" s="271">
        <v>0</v>
      </c>
      <c r="J157" s="272">
        <v>0</v>
      </c>
      <c r="K157" s="273">
        <v>9565.99</v>
      </c>
      <c r="L157" s="270">
        <v>0</v>
      </c>
      <c r="M157" s="271">
        <v>0</v>
      </c>
      <c r="N157" s="271">
        <v>0</v>
      </c>
      <c r="O157" s="271">
        <v>0</v>
      </c>
      <c r="P157" s="272">
        <v>0</v>
      </c>
      <c r="Q157" s="273">
        <v>0</v>
      </c>
      <c r="R157" s="86">
        <v>9565.99</v>
      </c>
      <c r="S157" s="87">
        <f>VLOOKUP(B157,'[2]Resumo do Aging List - Contabil'!$C:$S,17,0)</f>
        <v>9565.99</v>
      </c>
      <c r="T157" s="88" t="b">
        <f t="shared" si="3"/>
        <v>1</v>
      </c>
      <c r="U157" s="85">
        <f>VLOOKUP(B157,'[3]Resumo do Aging List - Contabil'!$B:$R,17,0)</f>
        <v>9565.99</v>
      </c>
      <c r="V157" t="b">
        <f t="shared" si="4"/>
        <v>1</v>
      </c>
    </row>
    <row r="158" spans="2:22" ht="15.75" thickBot="1" x14ac:dyDescent="0.25">
      <c r="B158" s="246" t="s">
        <v>306</v>
      </c>
      <c r="C158" s="223"/>
      <c r="D158" s="249">
        <v>0</v>
      </c>
      <c r="E158" s="224">
        <v>0</v>
      </c>
      <c r="F158" s="224">
        <v>0</v>
      </c>
      <c r="G158" s="224">
        <v>0</v>
      </c>
      <c r="H158" s="224">
        <v>0</v>
      </c>
      <c r="I158" s="224">
        <v>0</v>
      </c>
      <c r="J158" s="228">
        <v>0</v>
      </c>
      <c r="K158" s="259">
        <v>0</v>
      </c>
      <c r="L158" s="227">
        <v>1390.65</v>
      </c>
      <c r="M158" s="224">
        <v>1390.65</v>
      </c>
      <c r="N158" s="224">
        <v>1390.65</v>
      </c>
      <c r="O158" s="224">
        <v>1390.65</v>
      </c>
      <c r="P158" s="228">
        <v>200253.59999999948</v>
      </c>
      <c r="Q158" s="259">
        <v>205816.19999999946</v>
      </c>
      <c r="R158" s="83">
        <v>205816.19999999946</v>
      </c>
      <c r="S158" s="85">
        <f>VLOOKUP(B158,'[2]Resumo do Aging List - Contabil'!$C:$S,17,0)</f>
        <v>204425.54999999946</v>
      </c>
      <c r="T158" t="b">
        <f t="shared" si="3"/>
        <v>0</v>
      </c>
      <c r="U158" s="85">
        <f>VLOOKUP(B158,'[3]Resumo do Aging List - Contabil'!$B:$R,17,0)</f>
        <v>204425.54999999946</v>
      </c>
      <c r="V158" t="b">
        <f t="shared" si="4"/>
        <v>0</v>
      </c>
    </row>
    <row r="159" spans="2:22" ht="15.75" thickBot="1" x14ac:dyDescent="0.25">
      <c r="B159" s="275" t="s">
        <v>60</v>
      </c>
      <c r="C159" s="223"/>
      <c r="D159" s="270">
        <v>498737.03</v>
      </c>
      <c r="E159" s="271">
        <v>0</v>
      </c>
      <c r="F159" s="271">
        <v>0</v>
      </c>
      <c r="G159" s="271">
        <v>0</v>
      </c>
      <c r="H159" s="271">
        <v>0</v>
      </c>
      <c r="I159" s="271">
        <v>0</v>
      </c>
      <c r="J159" s="272">
        <v>0</v>
      </c>
      <c r="K159" s="273">
        <v>498737.03</v>
      </c>
      <c r="L159" s="270">
        <v>0</v>
      </c>
      <c r="M159" s="271">
        <v>0</v>
      </c>
      <c r="N159" s="271">
        <v>0</v>
      </c>
      <c r="O159" s="271">
        <v>0</v>
      </c>
      <c r="P159" s="272">
        <v>0</v>
      </c>
      <c r="Q159" s="273">
        <v>0</v>
      </c>
      <c r="R159" s="83">
        <v>498737.03</v>
      </c>
      <c r="S159" s="85">
        <f>VLOOKUP(B159,'[2]Resumo do Aging List - Contabil'!$C:$S,17,0)</f>
        <v>498737.03</v>
      </c>
      <c r="T159" t="b">
        <f t="shared" si="3"/>
        <v>1</v>
      </c>
      <c r="U159" s="85">
        <f>VLOOKUP(B159,'[3]Resumo do Aging List - Contabil'!$B:$R,17,0)</f>
        <v>498737.03</v>
      </c>
      <c r="V159" t="b">
        <f t="shared" si="4"/>
        <v>1</v>
      </c>
    </row>
    <row r="160" spans="2:22" ht="15.75" thickBot="1" x14ac:dyDescent="0.25">
      <c r="B160" s="257" t="s">
        <v>66</v>
      </c>
      <c r="C160" s="223"/>
      <c r="D160" s="249">
        <v>0</v>
      </c>
      <c r="E160" s="255">
        <v>0</v>
      </c>
      <c r="F160" s="255">
        <v>0</v>
      </c>
      <c r="G160" s="224">
        <v>0</v>
      </c>
      <c r="H160" s="224">
        <v>0</v>
      </c>
      <c r="I160" s="224">
        <v>0</v>
      </c>
      <c r="J160" s="228">
        <v>0</v>
      </c>
      <c r="K160" s="259">
        <v>0</v>
      </c>
      <c r="L160" s="227">
        <v>0</v>
      </c>
      <c r="M160" s="224">
        <v>60770</v>
      </c>
      <c r="N160" s="224">
        <v>58295</v>
      </c>
      <c r="O160" s="224">
        <v>0</v>
      </c>
      <c r="P160" s="228">
        <v>0</v>
      </c>
      <c r="Q160" s="259">
        <v>119065</v>
      </c>
      <c r="R160" s="83">
        <v>119065</v>
      </c>
      <c r="S160" s="85">
        <f>VLOOKUP(B160,'[2]Resumo do Aging List - Contabil'!$C:$S,17,0)</f>
        <v>241570</v>
      </c>
      <c r="T160" t="b">
        <f t="shared" si="3"/>
        <v>0</v>
      </c>
      <c r="U160" s="85">
        <f>VLOOKUP(B160,'[3]Resumo do Aging List - Contabil'!$B:$R,17,0)</f>
        <v>241570</v>
      </c>
      <c r="V160" t="b">
        <f t="shared" si="4"/>
        <v>0</v>
      </c>
    </row>
    <row r="161" spans="2:22" ht="15" x14ac:dyDescent="0.2">
      <c r="B161" s="246" t="s">
        <v>304</v>
      </c>
      <c r="C161" s="223"/>
      <c r="D161" s="249">
        <v>0</v>
      </c>
      <c r="E161" s="224">
        <v>0</v>
      </c>
      <c r="F161" s="224">
        <v>0</v>
      </c>
      <c r="G161" s="224">
        <v>0</v>
      </c>
      <c r="H161" s="224">
        <v>0</v>
      </c>
      <c r="I161" s="224">
        <v>0</v>
      </c>
      <c r="J161" s="228">
        <v>1255596.75</v>
      </c>
      <c r="K161" s="259">
        <v>1255596.75</v>
      </c>
      <c r="L161" s="227">
        <v>751698.33000000007</v>
      </c>
      <c r="M161" s="224">
        <v>119757.53</v>
      </c>
      <c r="N161" s="224">
        <v>41033</v>
      </c>
      <c r="O161" s="224">
        <v>0</v>
      </c>
      <c r="P161" s="228">
        <v>0</v>
      </c>
      <c r="Q161" s="259">
        <v>912488.8600000001</v>
      </c>
      <c r="R161" s="83">
        <v>2168085.6100000003</v>
      </c>
      <c r="S161" s="85">
        <f>VLOOKUP(B161,'[2]Resumo do Aging List - Contabil'!$C:$S,17,0)</f>
        <v>770185.38000000012</v>
      </c>
      <c r="T161" t="b">
        <f t="shared" si="3"/>
        <v>0</v>
      </c>
      <c r="U161" s="85">
        <f>VLOOKUP(B161,'[3]Resumo do Aging List - Contabil'!$B:$R,17,0)</f>
        <v>770185.38000000012</v>
      </c>
      <c r="V161" t="b">
        <f t="shared" si="4"/>
        <v>0</v>
      </c>
    </row>
    <row r="162" spans="2:22" ht="15.75" thickBot="1" x14ac:dyDescent="0.25">
      <c r="B162" s="240" t="s">
        <v>911</v>
      </c>
      <c r="C162" s="225">
        <v>0</v>
      </c>
      <c r="D162" s="251">
        <v>0</v>
      </c>
      <c r="E162" s="230">
        <v>0</v>
      </c>
      <c r="F162" s="230">
        <v>0</v>
      </c>
      <c r="G162" s="230">
        <v>0</v>
      </c>
      <c r="H162" s="230">
        <v>0</v>
      </c>
      <c r="I162" s="230">
        <v>0</v>
      </c>
      <c r="J162" s="231">
        <v>0</v>
      </c>
      <c r="K162" s="261">
        <v>0</v>
      </c>
      <c r="L162" s="229">
        <v>55467.43</v>
      </c>
      <c r="M162" s="230">
        <v>43358.28</v>
      </c>
      <c r="N162" s="230">
        <v>0</v>
      </c>
      <c r="O162" s="230">
        <v>0</v>
      </c>
      <c r="P162" s="231">
        <v>0</v>
      </c>
      <c r="Q162" s="261">
        <v>98825.709999999992</v>
      </c>
      <c r="R162" s="86">
        <v>98825.709999999992</v>
      </c>
      <c r="S162" s="87">
        <f>VLOOKUP(B162,'[2]Resumo do Aging List - Contabil'!$C:$S,17,0)</f>
        <v>142858.28</v>
      </c>
      <c r="T162" s="88" t="b">
        <f t="shared" si="3"/>
        <v>0</v>
      </c>
      <c r="U162" s="85">
        <f>VLOOKUP(B162,'[3]Resumo do Aging List - Contabil'!$B:$R,17,0)</f>
        <v>142858.28</v>
      </c>
      <c r="V162" t="b">
        <f t="shared" si="4"/>
        <v>0</v>
      </c>
    </row>
    <row r="163" spans="2:22" ht="15.75" thickBot="1" x14ac:dyDescent="0.25">
      <c r="B163" s="222" t="s">
        <v>1812</v>
      </c>
      <c r="C163" s="223"/>
      <c r="D163" s="227">
        <v>0</v>
      </c>
      <c r="E163" s="224">
        <v>0</v>
      </c>
      <c r="F163" s="224">
        <v>0</v>
      </c>
      <c r="G163" s="224">
        <v>0</v>
      </c>
      <c r="H163" s="224">
        <v>0</v>
      </c>
      <c r="I163" s="224">
        <v>0</v>
      </c>
      <c r="J163" s="228">
        <v>0</v>
      </c>
      <c r="K163" s="259">
        <v>0</v>
      </c>
      <c r="L163" s="227">
        <v>55467.43</v>
      </c>
      <c r="M163" s="224">
        <v>43358.28</v>
      </c>
      <c r="N163" s="224">
        <v>0</v>
      </c>
      <c r="O163" s="224">
        <v>0</v>
      </c>
      <c r="P163" s="228">
        <v>0</v>
      </c>
      <c r="Q163" s="259">
        <v>98825.709999999992</v>
      </c>
      <c r="R163" s="86">
        <v>56105.279999999999</v>
      </c>
      <c r="S163" s="87" t="e">
        <f>VLOOKUP(B163,'[2]Resumo do Aging List - Contabil'!$C:$S,17,0)</f>
        <v>#N/A</v>
      </c>
      <c r="T163" s="88" t="e">
        <f t="shared" ref="T163:T207" si="5">R163=S163</f>
        <v>#N/A</v>
      </c>
      <c r="U163" s="85" t="e">
        <f>VLOOKUP(B163,'[3]Resumo do Aging List - Contabil'!$B:$R,17,0)</f>
        <v>#N/A</v>
      </c>
      <c r="V163" t="e">
        <f t="shared" ref="V163:V207" si="6">R163=U163</f>
        <v>#N/A</v>
      </c>
    </row>
    <row r="164" spans="2:22" ht="15" x14ac:dyDescent="0.2">
      <c r="B164" s="245" t="s">
        <v>420</v>
      </c>
      <c r="C164" s="223"/>
      <c r="D164" s="249">
        <v>33232.080000000002</v>
      </c>
      <c r="E164" s="224">
        <v>0</v>
      </c>
      <c r="F164" s="224">
        <v>0</v>
      </c>
      <c r="G164" s="224">
        <v>0</v>
      </c>
      <c r="H164" s="224">
        <v>0</v>
      </c>
      <c r="I164" s="224">
        <v>22873.200000000001</v>
      </c>
      <c r="J164" s="228">
        <v>0</v>
      </c>
      <c r="K164" s="259">
        <v>56105.279999999999</v>
      </c>
      <c r="L164" s="227">
        <v>0</v>
      </c>
      <c r="M164" s="224">
        <v>0</v>
      </c>
      <c r="N164" s="224">
        <v>0</v>
      </c>
      <c r="O164" s="224">
        <v>0</v>
      </c>
      <c r="P164" s="228">
        <v>0</v>
      </c>
      <c r="Q164" s="259">
        <v>0</v>
      </c>
      <c r="R164" s="83">
        <v>88481.88</v>
      </c>
      <c r="S164" s="85">
        <f>VLOOKUP(B164,'[2]Resumo do Aging List - Contabil'!$C:$S,17,0)</f>
        <v>22873.200000000001</v>
      </c>
      <c r="T164" t="b">
        <f t="shared" si="5"/>
        <v>0</v>
      </c>
      <c r="U164" s="85">
        <f>VLOOKUP(B164,'[3]Resumo do Aging List - Contabil'!$B:$R,17,0)</f>
        <v>22873.200000000001</v>
      </c>
      <c r="V164" t="b">
        <f t="shared" si="6"/>
        <v>0</v>
      </c>
    </row>
    <row r="165" spans="2:22" ht="15" x14ac:dyDescent="0.2">
      <c r="B165" s="274" t="s">
        <v>522</v>
      </c>
      <c r="C165" s="223"/>
      <c r="D165" s="270">
        <v>0</v>
      </c>
      <c r="E165" s="271">
        <v>0</v>
      </c>
      <c r="F165" s="271">
        <v>0</v>
      </c>
      <c r="G165" s="271">
        <v>0</v>
      </c>
      <c r="H165" s="271">
        <v>88481.88</v>
      </c>
      <c r="I165" s="271">
        <v>0</v>
      </c>
      <c r="J165" s="272">
        <v>0</v>
      </c>
      <c r="K165" s="273">
        <v>88481.88</v>
      </c>
      <c r="L165" s="270">
        <v>0</v>
      </c>
      <c r="M165" s="271">
        <v>0</v>
      </c>
      <c r="N165" s="271">
        <v>0</v>
      </c>
      <c r="O165" s="271">
        <v>0</v>
      </c>
      <c r="P165" s="272">
        <v>0</v>
      </c>
      <c r="Q165" s="273">
        <v>0</v>
      </c>
      <c r="R165" s="86">
        <v>431348.66000000003</v>
      </c>
      <c r="S165" s="87">
        <f>VLOOKUP(B165,'[2]Resumo do Aging List - Contabil'!$C:$S,17,0)</f>
        <v>88481.88</v>
      </c>
      <c r="T165" s="88" t="b">
        <f t="shared" si="5"/>
        <v>0</v>
      </c>
      <c r="U165" s="85">
        <f>VLOOKUP(B165,'[3]Resumo do Aging List - Contabil'!$B:$R,17,0)</f>
        <v>88481.88</v>
      </c>
      <c r="V165" t="b">
        <f t="shared" si="6"/>
        <v>0</v>
      </c>
    </row>
    <row r="166" spans="2:22" ht="15.75" thickBot="1" x14ac:dyDescent="0.25">
      <c r="B166" s="274" t="s">
        <v>514</v>
      </c>
      <c r="C166" s="223"/>
      <c r="D166" s="270">
        <v>0</v>
      </c>
      <c r="E166" s="271">
        <v>0</v>
      </c>
      <c r="F166" s="271">
        <v>0</v>
      </c>
      <c r="G166" s="271">
        <v>0</v>
      </c>
      <c r="H166" s="271">
        <v>0</v>
      </c>
      <c r="I166" s="271">
        <v>42925</v>
      </c>
      <c r="J166" s="272">
        <v>151523.66</v>
      </c>
      <c r="K166" s="273">
        <v>194448.66</v>
      </c>
      <c r="L166" s="270">
        <v>0</v>
      </c>
      <c r="M166" s="271">
        <v>236900</v>
      </c>
      <c r="N166" s="271">
        <v>0</v>
      </c>
      <c r="O166" s="271">
        <v>0</v>
      </c>
      <c r="P166" s="272">
        <v>0</v>
      </c>
      <c r="Q166" s="273">
        <v>236900</v>
      </c>
      <c r="R166" s="83">
        <v>114457.65</v>
      </c>
      <c r="S166" s="85">
        <f>VLOOKUP(B166,'[2]Resumo do Aging List - Contabil'!$C:$S,17,0)</f>
        <v>431348.66000000003</v>
      </c>
      <c r="T166" t="b">
        <f t="shared" si="5"/>
        <v>0</v>
      </c>
      <c r="U166" s="85">
        <f>VLOOKUP(B166,'[3]Resumo do Aging List - Contabil'!$B:$R,17,0)</f>
        <v>431348.66000000003</v>
      </c>
      <c r="V166" t="b">
        <f t="shared" si="6"/>
        <v>0</v>
      </c>
    </row>
    <row r="167" spans="2:22" ht="15.75" thickBot="1" x14ac:dyDescent="0.25">
      <c r="B167" s="248" t="s">
        <v>422</v>
      </c>
      <c r="C167" s="223"/>
      <c r="D167" s="249">
        <v>0</v>
      </c>
      <c r="E167" s="255">
        <v>0</v>
      </c>
      <c r="F167" s="255">
        <v>12535.65</v>
      </c>
      <c r="G167" s="224">
        <v>0</v>
      </c>
      <c r="H167" s="224">
        <v>0</v>
      </c>
      <c r="I167" s="224">
        <v>0</v>
      </c>
      <c r="J167" s="228">
        <v>0</v>
      </c>
      <c r="K167" s="259">
        <v>12535.65</v>
      </c>
      <c r="L167" s="227">
        <v>0</v>
      </c>
      <c r="M167" s="224">
        <v>101922</v>
      </c>
      <c r="N167" s="224">
        <v>0</v>
      </c>
      <c r="O167" s="224">
        <v>0</v>
      </c>
      <c r="P167" s="228">
        <v>0</v>
      </c>
      <c r="Q167" s="259">
        <v>101922</v>
      </c>
      <c r="R167" s="86">
        <v>186000</v>
      </c>
      <c r="S167" s="87">
        <f>VLOOKUP(B167,'[2]Resumo do Aging List - Contabil'!$C:$S,17,0)</f>
        <v>111419</v>
      </c>
      <c r="T167" s="88" t="b">
        <f t="shared" si="5"/>
        <v>0</v>
      </c>
      <c r="U167" s="85">
        <f>VLOOKUP(B167,'[3]Resumo do Aging List - Contabil'!$B:$R,17,0)</f>
        <v>111419</v>
      </c>
      <c r="V167" t="b">
        <f t="shared" si="6"/>
        <v>0</v>
      </c>
    </row>
    <row r="168" spans="2:22" ht="15" x14ac:dyDescent="0.2">
      <c r="B168" s="274" t="s">
        <v>501</v>
      </c>
      <c r="C168" s="223"/>
      <c r="D168" s="270">
        <v>186000</v>
      </c>
      <c r="E168" s="271">
        <v>0</v>
      </c>
      <c r="F168" s="271">
        <v>0</v>
      </c>
      <c r="G168" s="271">
        <v>0</v>
      </c>
      <c r="H168" s="271">
        <v>0</v>
      </c>
      <c r="I168" s="271">
        <v>0</v>
      </c>
      <c r="J168" s="272">
        <v>0</v>
      </c>
      <c r="K168" s="273">
        <v>186000</v>
      </c>
      <c r="L168" s="270">
        <v>0</v>
      </c>
      <c r="M168" s="271">
        <v>0</v>
      </c>
      <c r="N168" s="271">
        <v>0</v>
      </c>
      <c r="O168" s="271">
        <v>0</v>
      </c>
      <c r="P168" s="272">
        <v>0</v>
      </c>
      <c r="Q168" s="273">
        <v>0</v>
      </c>
      <c r="R168" s="83">
        <v>14706.67</v>
      </c>
      <c r="S168" s="85">
        <f>VLOOKUP(B168,'[2]Resumo do Aging List - Contabil'!$C:$S,17,0)</f>
        <v>186000</v>
      </c>
      <c r="T168" t="b">
        <f t="shared" si="5"/>
        <v>0</v>
      </c>
      <c r="U168" s="85">
        <f>VLOOKUP(B168,'[3]Resumo do Aging List - Contabil'!$B:$R,17,0)</f>
        <v>186000</v>
      </c>
      <c r="V168" t="b">
        <f t="shared" si="6"/>
        <v>0</v>
      </c>
    </row>
    <row r="169" spans="2:22" ht="15.75" thickBot="1" x14ac:dyDescent="0.25">
      <c r="B169" s="246" t="s">
        <v>566</v>
      </c>
      <c r="C169" s="223"/>
      <c r="D169" s="249">
        <v>0</v>
      </c>
      <c r="E169" s="224">
        <v>0</v>
      </c>
      <c r="F169" s="224">
        <v>0</v>
      </c>
      <c r="G169" s="224">
        <v>0</v>
      </c>
      <c r="H169" s="224">
        <v>0</v>
      </c>
      <c r="I169" s="224">
        <v>0</v>
      </c>
      <c r="J169" s="228">
        <v>0</v>
      </c>
      <c r="K169" s="259">
        <v>0</v>
      </c>
      <c r="L169" s="227">
        <v>10327.33</v>
      </c>
      <c r="M169" s="224">
        <v>4379.34</v>
      </c>
      <c r="N169" s="224">
        <v>0</v>
      </c>
      <c r="O169" s="224">
        <v>0</v>
      </c>
      <c r="P169" s="228">
        <v>0</v>
      </c>
      <c r="Q169" s="259">
        <v>14706.67</v>
      </c>
      <c r="R169" s="83">
        <v>41990</v>
      </c>
      <c r="S169" s="85">
        <f>VLOOKUP(B169,'[2]Resumo do Aging List - Contabil'!$C:$S,17,0)</f>
        <v>39364.339999999997</v>
      </c>
      <c r="T169" t="b">
        <f t="shared" si="5"/>
        <v>0</v>
      </c>
      <c r="U169" s="85">
        <f>VLOOKUP(B169,'[3]Resumo do Aging List - Contabil'!$B:$R,17,0)</f>
        <v>39364.339999999997</v>
      </c>
      <c r="V169" t="b">
        <f t="shared" si="6"/>
        <v>0</v>
      </c>
    </row>
    <row r="170" spans="2:22" ht="15.75" thickBot="1" x14ac:dyDescent="0.25">
      <c r="B170" s="275" t="s">
        <v>70</v>
      </c>
      <c r="C170" s="223"/>
      <c r="D170" s="270">
        <v>41990</v>
      </c>
      <c r="E170" s="271">
        <v>0</v>
      </c>
      <c r="F170" s="271">
        <v>0</v>
      </c>
      <c r="G170" s="271">
        <v>0</v>
      </c>
      <c r="H170" s="271">
        <v>0</v>
      </c>
      <c r="I170" s="271">
        <v>0</v>
      </c>
      <c r="J170" s="272">
        <v>0</v>
      </c>
      <c r="K170" s="273">
        <v>41990</v>
      </c>
      <c r="L170" s="270">
        <v>0</v>
      </c>
      <c r="M170" s="271">
        <v>0</v>
      </c>
      <c r="N170" s="271">
        <v>0</v>
      </c>
      <c r="O170" s="271">
        <v>0</v>
      </c>
      <c r="P170" s="272">
        <v>0</v>
      </c>
      <c r="Q170" s="273">
        <v>0</v>
      </c>
      <c r="R170" s="86">
        <v>70000</v>
      </c>
      <c r="S170" s="87">
        <f>VLOOKUP(B170,'[2]Resumo do Aging List - Contabil'!$C:$S,17,0)</f>
        <v>41990</v>
      </c>
      <c r="T170" s="88" t="b">
        <f t="shared" si="5"/>
        <v>0</v>
      </c>
      <c r="U170" s="85">
        <f>VLOOKUP(B170,'[3]Resumo do Aging List - Contabil'!$B:$R,17,0)</f>
        <v>41990</v>
      </c>
      <c r="V170" t="b">
        <f t="shared" si="6"/>
        <v>0</v>
      </c>
    </row>
    <row r="171" spans="2:22" ht="15" x14ac:dyDescent="0.2">
      <c r="B171" s="246" t="s">
        <v>323</v>
      </c>
      <c r="C171" s="223"/>
      <c r="D171" s="249">
        <v>70000</v>
      </c>
      <c r="E171" s="224">
        <v>0</v>
      </c>
      <c r="F171" s="224">
        <v>0</v>
      </c>
      <c r="G171" s="224">
        <v>0</v>
      </c>
      <c r="H171" s="224">
        <v>0</v>
      </c>
      <c r="I171" s="224">
        <v>0</v>
      </c>
      <c r="J171" s="228">
        <v>0</v>
      </c>
      <c r="K171" s="259">
        <v>70000</v>
      </c>
      <c r="L171" s="227">
        <v>0</v>
      </c>
      <c r="M171" s="224">
        <v>0</v>
      </c>
      <c r="N171" s="224">
        <v>0</v>
      </c>
      <c r="O171" s="224">
        <v>0</v>
      </c>
      <c r="P171" s="228">
        <v>0</v>
      </c>
      <c r="Q171" s="259">
        <v>0</v>
      </c>
      <c r="R171" s="83">
        <v>93525</v>
      </c>
      <c r="S171" s="85">
        <f>VLOOKUP(B171,'[2]Resumo do Aging List - Contabil'!$C:$S,17,0)</f>
        <v>291724</v>
      </c>
      <c r="T171" t="b">
        <f t="shared" si="5"/>
        <v>0</v>
      </c>
      <c r="U171" s="85">
        <f>VLOOKUP(B171,'[3]Resumo do Aging List - Contabil'!$B:$R,17,0)</f>
        <v>291724</v>
      </c>
      <c r="V171" t="b">
        <f t="shared" si="6"/>
        <v>0</v>
      </c>
    </row>
    <row r="172" spans="2:22" ht="15" x14ac:dyDescent="0.2">
      <c r="B172" s="246" t="s">
        <v>457</v>
      </c>
      <c r="C172" s="223"/>
      <c r="D172" s="249">
        <v>0</v>
      </c>
      <c r="E172" s="224">
        <v>0</v>
      </c>
      <c r="F172" s="224">
        <v>93525</v>
      </c>
      <c r="G172" s="224">
        <v>0</v>
      </c>
      <c r="H172" s="224">
        <v>0</v>
      </c>
      <c r="I172" s="224">
        <v>0</v>
      </c>
      <c r="J172" s="228">
        <v>0</v>
      </c>
      <c r="K172" s="259">
        <v>93525</v>
      </c>
      <c r="L172" s="227">
        <v>0</v>
      </c>
      <c r="M172" s="224">
        <v>0</v>
      </c>
      <c r="N172" s="224">
        <v>0</v>
      </c>
      <c r="O172" s="224">
        <v>0</v>
      </c>
      <c r="P172" s="228">
        <v>0</v>
      </c>
      <c r="Q172" s="259">
        <v>0</v>
      </c>
      <c r="R172" s="83">
        <v>6600</v>
      </c>
      <c r="S172" s="85" t="e">
        <f>VLOOKUP(B172,'[2]Resumo do Aging List - Contabil'!$C:$S,17,0)</f>
        <v>#N/A</v>
      </c>
      <c r="T172" t="e">
        <f t="shared" si="5"/>
        <v>#N/A</v>
      </c>
      <c r="U172" s="85" t="e">
        <f>VLOOKUP(B172,'[3]Resumo do Aging List - Contabil'!$B:$R,17,0)</f>
        <v>#N/A</v>
      </c>
      <c r="V172" t="e">
        <f t="shared" si="6"/>
        <v>#N/A</v>
      </c>
    </row>
    <row r="173" spans="2:22" ht="15.75" thickBot="1" x14ac:dyDescent="0.25">
      <c r="B173" s="281" t="s">
        <v>506</v>
      </c>
      <c r="C173" s="223"/>
      <c r="D173" s="270">
        <v>6600</v>
      </c>
      <c r="E173" s="271">
        <v>0</v>
      </c>
      <c r="F173" s="271">
        <v>0</v>
      </c>
      <c r="G173" s="271">
        <v>0</v>
      </c>
      <c r="H173" s="271">
        <v>0</v>
      </c>
      <c r="I173" s="271">
        <v>0</v>
      </c>
      <c r="J173" s="272">
        <v>0</v>
      </c>
      <c r="K173" s="273">
        <v>6600</v>
      </c>
      <c r="L173" s="270">
        <v>0</v>
      </c>
      <c r="M173" s="271">
        <v>0</v>
      </c>
      <c r="N173" s="271">
        <v>0</v>
      </c>
      <c r="O173" s="271">
        <v>0</v>
      </c>
      <c r="P173" s="272">
        <v>0</v>
      </c>
      <c r="Q173" s="273">
        <v>0</v>
      </c>
      <c r="R173" s="86">
        <v>62310</v>
      </c>
      <c r="S173" s="87">
        <f>VLOOKUP(B173,'[2]Resumo do Aging List - Contabil'!$C:$S,17,0)</f>
        <v>6600</v>
      </c>
      <c r="T173" s="88" t="b">
        <f t="shared" si="5"/>
        <v>0</v>
      </c>
      <c r="U173" s="85">
        <f>VLOOKUP(B173,'[3]Resumo do Aging List - Contabil'!$B:$R,17,0)</f>
        <v>6600</v>
      </c>
      <c r="V173" t="b">
        <f t="shared" si="6"/>
        <v>0</v>
      </c>
    </row>
    <row r="174" spans="2:22" ht="15.75" thickBot="1" x14ac:dyDescent="0.25">
      <c r="B174" s="246" t="s">
        <v>1001</v>
      </c>
      <c r="C174" s="223"/>
      <c r="D174" s="249">
        <v>0</v>
      </c>
      <c r="E174" s="224">
        <v>0</v>
      </c>
      <c r="F174" s="224">
        <v>0</v>
      </c>
      <c r="G174" s="224">
        <v>0</v>
      </c>
      <c r="H174" s="224">
        <v>0</v>
      </c>
      <c r="I174" s="224">
        <v>0</v>
      </c>
      <c r="J174" s="228">
        <v>0</v>
      </c>
      <c r="K174" s="259">
        <v>0</v>
      </c>
      <c r="L174" s="227">
        <v>0</v>
      </c>
      <c r="M174" s="224">
        <v>62310</v>
      </c>
      <c r="N174" s="224">
        <v>0</v>
      </c>
      <c r="O174" s="224">
        <v>0</v>
      </c>
      <c r="P174" s="228">
        <v>0</v>
      </c>
      <c r="Q174" s="259">
        <v>62310</v>
      </c>
      <c r="R174" s="83">
        <v>4780.38</v>
      </c>
      <c r="S174" s="85">
        <f>VLOOKUP(B174,'[2]Resumo do Aging List - Contabil'!$C:$S,17,0)</f>
        <v>151410</v>
      </c>
      <c r="T174" t="b">
        <f t="shared" si="5"/>
        <v>0</v>
      </c>
      <c r="U174" s="85">
        <f>VLOOKUP(B174,'[3]Resumo do Aging List - Contabil'!$B:$R,17,0)</f>
        <v>151410</v>
      </c>
      <c r="V174" t="b">
        <f t="shared" si="6"/>
        <v>0</v>
      </c>
    </row>
    <row r="175" spans="2:22" ht="15" x14ac:dyDescent="0.2">
      <c r="B175" s="245" t="s">
        <v>558</v>
      </c>
      <c r="C175" s="223"/>
      <c r="D175" s="249">
        <v>0</v>
      </c>
      <c r="E175" s="224">
        <v>0</v>
      </c>
      <c r="F175" s="224">
        <v>0</v>
      </c>
      <c r="G175" s="224">
        <v>3186.92</v>
      </c>
      <c r="H175" s="224">
        <v>1593.46</v>
      </c>
      <c r="I175" s="224">
        <v>0</v>
      </c>
      <c r="J175" s="228">
        <v>0</v>
      </c>
      <c r="K175" s="259">
        <v>4780.38</v>
      </c>
      <c r="L175" s="227">
        <v>0</v>
      </c>
      <c r="M175" s="224">
        <v>0</v>
      </c>
      <c r="N175" s="224">
        <v>0</v>
      </c>
      <c r="O175" s="224">
        <v>0</v>
      </c>
      <c r="P175" s="228">
        <v>0</v>
      </c>
      <c r="Q175" s="259">
        <v>0</v>
      </c>
      <c r="R175" s="83">
        <v>14788.12</v>
      </c>
      <c r="S175" s="85">
        <f>VLOOKUP(B175,'[2]Resumo do Aging List - Contabil'!$C:$S,17,0)</f>
        <v>27984.880000000001</v>
      </c>
      <c r="T175" t="b">
        <f t="shared" si="5"/>
        <v>0</v>
      </c>
      <c r="U175" s="85">
        <f>VLOOKUP(B175,'[3]Resumo do Aging List - Contabil'!$B:$R,17,0)</f>
        <v>27984.880000000001</v>
      </c>
      <c r="V175" t="b">
        <f t="shared" si="6"/>
        <v>0</v>
      </c>
    </row>
    <row r="176" spans="2:22" ht="15" x14ac:dyDescent="0.2">
      <c r="B176" s="274" t="s">
        <v>324</v>
      </c>
      <c r="C176" s="223"/>
      <c r="D176" s="270">
        <v>14788.12</v>
      </c>
      <c r="E176" s="271">
        <v>0</v>
      </c>
      <c r="F176" s="271">
        <v>0</v>
      </c>
      <c r="G176" s="271">
        <v>0</v>
      </c>
      <c r="H176" s="271">
        <v>0</v>
      </c>
      <c r="I176" s="271">
        <v>0</v>
      </c>
      <c r="J176" s="272">
        <v>0</v>
      </c>
      <c r="K176" s="273">
        <v>14788.12</v>
      </c>
      <c r="L176" s="270">
        <v>0</v>
      </c>
      <c r="M176" s="271">
        <v>0</v>
      </c>
      <c r="N176" s="271">
        <v>0</v>
      </c>
      <c r="O176" s="271">
        <v>0</v>
      </c>
      <c r="P176" s="272">
        <v>0</v>
      </c>
      <c r="Q176" s="273">
        <v>0</v>
      </c>
      <c r="R176" s="83">
        <v>195000</v>
      </c>
      <c r="S176" s="85">
        <f>VLOOKUP(B176,'[2]Resumo do Aging List - Contabil'!$C:$S,17,0)</f>
        <v>14788.12</v>
      </c>
      <c r="T176" t="b">
        <f t="shared" si="5"/>
        <v>0</v>
      </c>
      <c r="U176" s="85">
        <f>VLOOKUP(B176,'[3]Resumo do Aging List - Contabil'!$B:$R,17,0)</f>
        <v>14788.12</v>
      </c>
      <c r="V176" t="b">
        <f t="shared" si="6"/>
        <v>0</v>
      </c>
    </row>
    <row r="177" spans="2:22" ht="15" x14ac:dyDescent="0.2">
      <c r="B177" s="246" t="s">
        <v>71</v>
      </c>
      <c r="C177" s="223"/>
      <c r="D177" s="249">
        <v>0</v>
      </c>
      <c r="E177" s="224">
        <v>0</v>
      </c>
      <c r="F177" s="224">
        <v>0</v>
      </c>
      <c r="G177" s="224">
        <v>48750</v>
      </c>
      <c r="H177" s="224">
        <v>48750</v>
      </c>
      <c r="I177" s="224">
        <v>48750</v>
      </c>
      <c r="J177" s="228">
        <v>48750</v>
      </c>
      <c r="K177" s="259">
        <v>195000</v>
      </c>
      <c r="L177" s="227">
        <v>0</v>
      </c>
      <c r="M177" s="224">
        <v>0</v>
      </c>
      <c r="N177" s="224">
        <v>0</v>
      </c>
      <c r="O177" s="224">
        <v>0</v>
      </c>
      <c r="P177" s="228">
        <v>0</v>
      </c>
      <c r="Q177" s="259">
        <v>0</v>
      </c>
      <c r="R177" s="83">
        <v>195840</v>
      </c>
      <c r="S177" s="85">
        <f>VLOOKUP(B177,'[2]Resumo do Aging List - Contabil'!$C:$S,17,0)</f>
        <v>306100</v>
      </c>
      <c r="T177" t="b">
        <f t="shared" si="5"/>
        <v>0</v>
      </c>
      <c r="U177" s="85">
        <f>VLOOKUP(B177,'[3]Resumo do Aging List - Contabil'!$B:$R,17,0)</f>
        <v>306100</v>
      </c>
      <c r="V177" t="b">
        <f t="shared" si="6"/>
        <v>0</v>
      </c>
    </row>
    <row r="178" spans="2:22" ht="15" x14ac:dyDescent="0.2">
      <c r="B178" s="246" t="s">
        <v>459</v>
      </c>
      <c r="C178" s="223"/>
      <c r="D178" s="249">
        <v>0</v>
      </c>
      <c r="E178" s="224">
        <v>0</v>
      </c>
      <c r="F178" s="224">
        <v>0</v>
      </c>
      <c r="G178" s="224">
        <v>195840</v>
      </c>
      <c r="H178" s="224">
        <v>0</v>
      </c>
      <c r="I178" s="224">
        <v>0</v>
      </c>
      <c r="J178" s="228">
        <v>0</v>
      </c>
      <c r="K178" s="259">
        <v>195840</v>
      </c>
      <c r="L178" s="227">
        <v>0</v>
      </c>
      <c r="M178" s="224">
        <v>0</v>
      </c>
      <c r="N178" s="224">
        <v>0</v>
      </c>
      <c r="O178" s="224">
        <v>0</v>
      </c>
      <c r="P178" s="228">
        <v>0</v>
      </c>
      <c r="Q178" s="259">
        <v>0</v>
      </c>
      <c r="R178" s="86">
        <v>24140</v>
      </c>
      <c r="S178" s="87">
        <f>VLOOKUP(B178,'[2]Resumo do Aging List - Contabil'!$C:$S,17,0)</f>
        <v>1881667.5</v>
      </c>
      <c r="T178" s="88" t="b">
        <f t="shared" si="5"/>
        <v>0</v>
      </c>
      <c r="U178" s="85">
        <f>VLOOKUP(B178,'[3]Resumo do Aging List - Contabil'!$B:$R,17,0)</f>
        <v>1881667.5</v>
      </c>
      <c r="V178" t="b">
        <f t="shared" si="6"/>
        <v>0</v>
      </c>
    </row>
    <row r="179" spans="2:22" ht="15" x14ac:dyDescent="0.2">
      <c r="B179" s="246" t="s">
        <v>359</v>
      </c>
      <c r="C179" s="223"/>
      <c r="D179" s="249">
        <v>24140</v>
      </c>
      <c r="E179" s="224">
        <v>0</v>
      </c>
      <c r="F179" s="224">
        <v>0</v>
      </c>
      <c r="G179" s="224">
        <v>0</v>
      </c>
      <c r="H179" s="224">
        <v>0</v>
      </c>
      <c r="I179" s="224">
        <v>0</v>
      </c>
      <c r="J179" s="228">
        <v>0</v>
      </c>
      <c r="K179" s="259">
        <v>24140</v>
      </c>
      <c r="L179" s="227">
        <v>0</v>
      </c>
      <c r="M179" s="224">
        <v>0</v>
      </c>
      <c r="N179" s="224">
        <v>0</v>
      </c>
      <c r="O179" s="224">
        <v>0</v>
      </c>
      <c r="P179" s="228">
        <v>0</v>
      </c>
      <c r="Q179" s="259">
        <v>0</v>
      </c>
      <c r="R179" s="86">
        <v>169420</v>
      </c>
      <c r="S179" s="87">
        <f>VLOOKUP(B179,'[2]Resumo do Aging List - Contabil'!$C:$S,17,0)</f>
        <v>327289</v>
      </c>
      <c r="T179" s="88" t="b">
        <f t="shared" si="5"/>
        <v>0</v>
      </c>
      <c r="U179" s="85">
        <f>VLOOKUP(B179,'[3]Resumo do Aging List - Contabil'!$B:$R,17,0)</f>
        <v>327289</v>
      </c>
      <c r="V179" t="b">
        <f t="shared" si="6"/>
        <v>0</v>
      </c>
    </row>
    <row r="180" spans="2:22" ht="15.75" thickBot="1" x14ac:dyDescent="0.25">
      <c r="B180" s="240" t="s">
        <v>423</v>
      </c>
      <c r="C180" s="223"/>
      <c r="D180" s="249">
        <v>0</v>
      </c>
      <c r="E180" s="224">
        <v>0</v>
      </c>
      <c r="F180" s="224">
        <v>0</v>
      </c>
      <c r="G180" s="224">
        <v>0</v>
      </c>
      <c r="H180" s="224">
        <v>0</v>
      </c>
      <c r="I180" s="224">
        <v>0</v>
      </c>
      <c r="J180" s="228">
        <v>0</v>
      </c>
      <c r="K180" s="259">
        <v>0</v>
      </c>
      <c r="L180" s="227">
        <v>94550</v>
      </c>
      <c r="M180" s="224">
        <v>31310</v>
      </c>
      <c r="N180" s="224">
        <v>25560</v>
      </c>
      <c r="O180" s="224">
        <v>18000</v>
      </c>
      <c r="P180" s="228">
        <v>0</v>
      </c>
      <c r="Q180" s="259">
        <v>169420</v>
      </c>
      <c r="R180" s="83">
        <v>98740.1</v>
      </c>
      <c r="S180" s="85">
        <f>VLOOKUP(B180,'[2]Resumo do Aging List - Contabil'!$C:$S,17,0)</f>
        <v>218870</v>
      </c>
      <c r="T180" t="b">
        <f t="shared" si="5"/>
        <v>0</v>
      </c>
      <c r="U180" s="85">
        <f>VLOOKUP(B180,'[3]Resumo do Aging List - Contabil'!$B:$R,17,0)</f>
        <v>218870</v>
      </c>
      <c r="V180" t="b">
        <f t="shared" si="6"/>
        <v>0</v>
      </c>
    </row>
    <row r="181" spans="2:22" ht="15" x14ac:dyDescent="0.2">
      <c r="B181" s="280" t="s">
        <v>405</v>
      </c>
      <c r="C181" s="223"/>
      <c r="D181" s="270">
        <v>49370.060000000005</v>
      </c>
      <c r="E181" s="271">
        <v>24685.030000000002</v>
      </c>
      <c r="F181" s="271">
        <v>24685.010000000002</v>
      </c>
      <c r="G181" s="271">
        <v>0</v>
      </c>
      <c r="H181" s="271">
        <v>0</v>
      </c>
      <c r="I181" s="271">
        <v>0</v>
      </c>
      <c r="J181" s="272">
        <v>0</v>
      </c>
      <c r="K181" s="273">
        <v>98740.1</v>
      </c>
      <c r="L181" s="270">
        <v>0</v>
      </c>
      <c r="M181" s="271">
        <v>0</v>
      </c>
      <c r="N181" s="271">
        <v>0</v>
      </c>
      <c r="O181" s="271">
        <v>0</v>
      </c>
      <c r="P181" s="272">
        <v>0</v>
      </c>
      <c r="Q181" s="273">
        <v>0</v>
      </c>
      <c r="R181" s="83">
        <v>195507</v>
      </c>
      <c r="S181" s="85">
        <f>VLOOKUP(B181,'[2]Resumo do Aging List - Contabil'!$C:$S,17,0)</f>
        <v>98740.1</v>
      </c>
      <c r="T181" t="b">
        <f t="shared" si="5"/>
        <v>0</v>
      </c>
      <c r="U181" s="85">
        <f>VLOOKUP(B181,'[3]Resumo do Aging List - Contabil'!$B:$R,17,0)</f>
        <v>98740.1</v>
      </c>
      <c r="V181" t="b">
        <f t="shared" si="6"/>
        <v>0</v>
      </c>
    </row>
    <row r="182" spans="2:22" ht="15" x14ac:dyDescent="0.2">
      <c r="B182" s="274" t="s">
        <v>507</v>
      </c>
      <c r="C182" s="223"/>
      <c r="D182" s="270">
        <v>195507</v>
      </c>
      <c r="E182" s="271">
        <v>0</v>
      </c>
      <c r="F182" s="271">
        <v>0</v>
      </c>
      <c r="G182" s="271">
        <v>0</v>
      </c>
      <c r="H182" s="271">
        <v>0</v>
      </c>
      <c r="I182" s="271">
        <v>0</v>
      </c>
      <c r="J182" s="272">
        <v>0</v>
      </c>
      <c r="K182" s="273">
        <v>195507</v>
      </c>
      <c r="L182" s="270">
        <v>0</v>
      </c>
      <c r="M182" s="271">
        <v>0</v>
      </c>
      <c r="N182" s="271">
        <v>0</v>
      </c>
      <c r="O182" s="271">
        <v>0</v>
      </c>
      <c r="P182" s="272">
        <v>0</v>
      </c>
      <c r="Q182" s="273">
        <v>0</v>
      </c>
      <c r="R182" s="83">
        <v>518000</v>
      </c>
      <c r="S182" s="85">
        <f>VLOOKUP(B182,'[2]Resumo do Aging List - Contabil'!$C:$S,17,0)</f>
        <v>195507</v>
      </c>
      <c r="T182" t="b">
        <f t="shared" si="5"/>
        <v>0</v>
      </c>
      <c r="U182" s="85">
        <f>VLOOKUP(B182,'[3]Resumo do Aging List - Contabil'!$B:$R,17,0)</f>
        <v>195507</v>
      </c>
      <c r="V182" t="b">
        <f t="shared" si="6"/>
        <v>0</v>
      </c>
    </row>
    <row r="183" spans="2:22" ht="15.75" thickBot="1" x14ac:dyDescent="0.25">
      <c r="B183" s="240" t="s">
        <v>696</v>
      </c>
      <c r="C183" s="223"/>
      <c r="D183" s="249">
        <v>0</v>
      </c>
      <c r="E183" s="224">
        <v>0</v>
      </c>
      <c r="F183" s="224">
        <v>0</v>
      </c>
      <c r="G183" s="224">
        <v>0</v>
      </c>
      <c r="H183" s="224">
        <v>0</v>
      </c>
      <c r="I183" s="224">
        <v>0</v>
      </c>
      <c r="J183" s="228">
        <v>0</v>
      </c>
      <c r="K183" s="259">
        <v>0</v>
      </c>
      <c r="L183" s="227">
        <v>518000</v>
      </c>
      <c r="M183" s="224">
        <v>0</v>
      </c>
      <c r="N183" s="224">
        <v>0</v>
      </c>
      <c r="O183" s="224">
        <v>0</v>
      </c>
      <c r="P183" s="228">
        <v>0</v>
      </c>
      <c r="Q183" s="259">
        <v>518000</v>
      </c>
      <c r="R183" s="83">
        <v>64940</v>
      </c>
      <c r="S183" s="85">
        <f>VLOOKUP(B183,'[2]Resumo do Aging List - Contabil'!$C:$S,17,0)</f>
        <v>1135546.43</v>
      </c>
      <c r="T183" t="b">
        <f t="shared" si="5"/>
        <v>0</v>
      </c>
      <c r="U183" s="85">
        <f>VLOOKUP(B183,'[3]Resumo do Aging List - Contabil'!$B:$R,17,0)</f>
        <v>1135546.43</v>
      </c>
      <c r="V183" t="b">
        <f t="shared" si="6"/>
        <v>0</v>
      </c>
    </row>
    <row r="184" spans="2:22" ht="15.75" thickBot="1" x14ac:dyDescent="0.25">
      <c r="B184" s="240" t="s">
        <v>1006</v>
      </c>
      <c r="C184" s="223"/>
      <c r="D184" s="249">
        <v>0</v>
      </c>
      <c r="E184" s="224">
        <v>0</v>
      </c>
      <c r="F184" s="224">
        <v>0</v>
      </c>
      <c r="G184" s="224">
        <v>0</v>
      </c>
      <c r="H184" s="224">
        <v>0</v>
      </c>
      <c r="I184" s="224">
        <v>0</v>
      </c>
      <c r="J184" s="228">
        <v>0</v>
      </c>
      <c r="K184" s="259">
        <v>0</v>
      </c>
      <c r="L184" s="227">
        <v>64940</v>
      </c>
      <c r="M184" s="224">
        <v>0</v>
      </c>
      <c r="N184" s="224">
        <v>0</v>
      </c>
      <c r="O184" s="224">
        <v>0</v>
      </c>
      <c r="P184" s="228">
        <v>0</v>
      </c>
      <c r="Q184" s="259">
        <v>64940</v>
      </c>
      <c r="R184" s="83">
        <v>1100</v>
      </c>
      <c r="S184" s="85">
        <f>VLOOKUP(B184,'[2]Resumo do Aging List - Contabil'!$C:$S,17,0)</f>
        <v>170010</v>
      </c>
      <c r="T184" t="b">
        <f t="shared" si="5"/>
        <v>0</v>
      </c>
      <c r="U184" s="85">
        <f>VLOOKUP(B184,'[3]Resumo do Aging List - Contabil'!$B:$R,17,0)</f>
        <v>170010</v>
      </c>
      <c r="V184" t="b">
        <f t="shared" si="6"/>
        <v>0</v>
      </c>
    </row>
    <row r="185" spans="2:22" ht="15.75" thickBot="1" x14ac:dyDescent="0.25">
      <c r="B185" s="245" t="s">
        <v>460</v>
      </c>
      <c r="C185" s="223"/>
      <c r="D185" s="249">
        <v>0</v>
      </c>
      <c r="E185" s="224">
        <v>1100</v>
      </c>
      <c r="F185" s="224">
        <v>0</v>
      </c>
      <c r="G185" s="224">
        <v>0</v>
      </c>
      <c r="H185" s="224">
        <v>0</v>
      </c>
      <c r="I185" s="224">
        <v>0</v>
      </c>
      <c r="J185" s="228">
        <v>0</v>
      </c>
      <c r="K185" s="259">
        <v>1100</v>
      </c>
      <c r="L185" s="227">
        <v>0</v>
      </c>
      <c r="M185" s="224">
        <v>0</v>
      </c>
      <c r="N185" s="224">
        <v>0</v>
      </c>
      <c r="O185" s="224">
        <v>0</v>
      </c>
      <c r="P185" s="228">
        <v>0</v>
      </c>
      <c r="Q185" s="259">
        <v>0</v>
      </c>
      <c r="R185" s="83">
        <v>24000</v>
      </c>
      <c r="S185" s="85" t="e">
        <f>VLOOKUP(B185,'[2]Resumo do Aging List - Contabil'!$C:$S,17,0)</f>
        <v>#N/A</v>
      </c>
      <c r="T185" t="e">
        <f t="shared" si="5"/>
        <v>#N/A</v>
      </c>
      <c r="U185" s="85" t="e">
        <f>VLOOKUP(B185,'[3]Resumo do Aging List - Contabil'!$B:$R,17,0)</f>
        <v>#N/A</v>
      </c>
      <c r="V185" t="e">
        <f t="shared" si="6"/>
        <v>#N/A</v>
      </c>
    </row>
    <row r="186" spans="2:22" ht="15.75" thickBot="1" x14ac:dyDescent="0.25">
      <c r="B186" s="248" t="s">
        <v>67</v>
      </c>
      <c r="C186" s="223"/>
      <c r="D186" s="249">
        <v>24000</v>
      </c>
      <c r="E186" s="255">
        <v>0</v>
      </c>
      <c r="F186" s="255">
        <v>0</v>
      </c>
      <c r="G186" s="224">
        <v>0</v>
      </c>
      <c r="H186" s="224">
        <v>0</v>
      </c>
      <c r="I186" s="224">
        <v>0</v>
      </c>
      <c r="J186" s="228">
        <v>0</v>
      </c>
      <c r="K186" s="259">
        <v>24000</v>
      </c>
      <c r="L186" s="227">
        <v>0</v>
      </c>
      <c r="M186" s="224">
        <v>0</v>
      </c>
      <c r="N186" s="224">
        <v>0</v>
      </c>
      <c r="O186" s="224">
        <v>0</v>
      </c>
      <c r="P186" s="228">
        <v>0</v>
      </c>
      <c r="Q186" s="259">
        <v>0</v>
      </c>
      <c r="R186" s="83">
        <v>76154</v>
      </c>
      <c r="S186" s="85">
        <f>VLOOKUP(B186,'[2]Resumo do Aging List - Contabil'!$C:$S,17,0)</f>
        <v>553763</v>
      </c>
      <c r="T186" t="b">
        <f t="shared" si="5"/>
        <v>0</v>
      </c>
      <c r="U186" s="85">
        <f>VLOOKUP(B186,'[3]Resumo do Aging List - Contabil'!$B:$R,17,0)</f>
        <v>553763</v>
      </c>
      <c r="V186" t="b">
        <f t="shared" si="6"/>
        <v>0</v>
      </c>
    </row>
    <row r="187" spans="2:22" ht="15" x14ac:dyDescent="0.2">
      <c r="B187" s="245" t="s">
        <v>837</v>
      </c>
      <c r="C187" s="223"/>
      <c r="D187" s="249">
        <v>0</v>
      </c>
      <c r="E187" s="224">
        <v>0</v>
      </c>
      <c r="F187" s="224">
        <v>0</v>
      </c>
      <c r="G187" s="224">
        <v>0</v>
      </c>
      <c r="H187" s="224">
        <v>0</v>
      </c>
      <c r="I187" s="224">
        <v>0</v>
      </c>
      <c r="J187" s="228">
        <v>0</v>
      </c>
      <c r="K187" s="259">
        <v>0</v>
      </c>
      <c r="L187" s="227">
        <v>76154</v>
      </c>
      <c r="M187" s="224">
        <v>0</v>
      </c>
      <c r="N187" s="224">
        <v>0</v>
      </c>
      <c r="O187" s="224">
        <v>0</v>
      </c>
      <c r="P187" s="228">
        <v>0</v>
      </c>
      <c r="Q187" s="259">
        <v>76154</v>
      </c>
      <c r="R187" s="83">
        <v>119214.28</v>
      </c>
      <c r="S187" s="85" t="e">
        <f>VLOOKUP(B187,'[2]Resumo do Aging List - Contabil'!$C:$S,17,0)</f>
        <v>#N/A</v>
      </c>
      <c r="T187" t="e">
        <f t="shared" si="5"/>
        <v>#N/A</v>
      </c>
      <c r="U187" s="85" t="e">
        <f>VLOOKUP(B187,'[3]Resumo do Aging List - Contabil'!$B:$R,17,0)</f>
        <v>#N/A</v>
      </c>
      <c r="V187" t="e">
        <f t="shared" si="6"/>
        <v>#N/A</v>
      </c>
    </row>
    <row r="188" spans="2:22" ht="15" x14ac:dyDescent="0.2">
      <c r="B188" s="246" t="s">
        <v>462</v>
      </c>
      <c r="C188" s="223"/>
      <c r="D188" s="249">
        <v>0</v>
      </c>
      <c r="E188" s="224">
        <v>0</v>
      </c>
      <c r="F188" s="224">
        <v>0</v>
      </c>
      <c r="G188" s="224">
        <v>0</v>
      </c>
      <c r="H188" s="224">
        <v>0</v>
      </c>
      <c r="I188" s="224">
        <v>0</v>
      </c>
      <c r="J188" s="228">
        <v>0</v>
      </c>
      <c r="K188" s="259">
        <v>0</v>
      </c>
      <c r="L188" s="227">
        <v>45990.47</v>
      </c>
      <c r="M188" s="224">
        <v>45990.47</v>
      </c>
      <c r="N188" s="224">
        <v>27233.34</v>
      </c>
      <c r="O188" s="224">
        <v>0</v>
      </c>
      <c r="P188" s="228">
        <v>0</v>
      </c>
      <c r="Q188" s="259">
        <v>119214.28</v>
      </c>
      <c r="R188" s="83">
        <v>25825</v>
      </c>
      <c r="S188" s="85">
        <f>VLOOKUP(B188,'[2]Resumo do Aging List - Contabil'!$C:$S,17,0)</f>
        <v>73223.81</v>
      </c>
      <c r="T188" t="b">
        <f t="shared" si="5"/>
        <v>0</v>
      </c>
      <c r="U188" s="85">
        <f>VLOOKUP(B188,'[3]Resumo do Aging List - Contabil'!$B:$R,17,0)</f>
        <v>73223.81</v>
      </c>
      <c r="V188" t="b">
        <f t="shared" si="6"/>
        <v>0</v>
      </c>
    </row>
    <row r="189" spans="2:22" ht="15" x14ac:dyDescent="0.2">
      <c r="B189" s="246" t="s">
        <v>697</v>
      </c>
      <c r="C189" s="223"/>
      <c r="D189" s="249">
        <v>0</v>
      </c>
      <c r="E189" s="224">
        <v>0</v>
      </c>
      <c r="F189" s="224">
        <v>0</v>
      </c>
      <c r="G189" s="224">
        <v>0</v>
      </c>
      <c r="H189" s="224">
        <v>0</v>
      </c>
      <c r="I189" s="224">
        <v>0</v>
      </c>
      <c r="J189" s="228">
        <v>0</v>
      </c>
      <c r="K189" s="259">
        <v>0</v>
      </c>
      <c r="L189" s="227">
        <v>25825</v>
      </c>
      <c r="M189" s="224">
        <v>0</v>
      </c>
      <c r="N189" s="224">
        <v>0</v>
      </c>
      <c r="O189" s="224">
        <v>0</v>
      </c>
      <c r="P189" s="228">
        <v>0</v>
      </c>
      <c r="Q189" s="259">
        <v>25825</v>
      </c>
      <c r="R189" s="86">
        <v>311426.33999999997</v>
      </c>
      <c r="S189" s="87">
        <f>VLOOKUP(B189,'[2]Resumo do Aging List - Contabil'!$C:$S,17,0)</f>
        <v>25560</v>
      </c>
      <c r="T189" s="88" t="b">
        <f t="shared" si="5"/>
        <v>0</v>
      </c>
      <c r="U189" s="85">
        <f>VLOOKUP(B189,'[3]Resumo do Aging List - Contabil'!$B:$R,17,0)</f>
        <v>25560</v>
      </c>
      <c r="V189" t="b">
        <f t="shared" si="6"/>
        <v>0</v>
      </c>
    </row>
    <row r="190" spans="2:22" ht="15" x14ac:dyDescent="0.2">
      <c r="B190" s="246" t="s">
        <v>463</v>
      </c>
      <c r="C190" s="223"/>
      <c r="D190" s="249">
        <v>0</v>
      </c>
      <c r="E190" s="224">
        <v>0</v>
      </c>
      <c r="F190" s="224">
        <v>0</v>
      </c>
      <c r="G190" s="224">
        <v>0</v>
      </c>
      <c r="H190" s="224">
        <v>0</v>
      </c>
      <c r="I190" s="224">
        <v>0</v>
      </c>
      <c r="J190" s="228">
        <v>0</v>
      </c>
      <c r="K190" s="259">
        <v>0</v>
      </c>
      <c r="L190" s="227">
        <v>84764.33</v>
      </c>
      <c r="M190" s="224">
        <v>75714.33</v>
      </c>
      <c r="N190" s="224">
        <v>75714.33</v>
      </c>
      <c r="O190" s="224">
        <v>47933.35</v>
      </c>
      <c r="P190" s="228">
        <v>27300</v>
      </c>
      <c r="Q190" s="259">
        <v>311426.33999999997</v>
      </c>
      <c r="R190" s="83">
        <v>89266.66</v>
      </c>
      <c r="S190" s="85">
        <f>VLOOKUP(B190,'[2]Resumo do Aging List - Contabil'!$C:$S,17,0)</f>
        <v>226662.00999999998</v>
      </c>
      <c r="T190" t="b">
        <f t="shared" si="5"/>
        <v>0</v>
      </c>
      <c r="U190" s="85">
        <f>VLOOKUP(B190,'[3]Resumo do Aging List - Contabil'!$B:$R,17,0)</f>
        <v>226662.00999999998</v>
      </c>
      <c r="V190" t="b">
        <f t="shared" si="6"/>
        <v>0</v>
      </c>
    </row>
    <row r="191" spans="2:22" ht="15.75" thickBot="1" x14ac:dyDescent="0.25">
      <c r="B191" s="240" t="s">
        <v>508</v>
      </c>
      <c r="C191" s="223"/>
      <c r="D191" s="249">
        <v>0</v>
      </c>
      <c r="E191" s="224">
        <v>0</v>
      </c>
      <c r="F191" s="224">
        <v>0</v>
      </c>
      <c r="G191" s="224">
        <v>0</v>
      </c>
      <c r="H191" s="224">
        <v>0</v>
      </c>
      <c r="I191" s="224">
        <v>0</v>
      </c>
      <c r="J191" s="228">
        <v>0</v>
      </c>
      <c r="K191" s="259">
        <v>0</v>
      </c>
      <c r="L191" s="227">
        <v>54266.66</v>
      </c>
      <c r="M191" s="224">
        <v>17500</v>
      </c>
      <c r="N191" s="224">
        <v>17500</v>
      </c>
      <c r="O191" s="224">
        <v>0</v>
      </c>
      <c r="P191" s="228">
        <v>0</v>
      </c>
      <c r="Q191" s="259">
        <v>89266.66</v>
      </c>
      <c r="R191" s="83">
        <v>85300</v>
      </c>
      <c r="S191" s="85">
        <f>VLOOKUP(B191,'[2]Resumo do Aging List - Contabil'!$C:$S,17,0)</f>
        <v>35000</v>
      </c>
      <c r="T191" t="b">
        <f t="shared" si="5"/>
        <v>0</v>
      </c>
      <c r="U191" s="85">
        <f>VLOOKUP(B191,'[3]Resumo do Aging List - Contabil'!$B:$R,17,0)</f>
        <v>35000</v>
      </c>
      <c r="V191" t="b">
        <f t="shared" si="6"/>
        <v>0</v>
      </c>
    </row>
    <row r="192" spans="2:22" ht="15.75" thickBot="1" x14ac:dyDescent="0.25">
      <c r="B192" s="274" t="s">
        <v>1013</v>
      </c>
      <c r="C192" s="223"/>
      <c r="D192" s="270">
        <v>0</v>
      </c>
      <c r="E192" s="271">
        <v>0</v>
      </c>
      <c r="F192" s="271">
        <v>0</v>
      </c>
      <c r="G192" s="271">
        <v>0</v>
      </c>
      <c r="H192" s="271">
        <v>0</v>
      </c>
      <c r="I192" s="271">
        <v>0</v>
      </c>
      <c r="J192" s="272">
        <v>0</v>
      </c>
      <c r="K192" s="273">
        <v>0</v>
      </c>
      <c r="L192" s="270">
        <v>85300</v>
      </c>
      <c r="M192" s="271">
        <v>0</v>
      </c>
      <c r="N192" s="271">
        <v>0</v>
      </c>
      <c r="O192" s="271">
        <v>0</v>
      </c>
      <c r="P192" s="272">
        <v>0</v>
      </c>
      <c r="Q192" s="273">
        <v>85300</v>
      </c>
      <c r="R192" s="83">
        <v>80059</v>
      </c>
      <c r="S192" s="85">
        <f>VLOOKUP(B192,'[2]Resumo do Aging List - Contabil'!$C:$S,17,0)</f>
        <v>85300</v>
      </c>
      <c r="T192" t="b">
        <f t="shared" si="5"/>
        <v>0</v>
      </c>
      <c r="U192" s="85">
        <f>VLOOKUP(B192,'[3]Resumo do Aging List - Contabil'!$B:$R,17,0)</f>
        <v>85300</v>
      </c>
      <c r="V192" t="b">
        <f t="shared" si="6"/>
        <v>0</v>
      </c>
    </row>
    <row r="193" spans="2:22" ht="15" x14ac:dyDescent="0.2">
      <c r="B193" s="245" t="s">
        <v>915</v>
      </c>
      <c r="C193" s="223"/>
      <c r="D193" s="249">
        <v>0</v>
      </c>
      <c r="E193" s="224">
        <v>0</v>
      </c>
      <c r="F193" s="224">
        <v>0</v>
      </c>
      <c r="G193" s="224">
        <v>0</v>
      </c>
      <c r="H193" s="224">
        <v>0</v>
      </c>
      <c r="I193" s="224">
        <v>0</v>
      </c>
      <c r="J193" s="228">
        <v>0</v>
      </c>
      <c r="K193" s="259">
        <v>0</v>
      </c>
      <c r="L193" s="227">
        <v>80059</v>
      </c>
      <c r="M193" s="224">
        <v>0</v>
      </c>
      <c r="N193" s="224">
        <v>0</v>
      </c>
      <c r="O193" s="224">
        <v>0</v>
      </c>
      <c r="P193" s="228">
        <v>0</v>
      </c>
      <c r="Q193" s="259">
        <v>80059</v>
      </c>
      <c r="R193" s="83">
        <v>27600</v>
      </c>
      <c r="S193" s="85">
        <f>VLOOKUP(B193,'[2]Resumo do Aging List - Contabil'!$C:$S,17,0)</f>
        <v>257643</v>
      </c>
      <c r="T193" t="b">
        <f t="shared" si="5"/>
        <v>0</v>
      </c>
      <c r="U193" s="85">
        <f>VLOOKUP(B193,'[3]Resumo do Aging List - Contabil'!$B:$R,17,0)</f>
        <v>257643</v>
      </c>
      <c r="V193" t="b">
        <f t="shared" si="6"/>
        <v>0</v>
      </c>
    </row>
    <row r="194" spans="2:22" ht="15" x14ac:dyDescent="0.2">
      <c r="B194" s="246" t="s">
        <v>509</v>
      </c>
      <c r="C194" s="223"/>
      <c r="D194" s="249">
        <v>0</v>
      </c>
      <c r="E194" s="224">
        <v>0</v>
      </c>
      <c r="F194" s="224">
        <v>0</v>
      </c>
      <c r="G194" s="224">
        <v>4600</v>
      </c>
      <c r="H194" s="224">
        <v>4600</v>
      </c>
      <c r="I194" s="224">
        <v>4600</v>
      </c>
      <c r="J194" s="228">
        <v>4600</v>
      </c>
      <c r="K194" s="259">
        <v>18400</v>
      </c>
      <c r="L194" s="227">
        <v>4600</v>
      </c>
      <c r="M194" s="224">
        <v>4600</v>
      </c>
      <c r="N194" s="224">
        <v>0</v>
      </c>
      <c r="O194" s="224">
        <v>0</v>
      </c>
      <c r="P194" s="228">
        <v>0</v>
      </c>
      <c r="Q194" s="259">
        <v>9200</v>
      </c>
      <c r="R194" s="83">
        <v>502031.19999999995</v>
      </c>
      <c r="S194" s="85">
        <f>VLOOKUP(B194,'[2]Resumo do Aging List - Contabil'!$C:$S,17,0)</f>
        <v>23000</v>
      </c>
      <c r="T194" t="b">
        <f t="shared" si="5"/>
        <v>0</v>
      </c>
      <c r="U194" s="85">
        <f>VLOOKUP(B194,'[3]Resumo do Aging List - Contabil'!$B:$R,17,0)</f>
        <v>23000</v>
      </c>
      <c r="V194" t="b">
        <f t="shared" si="6"/>
        <v>0</v>
      </c>
    </row>
    <row r="195" spans="2:22" ht="15.75" thickBot="1" x14ac:dyDescent="0.25">
      <c r="B195" s="246" t="s">
        <v>476</v>
      </c>
      <c r="C195" s="223"/>
      <c r="D195" s="249">
        <v>0</v>
      </c>
      <c r="E195" s="224">
        <v>0</v>
      </c>
      <c r="F195" s="224">
        <v>0</v>
      </c>
      <c r="G195" s="224">
        <v>0</v>
      </c>
      <c r="H195" s="224">
        <v>0</v>
      </c>
      <c r="I195" s="224">
        <v>0</v>
      </c>
      <c r="J195" s="228">
        <v>0</v>
      </c>
      <c r="K195" s="259">
        <v>0</v>
      </c>
      <c r="L195" s="227">
        <v>83671.87</v>
      </c>
      <c r="M195" s="224">
        <v>83671.87</v>
      </c>
      <c r="N195" s="224">
        <v>83671.87</v>
      </c>
      <c r="O195" s="224">
        <v>83671.87</v>
      </c>
      <c r="P195" s="228">
        <v>167343.72</v>
      </c>
      <c r="Q195" s="259">
        <v>502031.19999999995</v>
      </c>
      <c r="R195" s="83">
        <v>4013505.040000001</v>
      </c>
      <c r="S195" s="85">
        <f>VLOOKUP(B195,'[2]Resumo do Aging List - Contabil'!$C:$S,17,0)</f>
        <v>591221.46</v>
      </c>
      <c r="T195" t="b">
        <f t="shared" si="5"/>
        <v>0</v>
      </c>
      <c r="U195" s="85">
        <f>VLOOKUP(B195,'[3]Resumo do Aging List - Contabil'!$B:$R,17,0)</f>
        <v>591221.46</v>
      </c>
      <c r="V195" t="b">
        <f t="shared" si="6"/>
        <v>0</v>
      </c>
    </row>
    <row r="196" spans="2:22" ht="15.75" thickBot="1" x14ac:dyDescent="0.25">
      <c r="B196" s="248" t="s">
        <v>64</v>
      </c>
      <c r="C196" s="223"/>
      <c r="D196" s="249">
        <v>1148865</v>
      </c>
      <c r="E196" s="255">
        <v>28167.43</v>
      </c>
      <c r="F196" s="255">
        <v>96170</v>
      </c>
      <c r="G196" s="224">
        <v>228753.35</v>
      </c>
      <c r="H196" s="224">
        <v>587204.16</v>
      </c>
      <c r="I196" s="224">
        <v>575502.15999999992</v>
      </c>
      <c r="J196" s="228">
        <v>581656.85000000009</v>
      </c>
      <c r="K196" s="259">
        <v>3246318.9500000007</v>
      </c>
      <c r="L196" s="227">
        <v>354663.78</v>
      </c>
      <c r="M196" s="224">
        <v>295280.95999999996</v>
      </c>
      <c r="N196" s="224">
        <v>117241.35</v>
      </c>
      <c r="O196" s="224">
        <v>0</v>
      </c>
      <c r="P196" s="228">
        <v>0</v>
      </c>
      <c r="Q196" s="259">
        <v>767186.09000000008</v>
      </c>
      <c r="R196" s="83">
        <v>52564</v>
      </c>
      <c r="S196" s="85">
        <f>VLOOKUP(B196,'[2]Resumo do Aging List - Contabil'!$C:$S,17,0)</f>
        <v>4938168.58</v>
      </c>
      <c r="T196" t="b">
        <f t="shared" si="5"/>
        <v>0</v>
      </c>
      <c r="U196" s="85">
        <f>VLOOKUP(B196,'[3]Resumo do Aging List - Contabil'!$B:$R,17,0)</f>
        <v>4938168.58</v>
      </c>
      <c r="V196" t="b">
        <f t="shared" si="6"/>
        <v>0</v>
      </c>
    </row>
    <row r="197" spans="2:22" ht="15" x14ac:dyDescent="0.2">
      <c r="B197" s="246" t="s">
        <v>370</v>
      </c>
      <c r="C197" s="223"/>
      <c r="D197" s="249">
        <v>0</v>
      </c>
      <c r="E197" s="224">
        <v>0</v>
      </c>
      <c r="F197" s="224">
        <v>0</v>
      </c>
      <c r="G197" s="224">
        <v>0</v>
      </c>
      <c r="H197" s="224">
        <v>0</v>
      </c>
      <c r="I197" s="224">
        <v>0</v>
      </c>
      <c r="J197" s="228">
        <v>0</v>
      </c>
      <c r="K197" s="259">
        <v>0</v>
      </c>
      <c r="L197" s="227">
        <v>26282</v>
      </c>
      <c r="M197" s="224">
        <v>26282</v>
      </c>
      <c r="N197" s="224">
        <v>0</v>
      </c>
      <c r="O197" s="224">
        <v>0</v>
      </c>
      <c r="P197" s="228">
        <v>0</v>
      </c>
      <c r="Q197" s="259">
        <v>52564</v>
      </c>
      <c r="R197" s="86">
        <v>103050</v>
      </c>
      <c r="S197" s="87">
        <f>VLOOKUP(B197,'[2]Resumo do Aging List - Contabil'!$C:$S,17,0)</f>
        <v>188732</v>
      </c>
      <c r="T197" s="88" t="b">
        <f t="shared" si="5"/>
        <v>0</v>
      </c>
      <c r="U197" s="85">
        <f>VLOOKUP(B197,'[3]Resumo do Aging List - Contabil'!$B:$R,17,0)</f>
        <v>188732</v>
      </c>
      <c r="V197" t="b">
        <f t="shared" si="6"/>
        <v>0</v>
      </c>
    </row>
    <row r="198" spans="2:22" ht="15.75" thickBot="1" x14ac:dyDescent="0.25">
      <c r="B198" s="246" t="s">
        <v>510</v>
      </c>
      <c r="C198" s="223"/>
      <c r="D198" s="249">
        <v>0</v>
      </c>
      <c r="E198" s="224">
        <v>0</v>
      </c>
      <c r="F198" s="224">
        <v>0</v>
      </c>
      <c r="G198" s="224">
        <v>0</v>
      </c>
      <c r="H198" s="224">
        <v>0</v>
      </c>
      <c r="I198" s="224">
        <v>0</v>
      </c>
      <c r="J198" s="228">
        <v>0</v>
      </c>
      <c r="K198" s="259">
        <v>0</v>
      </c>
      <c r="L198" s="227">
        <v>69975</v>
      </c>
      <c r="M198" s="224">
        <v>33075</v>
      </c>
      <c r="N198" s="224">
        <v>0</v>
      </c>
      <c r="O198" s="224">
        <v>0</v>
      </c>
      <c r="P198" s="228">
        <v>0</v>
      </c>
      <c r="Q198" s="259">
        <v>103050</v>
      </c>
      <c r="R198" s="86">
        <v>598927.86</v>
      </c>
      <c r="S198" s="87">
        <f>VLOOKUP(B198,'[2]Resumo do Aging List - Contabil'!$C:$S,17,0)</f>
        <v>33075</v>
      </c>
      <c r="T198" s="88" t="b">
        <f t="shared" si="5"/>
        <v>0</v>
      </c>
      <c r="U198" s="85">
        <f>VLOOKUP(B198,'[3]Resumo do Aging List - Contabil'!$B:$R,17,0)</f>
        <v>33075</v>
      </c>
      <c r="V198" t="b">
        <f t="shared" si="6"/>
        <v>0</v>
      </c>
    </row>
    <row r="199" spans="2:22" ht="15.75" thickBot="1" x14ac:dyDescent="0.25">
      <c r="B199" s="248" t="s">
        <v>61</v>
      </c>
      <c r="C199" s="223"/>
      <c r="D199" s="249">
        <v>0</v>
      </c>
      <c r="E199" s="255">
        <v>0</v>
      </c>
      <c r="F199" s="255">
        <v>0</v>
      </c>
      <c r="G199" s="224">
        <v>0</v>
      </c>
      <c r="H199" s="224">
        <v>0</v>
      </c>
      <c r="I199" s="224">
        <v>0</v>
      </c>
      <c r="J199" s="228">
        <v>32860</v>
      </c>
      <c r="K199" s="259">
        <v>32860</v>
      </c>
      <c r="L199" s="227">
        <v>477695.25</v>
      </c>
      <c r="M199" s="224">
        <v>42372.61</v>
      </c>
      <c r="N199" s="224">
        <v>46000</v>
      </c>
      <c r="O199" s="224">
        <v>0</v>
      </c>
      <c r="P199" s="228">
        <v>0</v>
      </c>
      <c r="Q199" s="259">
        <v>566067.86</v>
      </c>
      <c r="R199" s="83">
        <v>470264.15999999986</v>
      </c>
      <c r="S199" s="85">
        <f>VLOOKUP(B199,'[2]Resumo do Aging List - Contabil'!$C:$S,17,0)</f>
        <v>1395222.84</v>
      </c>
      <c r="T199" t="b">
        <f t="shared" si="5"/>
        <v>0</v>
      </c>
      <c r="U199" s="85">
        <f>VLOOKUP(B199,'[3]Resumo do Aging List - Contabil'!$B:$R,17,0)</f>
        <v>1395222.84</v>
      </c>
      <c r="V199" t="b">
        <f t="shared" si="6"/>
        <v>0</v>
      </c>
    </row>
    <row r="200" spans="2:22" ht="15.75" thickBot="1" x14ac:dyDescent="0.25">
      <c r="B200" s="281" t="s">
        <v>469</v>
      </c>
      <c r="C200" s="223"/>
      <c r="D200" s="270">
        <v>0</v>
      </c>
      <c r="E200" s="271">
        <v>0</v>
      </c>
      <c r="F200" s="271">
        <v>0</v>
      </c>
      <c r="G200" s="271">
        <v>0</v>
      </c>
      <c r="H200" s="271">
        <v>0</v>
      </c>
      <c r="I200" s="271">
        <v>0</v>
      </c>
      <c r="J200" s="272">
        <v>0</v>
      </c>
      <c r="K200" s="273">
        <v>0</v>
      </c>
      <c r="L200" s="270">
        <v>36174.17</v>
      </c>
      <c r="M200" s="271">
        <v>36174.17</v>
      </c>
      <c r="N200" s="271">
        <v>36174.17</v>
      </c>
      <c r="O200" s="271">
        <v>36174.17</v>
      </c>
      <c r="P200" s="272">
        <v>325567.47999999992</v>
      </c>
      <c r="Q200" s="273">
        <v>470264.15999999986</v>
      </c>
      <c r="R200" s="83">
        <v>243100</v>
      </c>
      <c r="S200" s="85">
        <f>VLOOKUP(B200,'[2]Resumo do Aging List - Contabil'!$C:$S,17,0)</f>
        <v>470264.15999999986</v>
      </c>
      <c r="T200" t="b">
        <f t="shared" si="5"/>
        <v>0</v>
      </c>
      <c r="U200" s="85">
        <f>VLOOKUP(B200,'[3]Resumo do Aging List - Contabil'!$B:$R,17,0)</f>
        <v>470264.15999999986</v>
      </c>
      <c r="V200" t="b">
        <f t="shared" si="6"/>
        <v>0</v>
      </c>
    </row>
    <row r="201" spans="2:22" ht="15.75" thickBot="1" x14ac:dyDescent="0.25">
      <c r="B201" s="274" t="s">
        <v>1015</v>
      </c>
      <c r="C201" s="223"/>
      <c r="D201" s="270">
        <v>0</v>
      </c>
      <c r="E201" s="271">
        <v>0</v>
      </c>
      <c r="F201" s="271">
        <v>0</v>
      </c>
      <c r="G201" s="271">
        <v>0</v>
      </c>
      <c r="H201" s="271">
        <v>0</v>
      </c>
      <c r="I201" s="271">
        <v>0</v>
      </c>
      <c r="J201" s="272">
        <v>0</v>
      </c>
      <c r="K201" s="273">
        <v>0</v>
      </c>
      <c r="L201" s="270">
        <v>30387.5</v>
      </c>
      <c r="M201" s="271">
        <v>30387.5</v>
      </c>
      <c r="N201" s="271">
        <v>30387.5</v>
      </c>
      <c r="O201" s="271">
        <v>30387.5</v>
      </c>
      <c r="P201" s="272">
        <v>121550</v>
      </c>
      <c r="Q201" s="273">
        <v>243100</v>
      </c>
      <c r="R201" s="83">
        <v>451850</v>
      </c>
      <c r="S201" s="85">
        <f>VLOOKUP(B201,'[2]Resumo do Aging List - Contabil'!$C:$S,17,0)</f>
        <v>243100</v>
      </c>
      <c r="T201" t="b">
        <f t="shared" si="5"/>
        <v>0</v>
      </c>
      <c r="U201" s="85">
        <f>VLOOKUP(B201,'[3]Resumo do Aging List - Contabil'!$B:$R,17,0)</f>
        <v>243100</v>
      </c>
      <c r="V201" t="b">
        <f t="shared" si="6"/>
        <v>0</v>
      </c>
    </row>
    <row r="202" spans="2:22" ht="15.75" thickBot="1" x14ac:dyDescent="0.25">
      <c r="B202" s="241" t="s">
        <v>503</v>
      </c>
      <c r="C202" s="223"/>
      <c r="D202" s="249">
        <v>62100</v>
      </c>
      <c r="E202" s="224">
        <v>0</v>
      </c>
      <c r="F202" s="224">
        <v>0</v>
      </c>
      <c r="G202" s="224">
        <v>0</v>
      </c>
      <c r="H202" s="224">
        <v>0</v>
      </c>
      <c r="I202" s="224">
        <v>0</v>
      </c>
      <c r="J202" s="228">
        <v>0</v>
      </c>
      <c r="K202" s="259">
        <v>62100</v>
      </c>
      <c r="L202" s="227">
        <v>265600</v>
      </c>
      <c r="M202" s="224">
        <v>124150</v>
      </c>
      <c r="N202" s="224">
        <v>0</v>
      </c>
      <c r="O202" s="224">
        <v>0</v>
      </c>
      <c r="P202" s="228">
        <v>0</v>
      </c>
      <c r="Q202" s="259">
        <v>389750</v>
      </c>
      <c r="R202" s="83">
        <v>153000</v>
      </c>
      <c r="S202" s="85">
        <f>VLOOKUP(B202,'[2]Resumo do Aging List - Contabil'!$C:$S,17,0)</f>
        <v>295150</v>
      </c>
      <c r="T202" t="b">
        <f t="shared" si="5"/>
        <v>0</v>
      </c>
      <c r="U202" s="85">
        <f>VLOOKUP(B202,'[3]Resumo do Aging List - Contabil'!$B:$R,17,0)</f>
        <v>295150</v>
      </c>
      <c r="V202" t="b">
        <f t="shared" si="6"/>
        <v>0</v>
      </c>
    </row>
    <row r="203" spans="2:22" ht="15.75" thickBot="1" x14ac:dyDescent="0.25">
      <c r="B203" s="246" t="s">
        <v>1017</v>
      </c>
      <c r="C203" s="223"/>
      <c r="D203" s="249">
        <v>0</v>
      </c>
      <c r="E203" s="224">
        <v>0</v>
      </c>
      <c r="F203" s="224">
        <v>0</v>
      </c>
      <c r="G203" s="224">
        <v>0</v>
      </c>
      <c r="H203" s="224">
        <v>0</v>
      </c>
      <c r="I203" s="224">
        <v>0</v>
      </c>
      <c r="J203" s="228">
        <v>0</v>
      </c>
      <c r="K203" s="259">
        <v>0</v>
      </c>
      <c r="L203" s="227">
        <v>153000</v>
      </c>
      <c r="M203" s="224">
        <v>0</v>
      </c>
      <c r="N203" s="224">
        <v>0</v>
      </c>
      <c r="O203" s="224">
        <v>0</v>
      </c>
      <c r="P203" s="228">
        <v>0</v>
      </c>
      <c r="Q203" s="259">
        <v>153000</v>
      </c>
      <c r="R203" s="86">
        <v>434138.56999999995</v>
      </c>
      <c r="S203" s="87" t="e">
        <f>VLOOKUP(B203,'[2]Resumo do Aging List - Contabil'!$C:$S,17,0)</f>
        <v>#N/A</v>
      </c>
      <c r="T203" s="88" t="e">
        <f t="shared" si="5"/>
        <v>#N/A</v>
      </c>
      <c r="U203" s="85" t="e">
        <f>VLOOKUP(B203,'[3]Resumo do Aging List - Contabil'!$B:$R,17,0)</f>
        <v>#N/A</v>
      </c>
      <c r="V203" t="e">
        <f t="shared" si="6"/>
        <v>#N/A</v>
      </c>
    </row>
    <row r="204" spans="2:22" ht="15.75" thickBot="1" x14ac:dyDescent="0.25">
      <c r="B204" s="248" t="s">
        <v>68</v>
      </c>
      <c r="C204" s="223"/>
      <c r="D204" s="249">
        <v>0</v>
      </c>
      <c r="E204" s="255">
        <v>0</v>
      </c>
      <c r="F204" s="255">
        <v>0</v>
      </c>
      <c r="G204" s="224">
        <v>0</v>
      </c>
      <c r="H204" s="224">
        <v>0</v>
      </c>
      <c r="I204" s="224">
        <v>0</v>
      </c>
      <c r="J204" s="228">
        <v>0</v>
      </c>
      <c r="K204" s="259">
        <v>0</v>
      </c>
      <c r="L204" s="227">
        <v>175097.75000000003</v>
      </c>
      <c r="M204" s="224">
        <v>126377.82</v>
      </c>
      <c r="N204" s="224">
        <v>92288</v>
      </c>
      <c r="O204" s="224">
        <v>40375</v>
      </c>
      <c r="P204" s="228">
        <v>0</v>
      </c>
      <c r="Q204" s="259">
        <v>434138.56999999995</v>
      </c>
      <c r="R204" s="83">
        <v>5000</v>
      </c>
      <c r="S204" s="85">
        <f>VLOOKUP(B204,'[2]Resumo do Aging List - Contabil'!$C:$S,17,0)</f>
        <v>437626.99999999988</v>
      </c>
      <c r="T204" t="b">
        <f t="shared" si="5"/>
        <v>0</v>
      </c>
      <c r="U204" s="85">
        <f>VLOOKUP(B204,'[3]Resumo do Aging List - Contabil'!$B:$R,17,0)</f>
        <v>437626.99999999988</v>
      </c>
      <c r="V204" t="b">
        <f t="shared" si="6"/>
        <v>0</v>
      </c>
    </row>
    <row r="205" spans="2:22" ht="15.75" thickBot="1" x14ac:dyDescent="0.25">
      <c r="B205" s="246" t="s">
        <v>737</v>
      </c>
      <c r="C205" s="223"/>
      <c r="D205" s="249">
        <v>0</v>
      </c>
      <c r="E205" s="224">
        <v>0</v>
      </c>
      <c r="F205" s="224">
        <v>0</v>
      </c>
      <c r="G205" s="224">
        <v>0</v>
      </c>
      <c r="H205" s="224">
        <v>0</v>
      </c>
      <c r="I205" s="224">
        <v>0</v>
      </c>
      <c r="J205" s="228">
        <v>0</v>
      </c>
      <c r="K205" s="259">
        <v>0</v>
      </c>
      <c r="L205" s="227">
        <v>5000</v>
      </c>
      <c r="M205" s="224">
        <v>0</v>
      </c>
      <c r="N205" s="224">
        <v>0</v>
      </c>
      <c r="O205" s="224">
        <v>0</v>
      </c>
      <c r="P205" s="228">
        <v>0</v>
      </c>
      <c r="Q205" s="259">
        <v>5000</v>
      </c>
      <c r="R205" s="83">
        <v>350776</v>
      </c>
      <c r="S205" s="85">
        <f>VLOOKUP(B205,'[2]Resumo do Aging List - Contabil'!$C:$S,17,0)</f>
        <v>16000</v>
      </c>
      <c r="T205" t="b">
        <f t="shared" si="5"/>
        <v>0</v>
      </c>
      <c r="U205" s="85">
        <f>VLOOKUP(B205,'[3]Resumo do Aging List - Contabil'!$B:$R,17,0)</f>
        <v>16000</v>
      </c>
      <c r="V205" t="b">
        <f t="shared" si="6"/>
        <v>0</v>
      </c>
    </row>
    <row r="206" spans="2:22" ht="15.75" thickBot="1" x14ac:dyDescent="0.25">
      <c r="B206" s="275" t="s">
        <v>54</v>
      </c>
      <c r="C206" s="223"/>
      <c r="D206" s="270">
        <v>0</v>
      </c>
      <c r="E206" s="271">
        <v>0</v>
      </c>
      <c r="F206" s="271">
        <v>21923.5</v>
      </c>
      <c r="G206" s="271">
        <v>21923.5</v>
      </c>
      <c r="H206" s="271">
        <v>21923.5</v>
      </c>
      <c r="I206" s="271">
        <v>21923.5</v>
      </c>
      <c r="J206" s="272">
        <v>21923.5</v>
      </c>
      <c r="K206" s="273">
        <v>109617.5</v>
      </c>
      <c r="L206" s="270">
        <v>21923.5</v>
      </c>
      <c r="M206" s="271">
        <v>21923.5</v>
      </c>
      <c r="N206" s="271">
        <v>21923.5</v>
      </c>
      <c r="O206" s="271">
        <v>21923.5</v>
      </c>
      <c r="P206" s="272">
        <v>153464.5</v>
      </c>
      <c r="Q206" s="273">
        <v>241158.5</v>
      </c>
      <c r="R206" s="83">
        <v>13900</v>
      </c>
      <c r="S206" s="85">
        <f>VLOOKUP(B206,'[2]Resumo do Aging List - Contabil'!$C:$S,17,0)</f>
        <v>350776</v>
      </c>
      <c r="T206" t="b">
        <f t="shared" si="5"/>
        <v>0</v>
      </c>
      <c r="U206" s="85">
        <f>VLOOKUP(B206,'[3]Resumo do Aging List - Contabil'!$B:$R,17,0)</f>
        <v>350776</v>
      </c>
      <c r="V206" t="b">
        <f t="shared" si="6"/>
        <v>0</v>
      </c>
    </row>
    <row r="207" spans="2:22" ht="15" x14ac:dyDescent="0.2">
      <c r="B207" s="246" t="s">
        <v>373</v>
      </c>
      <c r="C207" s="223"/>
      <c r="D207" s="249">
        <v>0</v>
      </c>
      <c r="E207" s="224">
        <v>0</v>
      </c>
      <c r="F207" s="224">
        <v>0</v>
      </c>
      <c r="G207" s="224">
        <v>0</v>
      </c>
      <c r="H207" s="224">
        <v>0</v>
      </c>
      <c r="I207" s="224">
        <v>0</v>
      </c>
      <c r="J207" s="228">
        <v>0</v>
      </c>
      <c r="K207" s="259">
        <v>0</v>
      </c>
      <c r="L207" s="227">
        <v>0</v>
      </c>
      <c r="M207" s="224">
        <v>13900</v>
      </c>
      <c r="N207" s="224">
        <v>0</v>
      </c>
      <c r="O207" s="224">
        <v>0</v>
      </c>
      <c r="P207" s="228">
        <v>0</v>
      </c>
      <c r="Q207" s="259">
        <v>13900</v>
      </c>
      <c r="R207" s="83">
        <v>266860</v>
      </c>
      <c r="S207" s="85"/>
      <c r="T207" t="b">
        <f t="shared" si="5"/>
        <v>0</v>
      </c>
      <c r="U207" s="85">
        <f>VLOOKUP(B207,'[3]Resumo do Aging List - Contabil'!$B:$R,17,0)</f>
        <v>41900</v>
      </c>
      <c r="V207" t="b">
        <f t="shared" si="6"/>
        <v>0</v>
      </c>
    </row>
    <row r="208" spans="2:22" ht="15" x14ac:dyDescent="0.2">
      <c r="B208" s="274" t="s">
        <v>499</v>
      </c>
      <c r="C208" s="223"/>
      <c r="D208" s="270">
        <v>145560</v>
      </c>
      <c r="E208" s="271">
        <v>24260</v>
      </c>
      <c r="F208" s="271">
        <v>24260</v>
      </c>
      <c r="G208" s="271">
        <v>24260</v>
      </c>
      <c r="H208" s="271">
        <v>24260</v>
      </c>
      <c r="I208" s="271">
        <v>24260</v>
      </c>
      <c r="J208" s="272">
        <v>0</v>
      </c>
      <c r="K208" s="273">
        <v>266860</v>
      </c>
      <c r="L208" s="270">
        <v>0</v>
      </c>
      <c r="M208" s="271">
        <v>0</v>
      </c>
      <c r="N208" s="271">
        <v>0</v>
      </c>
      <c r="O208" s="271">
        <v>0</v>
      </c>
      <c r="P208" s="272">
        <v>0</v>
      </c>
      <c r="Q208" s="273">
        <v>0</v>
      </c>
      <c r="R208" s="83">
        <v>12210</v>
      </c>
    </row>
    <row r="209" spans="2:18" ht="15.75" thickBot="1" x14ac:dyDescent="0.25">
      <c r="B209" s="240" t="s">
        <v>718</v>
      </c>
      <c r="C209" s="223"/>
      <c r="D209" s="251">
        <v>0</v>
      </c>
      <c r="E209" s="230">
        <v>0</v>
      </c>
      <c r="F209" s="230">
        <v>0</v>
      </c>
      <c r="G209" s="230">
        <v>0</v>
      </c>
      <c r="H209" s="230">
        <v>12210</v>
      </c>
      <c r="I209" s="230">
        <v>0</v>
      </c>
      <c r="J209" s="231">
        <v>0</v>
      </c>
      <c r="K209" s="261">
        <v>12210</v>
      </c>
      <c r="L209" s="229">
        <v>0</v>
      </c>
      <c r="M209" s="230">
        <v>0</v>
      </c>
      <c r="N209" s="230">
        <v>0</v>
      </c>
      <c r="O209" s="230">
        <v>0</v>
      </c>
      <c r="P209" s="231">
        <v>0</v>
      </c>
      <c r="Q209" s="261">
        <v>0</v>
      </c>
      <c r="R209" s="83">
        <v>30820119.549999997</v>
      </c>
    </row>
    <row r="210" spans="2:18" ht="15.75" thickBot="1" x14ac:dyDescent="0.25">
      <c r="B210" s="264" t="s">
        <v>48</v>
      </c>
      <c r="C210" s="265"/>
      <c r="D210" s="252">
        <v>6665278.3700000001</v>
      </c>
      <c r="E210" s="253">
        <v>602111.4800000001</v>
      </c>
      <c r="F210" s="253">
        <v>584174.46</v>
      </c>
      <c r="G210" s="253">
        <v>891015.13</v>
      </c>
      <c r="H210" s="253">
        <v>1551825.71</v>
      </c>
      <c r="I210" s="253">
        <v>1808018.69</v>
      </c>
      <c r="J210" s="254">
        <v>3768998.02</v>
      </c>
      <c r="K210" s="262">
        <v>15871421.859999999</v>
      </c>
      <c r="L210" s="243">
        <v>6445592.580000001</v>
      </c>
      <c r="M210" s="242">
        <v>3605657.9099999997</v>
      </c>
      <c r="N210" s="242">
        <v>2291653.9300000002</v>
      </c>
      <c r="O210" s="242">
        <v>1150018.01</v>
      </c>
      <c r="P210" s="244">
        <v>1455775.2599999993</v>
      </c>
      <c r="Q210" s="262">
        <v>14948697.689999998</v>
      </c>
      <c r="R210" s="83"/>
    </row>
    <row r="211" spans="2:18" x14ac:dyDescent="0.2"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2:18" x14ac:dyDescent="0.2"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2:18" x14ac:dyDescent="0.2"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2:18" x14ac:dyDescent="0.2"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2:18" x14ac:dyDescent="0.2"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2:18" x14ac:dyDescent="0.2"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2:18" x14ac:dyDescent="0.2"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2:18" x14ac:dyDescent="0.2"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2:18" x14ac:dyDescent="0.2"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2:18" x14ac:dyDescent="0.2"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2:18" x14ac:dyDescent="0.2"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2:18" x14ac:dyDescent="0.2"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2:18" x14ac:dyDescent="0.2"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2:18" x14ac:dyDescent="0.2"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2:17" x14ac:dyDescent="0.2"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2:17" x14ac:dyDescent="0.2"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2:17" x14ac:dyDescent="0.2"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2:17" x14ac:dyDescent="0.2"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2:17" x14ac:dyDescent="0.2"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2:17" x14ac:dyDescent="0.2"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2:17" x14ac:dyDescent="0.2"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2:17" x14ac:dyDescent="0.2"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2:17" x14ac:dyDescent="0.2"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2:17" x14ac:dyDescent="0.2"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2:17" x14ac:dyDescent="0.2"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2:17" x14ac:dyDescent="0.2"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2:17" x14ac:dyDescent="0.2"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2:17" x14ac:dyDescent="0.2"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2:17" x14ac:dyDescent="0.2"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2:17" x14ac:dyDescent="0.2"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2:17" x14ac:dyDescent="0.2"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2:17" ht="13.5" thickBot="1" x14ac:dyDescent="0.25"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2:17" ht="13.5" thickBot="1" x14ac:dyDescent="0.25"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2:17" x14ac:dyDescent="0.2"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2:17" ht="13.5" thickBot="1" x14ac:dyDescent="0.25"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2:17" ht="13.5" thickBot="1" x14ac:dyDescent="0.25"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2:17" ht="13.5" thickBot="1" x14ac:dyDescent="0.25"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2:17" ht="13.5" thickBot="1" x14ac:dyDescent="0.25"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2:17" ht="13.5" thickBot="1" x14ac:dyDescent="0.25"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2:17" ht="13.5" thickBot="1" x14ac:dyDescent="0.25"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2:17" ht="13.5" thickBot="1" x14ac:dyDescent="0.25"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2:17" ht="13.5" thickBot="1" x14ac:dyDescent="0.25"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2:17" ht="13.5" thickBot="1" x14ac:dyDescent="0.25"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2:17" x14ac:dyDescent="0.2"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2:17" x14ac:dyDescent="0.2"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2:17" ht="13.5" thickBot="1" x14ac:dyDescent="0.25"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2:17" ht="13.5" thickBot="1" x14ac:dyDescent="0.25"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</sheetData>
  <autoFilter ref="S33:V207" xr:uid="{00000000-0001-0000-0000-000000000000}"/>
  <mergeCells count="6">
    <mergeCell ref="U32:V32"/>
    <mergeCell ref="K31:P31"/>
    <mergeCell ref="B2:E2"/>
    <mergeCell ref="G4:J4"/>
    <mergeCell ref="C31:J31"/>
    <mergeCell ref="S32:T32"/>
  </mergeCells>
  <phoneticPr fontId="3" type="noConversion"/>
  <pageMargins left="0.74803149606299213" right="0.47244094488188981" top="0.78740157480314965" bottom="0.19685039370078741" header="0.35433070866141736" footer="0.27559055118110237"/>
  <pageSetup paperSize="9" scale="65" orientation="portrait" r:id="rId2"/>
  <headerFooter alignWithMargins="0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02D28-827D-4B57-9D2A-C47453C1B41E}">
  <sheetPr codeName="Planilha3"/>
  <dimension ref="A1:T11"/>
  <sheetViews>
    <sheetView workbookViewId="0">
      <selection activeCell="L13" sqref="L13"/>
    </sheetView>
  </sheetViews>
  <sheetFormatPr defaultRowHeight="12.75" x14ac:dyDescent="0.2"/>
  <cols>
    <col min="1" max="1" width="10.85546875" bestFit="1" customWidth="1"/>
    <col min="2" max="2" width="13.28515625" bestFit="1" customWidth="1"/>
    <col min="3" max="3" width="10.7109375" bestFit="1" customWidth="1"/>
    <col min="4" max="4" width="14.140625" bestFit="1" customWidth="1"/>
    <col min="5" max="5" width="12.140625" bestFit="1" customWidth="1"/>
    <col min="6" max="6" width="15.140625" bestFit="1" customWidth="1"/>
    <col min="7" max="7" width="19.85546875" bestFit="1" customWidth="1"/>
    <col min="8" max="9" width="16" bestFit="1" customWidth="1"/>
    <col min="10" max="10" width="14.85546875" bestFit="1" customWidth="1"/>
    <col min="11" max="12" width="13.85546875" bestFit="1" customWidth="1"/>
    <col min="13" max="13" width="9.5703125" bestFit="1" customWidth="1"/>
    <col min="14" max="14" width="9.42578125" bestFit="1" customWidth="1"/>
    <col min="15" max="15" width="10.5703125" bestFit="1" customWidth="1"/>
    <col min="16" max="17" width="14.85546875" bestFit="1" customWidth="1"/>
    <col min="18" max="18" width="16" bestFit="1" customWidth="1"/>
    <col min="19" max="19" width="20.42578125" bestFit="1" customWidth="1"/>
    <col min="20" max="20" width="10.42578125" bestFit="1" customWidth="1"/>
  </cols>
  <sheetData>
    <row r="1" spans="1:20" x14ac:dyDescent="0.2">
      <c r="A1" s="73" t="s">
        <v>1630</v>
      </c>
    </row>
    <row r="3" spans="1:20" x14ac:dyDescent="0.2">
      <c r="A3" t="s">
        <v>18</v>
      </c>
      <c r="B3" t="s">
        <v>19</v>
      </c>
      <c r="C3" t="s">
        <v>1</v>
      </c>
      <c r="D3" t="s">
        <v>20</v>
      </c>
      <c r="E3" t="s">
        <v>5</v>
      </c>
      <c r="F3" t="s">
        <v>21</v>
      </c>
      <c r="G3" t="s">
        <v>26</v>
      </c>
      <c r="H3" t="s">
        <v>3</v>
      </c>
      <c r="I3" t="s">
        <v>2</v>
      </c>
      <c r="J3" t="s">
        <v>22</v>
      </c>
      <c r="K3" t="s">
        <v>23</v>
      </c>
      <c r="L3" t="s">
        <v>24</v>
      </c>
      <c r="M3" t="s">
        <v>25</v>
      </c>
      <c r="N3" t="s">
        <v>0</v>
      </c>
      <c r="O3" t="s">
        <v>1027</v>
      </c>
      <c r="P3" t="s">
        <v>1626</v>
      </c>
      <c r="Q3" t="s">
        <v>1627</v>
      </c>
      <c r="R3" t="s">
        <v>1628</v>
      </c>
      <c r="S3" t="s">
        <v>4</v>
      </c>
      <c r="T3" t="s">
        <v>1629</v>
      </c>
    </row>
    <row r="4" spans="1:20" x14ac:dyDescent="0.2">
      <c r="A4" t="s">
        <v>326</v>
      </c>
      <c r="B4" t="s">
        <v>327</v>
      </c>
      <c r="C4" s="72">
        <v>45859</v>
      </c>
      <c r="D4" s="72">
        <v>46101</v>
      </c>
      <c r="E4">
        <v>41545</v>
      </c>
      <c r="F4">
        <v>79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41545</v>
      </c>
      <c r="R4">
        <v>0</v>
      </c>
      <c r="S4">
        <v>0</v>
      </c>
      <c r="T4">
        <v>41545</v>
      </c>
    </row>
    <row r="5" spans="1:20" x14ac:dyDescent="0.2">
      <c r="A5" t="s">
        <v>326</v>
      </c>
      <c r="B5" t="s">
        <v>327</v>
      </c>
      <c r="C5" s="72">
        <v>45859</v>
      </c>
      <c r="D5" s="72">
        <v>46073</v>
      </c>
      <c r="E5">
        <v>41545</v>
      </c>
      <c r="F5">
        <v>51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41545</v>
      </c>
      <c r="Q5">
        <v>0</v>
      </c>
      <c r="R5">
        <v>0</v>
      </c>
      <c r="S5">
        <v>0</v>
      </c>
      <c r="T5">
        <v>41545</v>
      </c>
    </row>
    <row r="6" spans="1:20" x14ac:dyDescent="0.2">
      <c r="A6" t="s">
        <v>326</v>
      </c>
      <c r="B6" t="s">
        <v>327</v>
      </c>
      <c r="C6" s="72">
        <v>45859</v>
      </c>
      <c r="D6" s="72">
        <v>46042</v>
      </c>
      <c r="E6">
        <v>41545</v>
      </c>
      <c r="F6">
        <v>20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41545</v>
      </c>
      <c r="P6">
        <v>0</v>
      </c>
      <c r="Q6">
        <v>0</v>
      </c>
      <c r="R6">
        <v>0</v>
      </c>
      <c r="S6">
        <v>0</v>
      </c>
      <c r="T6">
        <v>41545</v>
      </c>
    </row>
    <row r="7" spans="1:20" x14ac:dyDescent="0.2">
      <c r="A7" t="s">
        <v>326</v>
      </c>
      <c r="B7" t="s">
        <v>327</v>
      </c>
      <c r="C7" s="72">
        <v>45859</v>
      </c>
      <c r="D7" s="72">
        <v>46011</v>
      </c>
      <c r="E7">
        <v>41545</v>
      </c>
      <c r="F7">
        <v>-11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41545</v>
      </c>
      <c r="N7">
        <v>41545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</row>
    <row r="8" spans="1:20" x14ac:dyDescent="0.2">
      <c r="A8" t="s">
        <v>326</v>
      </c>
      <c r="B8" t="s">
        <v>327</v>
      </c>
      <c r="C8" s="72">
        <v>45859</v>
      </c>
      <c r="D8" s="72">
        <v>45981</v>
      </c>
      <c r="E8">
        <v>41545</v>
      </c>
      <c r="F8">
        <v>-41</v>
      </c>
      <c r="G8">
        <v>0</v>
      </c>
      <c r="H8">
        <v>0</v>
      </c>
      <c r="I8">
        <v>0</v>
      </c>
      <c r="J8">
        <v>0</v>
      </c>
      <c r="K8">
        <v>0</v>
      </c>
      <c r="L8">
        <v>41545</v>
      </c>
      <c r="M8">
        <v>0</v>
      </c>
      <c r="N8">
        <v>41545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</row>
    <row r="9" spans="1:20" x14ac:dyDescent="0.2">
      <c r="A9" t="s">
        <v>326</v>
      </c>
      <c r="B9" t="s">
        <v>327</v>
      </c>
      <c r="C9" s="72">
        <v>45859</v>
      </c>
      <c r="D9" s="72">
        <v>45950</v>
      </c>
      <c r="E9">
        <v>41545</v>
      </c>
      <c r="F9">
        <v>-72</v>
      </c>
      <c r="G9">
        <v>0</v>
      </c>
      <c r="H9">
        <v>0</v>
      </c>
      <c r="I9">
        <v>0</v>
      </c>
      <c r="J9">
        <v>0</v>
      </c>
      <c r="K9">
        <v>41545</v>
      </c>
      <c r="L9">
        <v>0</v>
      </c>
      <c r="M9">
        <v>0</v>
      </c>
      <c r="N9">
        <v>41545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</row>
    <row r="10" spans="1:20" x14ac:dyDescent="0.2">
      <c r="A10" t="s">
        <v>326</v>
      </c>
      <c r="B10" t="s">
        <v>327</v>
      </c>
      <c r="C10" s="72">
        <v>45859</v>
      </c>
      <c r="D10" s="72">
        <v>45920</v>
      </c>
      <c r="E10">
        <v>41545</v>
      </c>
      <c r="F10">
        <v>-102</v>
      </c>
      <c r="G10">
        <v>0</v>
      </c>
      <c r="H10">
        <v>0</v>
      </c>
      <c r="I10">
        <v>0</v>
      </c>
      <c r="J10">
        <v>41545</v>
      </c>
      <c r="K10">
        <v>0</v>
      </c>
      <c r="L10">
        <v>0</v>
      </c>
      <c r="M10">
        <v>0</v>
      </c>
      <c r="N10">
        <v>41545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</row>
    <row r="11" spans="1:20" x14ac:dyDescent="0.2">
      <c r="A11" t="s">
        <v>326</v>
      </c>
      <c r="B11" t="s">
        <v>327</v>
      </c>
      <c r="C11" s="72">
        <v>45859</v>
      </c>
      <c r="D11" s="72">
        <v>45889</v>
      </c>
      <c r="E11">
        <v>20000</v>
      </c>
      <c r="F11">
        <v>-133</v>
      </c>
      <c r="G11">
        <v>0</v>
      </c>
      <c r="H11">
        <v>0</v>
      </c>
      <c r="I11">
        <v>20000</v>
      </c>
      <c r="J11">
        <v>0</v>
      </c>
      <c r="K11">
        <v>0</v>
      </c>
      <c r="L11">
        <v>0</v>
      </c>
      <c r="M11">
        <v>0</v>
      </c>
      <c r="N11">
        <v>20000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CA223-9171-4D43-BB2A-7F1E2F3BF7D3}">
  <sheetPr codeName="Planilha4"/>
  <dimension ref="A1:J177"/>
  <sheetViews>
    <sheetView showGridLines="0" topLeftCell="A54" workbookViewId="0">
      <selection activeCell="F67" sqref="F67"/>
    </sheetView>
  </sheetViews>
  <sheetFormatPr defaultRowHeight="12.75" x14ac:dyDescent="0.2"/>
  <cols>
    <col min="1" max="1" width="10.42578125" style="66" bestFit="1" customWidth="1"/>
    <col min="2" max="3" width="16.140625" style="66" customWidth="1"/>
    <col min="4" max="4" width="13.5703125" style="67" bestFit="1" customWidth="1"/>
    <col min="5" max="5" width="16.140625" style="66" customWidth="1"/>
    <col min="6" max="6" width="44.42578125" style="66" customWidth="1"/>
    <col min="7" max="7" width="12.42578125" style="67" bestFit="1" customWidth="1"/>
    <col min="8" max="8" width="37.140625" style="66" bestFit="1" customWidth="1"/>
    <col min="9" max="16384" width="9.140625" style="66"/>
  </cols>
  <sheetData>
    <row r="1" spans="1:10" x14ac:dyDescent="0.2">
      <c r="A1" s="98"/>
      <c r="B1" s="66" t="s">
        <v>1633</v>
      </c>
    </row>
    <row r="2" spans="1:10" x14ac:dyDescent="0.2">
      <c r="D2" s="67">
        <f ca="1">SUM(D:D)</f>
        <v>0</v>
      </c>
      <c r="I2" s="66">
        <f t="shared" ref="I2:I65" si="0">COUNTIF(B:B,0)</f>
        <v>0</v>
      </c>
    </row>
    <row r="3" spans="1:10" x14ac:dyDescent="0.2">
      <c r="I3" s="66">
        <f t="shared" si="0"/>
        <v>0</v>
      </c>
    </row>
    <row r="4" spans="1:10" x14ac:dyDescent="0.2">
      <c r="I4" s="66">
        <f t="shared" si="0"/>
        <v>0</v>
      </c>
    </row>
    <row r="5" spans="1:10" ht="13.5" thickBot="1" x14ac:dyDescent="0.25">
      <c r="A5" s="89">
        <v>46022</v>
      </c>
      <c r="B5" s="66">
        <v>3001</v>
      </c>
      <c r="C5" s="90">
        <v>3001</v>
      </c>
      <c r="D5" s="91">
        <v>34926.149999999994</v>
      </c>
      <c r="E5" s="90"/>
      <c r="F5" s="104" t="s">
        <v>1638</v>
      </c>
      <c r="G5" s="91"/>
      <c r="I5" s="66">
        <f t="shared" si="0"/>
        <v>0</v>
      </c>
      <c r="J5" s="66" t="str">
        <f>VLOOKUP(B5,[1]Contas!$A$1:$B$65536,2,1)</f>
        <v>CLIENTES</v>
      </c>
    </row>
    <row r="6" spans="1:10" ht="15.75" thickBot="1" x14ac:dyDescent="0.25">
      <c r="A6" s="92">
        <v>46022</v>
      </c>
      <c r="B6" s="66">
        <v>3273</v>
      </c>
      <c r="C6" s="90">
        <v>3001</v>
      </c>
      <c r="D6" s="93">
        <v>52618.559999999998</v>
      </c>
      <c r="F6" s="79" t="s">
        <v>1639</v>
      </c>
      <c r="G6" s="93"/>
      <c r="I6" s="66">
        <f t="shared" si="0"/>
        <v>0</v>
      </c>
      <c r="J6" s="66" t="str">
        <f>VLOOKUP(B6,[1]Contas!$A$1:$B$65536,2,0)</f>
        <v>AMIL ASSISTENCIA MEDICA INTERNACIONAL S.A.</v>
      </c>
    </row>
    <row r="7" spans="1:10" ht="15.75" thickBot="1" x14ac:dyDescent="0.25">
      <c r="A7" s="92">
        <v>46022</v>
      </c>
      <c r="B7" s="66">
        <v>3001</v>
      </c>
      <c r="C7" s="90">
        <v>3001</v>
      </c>
      <c r="D7" s="93">
        <v>310815</v>
      </c>
      <c r="F7" s="78" t="s">
        <v>1640</v>
      </c>
      <c r="G7" s="93"/>
      <c r="I7" s="66">
        <f t="shared" si="0"/>
        <v>0</v>
      </c>
      <c r="J7" s="66" t="str">
        <f>VLOOKUP(B7,[1]Contas!$A$1:$B$65536,2,0)</f>
        <v>CLIENTES</v>
      </c>
    </row>
    <row r="8" spans="1:10" ht="15.75" thickBot="1" x14ac:dyDescent="0.25">
      <c r="A8" s="92">
        <v>46022</v>
      </c>
      <c r="B8" s="66">
        <v>3286</v>
      </c>
      <c r="C8" s="90">
        <v>3001</v>
      </c>
      <c r="D8" s="93">
        <v>26165</v>
      </c>
      <c r="F8" s="79" t="s">
        <v>1641</v>
      </c>
      <c r="G8" s="93"/>
      <c r="I8" s="66">
        <f t="shared" si="0"/>
        <v>0</v>
      </c>
      <c r="J8" s="66" t="str">
        <f>VLOOKUP(B8,[1]Contas!$A$1:$B$65536,2,0)</f>
        <v>GRUPO HOSPITALAR DO RIO DE JANEIRO LTDA.</v>
      </c>
    </row>
    <row r="9" spans="1:10" x14ac:dyDescent="0.2">
      <c r="A9" s="92">
        <v>46022</v>
      </c>
      <c r="B9" s="66">
        <v>3001</v>
      </c>
      <c r="C9" s="90">
        <v>3001</v>
      </c>
      <c r="D9" s="93">
        <v>31500</v>
      </c>
      <c r="F9" s="99" t="s">
        <v>1642</v>
      </c>
      <c r="G9" s="93"/>
      <c r="I9" s="66">
        <f t="shared" si="0"/>
        <v>0</v>
      </c>
      <c r="J9" s="66" t="str">
        <f>VLOOKUP(B9,[1]Contas!$A$1:$B$65536,2,0)</f>
        <v>CLIENTES</v>
      </c>
    </row>
    <row r="10" spans="1:10" x14ac:dyDescent="0.2">
      <c r="A10" s="92">
        <v>46022</v>
      </c>
      <c r="B10" s="66">
        <v>3001</v>
      </c>
      <c r="C10" s="90">
        <v>3001</v>
      </c>
      <c r="D10" s="93">
        <v>51255</v>
      </c>
      <c r="F10" s="99" t="s">
        <v>1643</v>
      </c>
      <c r="G10" s="93"/>
      <c r="I10" s="66">
        <f t="shared" si="0"/>
        <v>0</v>
      </c>
      <c r="J10" s="66" t="str">
        <f>VLOOKUP(B10,[1]Contas!$A$1:$B$65536,2,0)</f>
        <v>CLIENTES</v>
      </c>
    </row>
    <row r="11" spans="1:10" x14ac:dyDescent="0.2">
      <c r="A11" s="92">
        <v>46022</v>
      </c>
      <c r="B11" s="66">
        <v>3001</v>
      </c>
      <c r="C11" s="90">
        <v>3001</v>
      </c>
      <c r="D11" s="93">
        <v>322520.85000000003</v>
      </c>
      <c r="F11" s="99" t="s">
        <v>1644</v>
      </c>
      <c r="G11" s="93"/>
      <c r="I11" s="66">
        <f t="shared" si="0"/>
        <v>0</v>
      </c>
      <c r="J11" s="66" t="str">
        <f>VLOOKUP(B11,[1]Contas!$A$1:$B$65536,2,0)</f>
        <v>CLIENTES</v>
      </c>
    </row>
    <row r="12" spans="1:10" x14ac:dyDescent="0.2">
      <c r="A12" s="92">
        <v>46022</v>
      </c>
      <c r="B12" s="66">
        <v>3001</v>
      </c>
      <c r="C12" s="90">
        <v>3001</v>
      </c>
      <c r="D12" s="93">
        <v>73660</v>
      </c>
      <c r="F12" s="99" t="s">
        <v>1645</v>
      </c>
      <c r="G12" s="93"/>
      <c r="I12" s="66">
        <f t="shared" si="0"/>
        <v>0</v>
      </c>
      <c r="J12" s="66" t="str">
        <f>VLOOKUP(B12,[1]Contas!$A$1:$B$65536,2,0)</f>
        <v>CLIENTES</v>
      </c>
    </row>
    <row r="13" spans="1:10" x14ac:dyDescent="0.2">
      <c r="A13" s="92">
        <v>46022</v>
      </c>
      <c r="B13" s="66">
        <v>3001</v>
      </c>
      <c r="C13" s="90">
        <v>3001</v>
      </c>
      <c r="D13" s="93">
        <v>78000</v>
      </c>
      <c r="F13" s="99" t="s">
        <v>1646</v>
      </c>
      <c r="G13" s="93"/>
      <c r="I13" s="66">
        <f t="shared" si="0"/>
        <v>0</v>
      </c>
      <c r="J13" s="66" t="str">
        <f>VLOOKUP(B13,[1]Contas!$A$1:$B$65536,2,0)</f>
        <v>CLIENTES</v>
      </c>
    </row>
    <row r="14" spans="1:10" x14ac:dyDescent="0.2">
      <c r="A14" s="92">
        <v>46022</v>
      </c>
      <c r="B14" s="66">
        <v>3001</v>
      </c>
      <c r="C14" s="90">
        <v>3001</v>
      </c>
      <c r="D14" s="93">
        <v>234840</v>
      </c>
      <c r="F14" s="99" t="s">
        <v>1647</v>
      </c>
      <c r="G14" s="93"/>
      <c r="I14" s="66">
        <f t="shared" si="0"/>
        <v>0</v>
      </c>
      <c r="J14" s="66" t="str">
        <f>VLOOKUP(B14,[1]Contas!$A$1:$B$65536,2,0)</f>
        <v>CLIENTES</v>
      </c>
    </row>
    <row r="15" spans="1:10" ht="15.75" thickBot="1" x14ac:dyDescent="0.25">
      <c r="A15" s="92">
        <v>46022</v>
      </c>
      <c r="B15" s="66">
        <v>3222</v>
      </c>
      <c r="C15" s="90">
        <v>3001</v>
      </c>
      <c r="D15" s="93">
        <v>39860</v>
      </c>
      <c r="F15" s="75" t="s">
        <v>1648</v>
      </c>
      <c r="G15" s="93"/>
      <c r="I15" s="66">
        <f t="shared" si="0"/>
        <v>0</v>
      </c>
      <c r="J15" s="66" t="str">
        <f>VLOOKUP(B15,[1]Contas!$A$1:$B$65536,2,0)</f>
        <v>AUSTACLINICAS ASSISTENCIA MEDICA E HOSPITALAR LTDA</v>
      </c>
    </row>
    <row r="16" spans="1:10" ht="13.5" thickBot="1" x14ac:dyDescent="0.25">
      <c r="A16" s="92">
        <v>46022</v>
      </c>
      <c r="B16" s="66">
        <v>3001</v>
      </c>
      <c r="C16" s="90">
        <v>3001</v>
      </c>
      <c r="D16" s="93">
        <v>38060</v>
      </c>
      <c r="F16" s="99" t="s">
        <v>1649</v>
      </c>
      <c r="G16" s="93"/>
      <c r="I16" s="66">
        <f t="shared" si="0"/>
        <v>0</v>
      </c>
      <c r="J16" s="66" t="str">
        <f>VLOOKUP(B16,[1]Contas!$A$1:$B$65536,2,0)</f>
        <v>CLIENTES</v>
      </c>
    </row>
    <row r="17" spans="1:10" x14ac:dyDescent="0.2">
      <c r="A17" s="92">
        <v>46022</v>
      </c>
      <c r="B17" s="66">
        <v>3197</v>
      </c>
      <c r="C17" s="90">
        <v>3001</v>
      </c>
      <c r="D17" s="93">
        <v>408920.63</v>
      </c>
      <c r="F17" s="100" t="s">
        <v>1650</v>
      </c>
      <c r="G17" s="93"/>
      <c r="I17" s="66">
        <f t="shared" si="0"/>
        <v>0</v>
      </c>
      <c r="J17" s="66" t="str">
        <f>VLOOKUP(B17,[1]Contas!$A$1:$B$65536,2,0)</f>
        <v>BANCO BRADESCO SAUDE S/A</v>
      </c>
    </row>
    <row r="18" spans="1:10" ht="13.5" thickBot="1" x14ac:dyDescent="0.25">
      <c r="A18" s="92">
        <v>46022</v>
      </c>
      <c r="B18" s="66">
        <v>3001</v>
      </c>
      <c r="C18" s="90">
        <v>3001</v>
      </c>
      <c r="D18" s="93">
        <v>71100</v>
      </c>
      <c r="F18" s="101" t="s">
        <v>1651</v>
      </c>
      <c r="G18" s="93"/>
      <c r="I18" s="66">
        <f t="shared" si="0"/>
        <v>0</v>
      </c>
      <c r="J18" s="66" t="str">
        <f>VLOOKUP(B18,[1]Contas!$A$1:$B$65536,2,0)</f>
        <v>CLIENTES</v>
      </c>
    </row>
    <row r="19" spans="1:10" ht="15.75" thickBot="1" x14ac:dyDescent="0.25">
      <c r="A19" s="92">
        <v>46022</v>
      </c>
      <c r="B19" s="66">
        <v>3452</v>
      </c>
      <c r="C19" s="90">
        <v>3001</v>
      </c>
      <c r="D19" s="93">
        <v>1845</v>
      </c>
      <c r="F19" s="78" t="s">
        <v>1652</v>
      </c>
      <c r="G19" s="93"/>
      <c r="I19" s="66">
        <f t="shared" si="0"/>
        <v>0</v>
      </c>
      <c r="J19" s="66" t="str">
        <f>VLOOKUP(B19,[1]Contas!$A$1:$B$65536,2,0)</f>
        <v>BIOCATH COMERCIO DE PRODUTOS HOSPITALARES LTDA</v>
      </c>
    </row>
    <row r="20" spans="1:10" x14ac:dyDescent="0.2">
      <c r="A20" s="92">
        <v>46022</v>
      </c>
      <c r="B20" s="66">
        <v>3001</v>
      </c>
      <c r="C20" s="90">
        <v>3001</v>
      </c>
      <c r="D20" s="93">
        <v>141609.26</v>
      </c>
      <c r="F20" s="100" t="s">
        <v>1653</v>
      </c>
      <c r="G20" s="93"/>
      <c r="I20" s="66">
        <f t="shared" si="0"/>
        <v>0</v>
      </c>
      <c r="J20" s="66" t="str">
        <f>VLOOKUP(B20,[1]Contas!$A$1:$B$65536,2,0)</f>
        <v>CLIENTES</v>
      </c>
    </row>
    <row r="21" spans="1:10" ht="15.75" thickBot="1" x14ac:dyDescent="0.25">
      <c r="A21" s="92">
        <v>46022</v>
      </c>
      <c r="B21" s="66">
        <v>3150</v>
      </c>
      <c r="C21" s="90">
        <v>3001</v>
      </c>
      <c r="D21" s="93">
        <v>284327.63</v>
      </c>
      <c r="F21" s="81" t="s">
        <v>1654</v>
      </c>
      <c r="G21" s="93"/>
      <c r="I21" s="66">
        <f t="shared" si="0"/>
        <v>0</v>
      </c>
      <c r="J21" s="66" t="str">
        <f>VLOOKUP(B21,[1]Contas!$A$1:$B$65536,2,0)</f>
        <v>ASSOCIACAO BENEFICENTE BOM SAMARITANO</v>
      </c>
    </row>
    <row r="22" spans="1:10" ht="15" x14ac:dyDescent="0.2">
      <c r="A22" s="92">
        <v>46022</v>
      </c>
      <c r="B22" s="66">
        <v>5819</v>
      </c>
      <c r="C22" s="90">
        <v>3001</v>
      </c>
      <c r="D22" s="93">
        <v>15214.8</v>
      </c>
      <c r="F22" s="74" t="s">
        <v>1655</v>
      </c>
      <c r="G22" s="93"/>
      <c r="I22" s="66">
        <f t="shared" si="0"/>
        <v>0</v>
      </c>
      <c r="J22" s="66" t="e">
        <f>VLOOKUP(B22,[1]Contas!$A$1:$B$65536,2,0)</f>
        <v>#N/A</v>
      </c>
    </row>
    <row r="23" spans="1:10" ht="15" x14ac:dyDescent="0.2">
      <c r="A23" s="92">
        <v>46022</v>
      </c>
      <c r="B23" s="66">
        <v>3453</v>
      </c>
      <c r="C23" s="90">
        <v>3001</v>
      </c>
      <c r="D23" s="93">
        <v>8023</v>
      </c>
      <c r="F23" s="78" t="s">
        <v>1656</v>
      </c>
      <c r="G23" s="93"/>
      <c r="I23" s="66">
        <f t="shared" si="0"/>
        <v>0</v>
      </c>
      <c r="J23" s="66" t="str">
        <f>VLOOKUP(B23,[1]Contas!$A$1:$B$65536,2,0)</f>
        <v>CABERJ INTEGRAL SAUDE S</v>
      </c>
    </row>
    <row r="24" spans="1:10" ht="13.5" thickBot="1" x14ac:dyDescent="0.25">
      <c r="A24" s="92">
        <v>46022</v>
      </c>
      <c r="B24" s="66">
        <v>3001</v>
      </c>
      <c r="C24" s="90">
        <v>3001</v>
      </c>
      <c r="D24" s="93">
        <v>117795.8</v>
      </c>
      <c r="F24" s="101" t="s">
        <v>1657</v>
      </c>
      <c r="G24" s="93"/>
      <c r="I24" s="66">
        <f t="shared" si="0"/>
        <v>0</v>
      </c>
      <c r="J24" s="66" t="str">
        <f>VLOOKUP(B24,[1]Contas!$A$1:$B$65536,2,0)</f>
        <v>CLIENTES</v>
      </c>
    </row>
    <row r="25" spans="1:10" ht="15.75" thickBot="1" x14ac:dyDescent="0.25">
      <c r="A25" s="92">
        <v>46022</v>
      </c>
      <c r="B25" s="66">
        <v>3145</v>
      </c>
      <c r="C25" s="90">
        <v>3001</v>
      </c>
      <c r="D25" s="93">
        <v>29793.58</v>
      </c>
      <c r="F25" s="78" t="s">
        <v>1658</v>
      </c>
      <c r="G25" s="93"/>
      <c r="I25" s="66">
        <f t="shared" si="0"/>
        <v>0</v>
      </c>
      <c r="J25" s="66" t="str">
        <f>VLOOKUP(B25,[1]Contas!$A$1:$B$65536,2,0)</f>
        <v>CASA DE SAUDE SANTA MARCELINA</v>
      </c>
    </row>
    <row r="26" spans="1:10" ht="15.75" thickBot="1" x14ac:dyDescent="0.25">
      <c r="A26" s="92">
        <v>46022</v>
      </c>
      <c r="B26" s="66">
        <v>3187</v>
      </c>
      <c r="C26" s="90">
        <v>3001</v>
      </c>
      <c r="D26" s="93">
        <v>192200</v>
      </c>
      <c r="F26" s="77" t="s">
        <v>1659</v>
      </c>
      <c r="G26" s="93"/>
      <c r="I26" s="66">
        <f t="shared" si="0"/>
        <v>0</v>
      </c>
      <c r="J26" s="66" t="str">
        <f>VLOOKUP(B26,[1]Contas!$A$1:$B$65536,2,0)</f>
        <v>CAIXA DE ASSIST DOS SERV DO ESTADO DE MA</v>
      </c>
    </row>
    <row r="27" spans="1:10" ht="15.75" thickBot="1" x14ac:dyDescent="0.25">
      <c r="A27" s="92">
        <v>46022</v>
      </c>
      <c r="B27" s="66">
        <v>3379</v>
      </c>
      <c r="C27" s="90">
        <v>3001</v>
      </c>
      <c r="D27" s="93">
        <v>31180.29</v>
      </c>
      <c r="F27" s="79" t="s">
        <v>1660</v>
      </c>
      <c r="G27" s="93"/>
      <c r="I27" s="66">
        <f t="shared" si="0"/>
        <v>0</v>
      </c>
      <c r="J27" s="66" t="str">
        <f>VLOOKUP(B27,[1]Contas!$A$1:$B$65536,2,0)</f>
        <v>CAIXA DE ASSISTENCIA DOS FUNCIONARIOS DO BANCO DO BRASIL</v>
      </c>
    </row>
    <row r="28" spans="1:10" ht="15.75" thickBot="1" x14ac:dyDescent="0.25">
      <c r="A28" s="92">
        <v>46022</v>
      </c>
      <c r="B28" s="66">
        <v>5820</v>
      </c>
      <c r="C28" s="90">
        <v>3001</v>
      </c>
      <c r="D28" s="93">
        <v>121560</v>
      </c>
      <c r="F28" s="75" t="s">
        <v>1661</v>
      </c>
      <c r="G28" s="93"/>
      <c r="I28" s="66">
        <f t="shared" si="0"/>
        <v>0</v>
      </c>
      <c r="J28" s="66" t="e">
        <f>VLOOKUP(B28,[1]Contas!$A$1:$B$65536,2,0)</f>
        <v>#N/A</v>
      </c>
    </row>
    <row r="29" spans="1:10" ht="13.5" thickBot="1" x14ac:dyDescent="0.25">
      <c r="A29" s="92">
        <v>46022</v>
      </c>
      <c r="B29" s="66">
        <v>3001</v>
      </c>
      <c r="C29" s="90">
        <v>3001</v>
      </c>
      <c r="D29" s="93">
        <v>32500</v>
      </c>
      <c r="F29" s="99" t="s">
        <v>1662</v>
      </c>
      <c r="G29" s="93"/>
      <c r="I29" s="66">
        <f t="shared" si="0"/>
        <v>0</v>
      </c>
      <c r="J29" s="66" t="str">
        <f>VLOOKUP(B29,[1]Contas!$A$1:$B$65536,2,0)</f>
        <v>CLIENTES</v>
      </c>
    </row>
    <row r="30" spans="1:10" x14ac:dyDescent="0.2">
      <c r="A30" s="92">
        <v>46022</v>
      </c>
      <c r="B30" s="66">
        <v>3001</v>
      </c>
      <c r="C30" s="90">
        <v>3001</v>
      </c>
      <c r="D30" s="93">
        <v>2034.5</v>
      </c>
      <c r="F30" s="100" t="s">
        <v>1663</v>
      </c>
      <c r="G30" s="93"/>
      <c r="I30" s="66">
        <f t="shared" si="0"/>
        <v>0</v>
      </c>
      <c r="J30" s="66" t="str">
        <f>VLOOKUP(B30,[1]Contas!$A$1:$B$65536,2,0)</f>
        <v>CLIENTES</v>
      </c>
    </row>
    <row r="31" spans="1:10" ht="15" x14ac:dyDescent="0.2">
      <c r="A31" s="92">
        <v>46022</v>
      </c>
      <c r="B31" s="66">
        <v>3125</v>
      </c>
      <c r="C31" s="90">
        <v>3001</v>
      </c>
      <c r="D31" s="93">
        <v>94690</v>
      </c>
      <c r="F31" s="78" t="s">
        <v>1664</v>
      </c>
      <c r="G31" s="93"/>
      <c r="I31" s="66">
        <f t="shared" si="0"/>
        <v>0</v>
      </c>
      <c r="J31" s="66" t="str">
        <f>VLOOKUP(B31,[1]Contas!$A$1:$B$65536,2,0)</f>
        <v>IMPAR SERVICOS HOSPITALARES S/A</v>
      </c>
    </row>
    <row r="32" spans="1:10" ht="15" x14ac:dyDescent="0.2">
      <c r="A32" s="92">
        <v>46022</v>
      </c>
      <c r="B32" s="66">
        <v>3524</v>
      </c>
      <c r="C32" s="90">
        <v>3001</v>
      </c>
      <c r="D32" s="93">
        <v>310579.23</v>
      </c>
      <c r="F32" s="78" t="s">
        <v>1665</v>
      </c>
      <c r="G32" s="93"/>
      <c r="I32" s="66">
        <f t="shared" si="0"/>
        <v>0</v>
      </c>
      <c r="J32" s="66" t="str">
        <f>VLOOKUP(B32,[1]Contas!$A$1:$B$65536,2,0)</f>
        <v>CRUZ VERMELHA BRASILEIRA - FILIAL DO ESTADO DO PARANA</v>
      </c>
    </row>
    <row r="33" spans="1:10" ht="15.75" thickBot="1" x14ac:dyDescent="0.25">
      <c r="A33" s="92">
        <v>46022</v>
      </c>
      <c r="B33" s="66">
        <v>5263</v>
      </c>
      <c r="C33" s="90">
        <v>3001</v>
      </c>
      <c r="D33" s="93">
        <v>40510</v>
      </c>
      <c r="F33" s="78" t="s">
        <v>1666</v>
      </c>
      <c r="G33" s="93"/>
      <c r="I33" s="66">
        <f t="shared" si="0"/>
        <v>0</v>
      </c>
      <c r="J33" s="66" t="e">
        <f>VLOOKUP(B33,[1]Contas!$A$1:$B$65536,2,0)</f>
        <v>#N/A</v>
      </c>
    </row>
    <row r="34" spans="1:10" ht="15.75" thickBot="1" x14ac:dyDescent="0.25">
      <c r="A34" s="92">
        <v>46022</v>
      </c>
      <c r="B34" s="66">
        <v>3433</v>
      </c>
      <c r="C34" s="90">
        <v>3001</v>
      </c>
      <c r="D34" s="93">
        <v>133668.21000000002</v>
      </c>
      <c r="F34" s="79" t="s">
        <v>1667</v>
      </c>
      <c r="G34" s="93"/>
      <c r="I34" s="66">
        <f t="shared" si="0"/>
        <v>0</v>
      </c>
      <c r="J34" s="66" t="str">
        <f>VLOOKUP(B34,[1]Contas!$A$1:$B$65536,2,0)</f>
        <v>FUNDACAO ADIB JATENE</v>
      </c>
    </row>
    <row r="35" spans="1:10" ht="15" x14ac:dyDescent="0.2">
      <c r="A35" s="92">
        <v>46022</v>
      </c>
      <c r="B35" s="66">
        <v>3367</v>
      </c>
      <c r="C35" s="90">
        <v>3001</v>
      </c>
      <c r="D35" s="93">
        <v>44177.66</v>
      </c>
      <c r="F35" s="78" t="s">
        <v>1668</v>
      </c>
      <c r="G35" s="93"/>
      <c r="I35" s="66">
        <f t="shared" si="0"/>
        <v>0</v>
      </c>
      <c r="J35" s="66" t="str">
        <f>VLOOKUP(B35,[1]Contas!$A$1:$B$65536,2,0)</f>
        <v>R.M.I. OPERADORA DE SAUDE INTEGRADA LTDA.</v>
      </c>
    </row>
    <row r="36" spans="1:10" x14ac:dyDescent="0.2">
      <c r="A36" s="92">
        <v>46022</v>
      </c>
      <c r="B36" s="66">
        <v>3001</v>
      </c>
      <c r="C36" s="90">
        <v>3001</v>
      </c>
      <c r="D36" s="93">
        <v>97675</v>
      </c>
      <c r="F36" s="99" t="s">
        <v>1669</v>
      </c>
      <c r="G36" s="93"/>
      <c r="I36" s="66">
        <f t="shared" si="0"/>
        <v>0</v>
      </c>
      <c r="J36" s="66" t="str">
        <f>VLOOKUP(B36,[1]Contas!$A$1:$B$65536,2,0)</f>
        <v>CLIENTES</v>
      </c>
    </row>
    <row r="37" spans="1:10" x14ac:dyDescent="0.2">
      <c r="A37" s="92">
        <v>46022</v>
      </c>
      <c r="B37" s="66">
        <v>3001</v>
      </c>
      <c r="C37" s="90">
        <v>3001</v>
      </c>
      <c r="D37" s="93">
        <v>129144.8</v>
      </c>
      <c r="F37" s="99" t="s">
        <v>1670</v>
      </c>
      <c r="G37" s="93"/>
      <c r="I37" s="66">
        <f t="shared" si="0"/>
        <v>0</v>
      </c>
      <c r="J37" s="66" t="str">
        <f>VLOOKUP(B37,[1]Contas!$A$1:$B$65536,2,0)</f>
        <v>CLIENTES</v>
      </c>
    </row>
    <row r="38" spans="1:10" ht="15" x14ac:dyDescent="0.2">
      <c r="A38" s="92">
        <v>46022</v>
      </c>
      <c r="B38" s="66">
        <v>3174</v>
      </c>
      <c r="C38" s="90">
        <v>3001</v>
      </c>
      <c r="D38" s="93">
        <v>194852</v>
      </c>
      <c r="F38" s="78" t="s">
        <v>1671</v>
      </c>
      <c r="G38" s="93"/>
      <c r="I38" s="66">
        <f t="shared" si="0"/>
        <v>0</v>
      </c>
      <c r="J38" s="66" t="str">
        <f>VLOOKUP(B38,[1]Contas!$A$1:$B$65536,2,0)</f>
        <v>FUNDACAO FELICE ROSSO</v>
      </c>
    </row>
    <row r="39" spans="1:10" ht="15.75" thickBot="1" x14ac:dyDescent="0.25">
      <c r="A39" s="92">
        <v>46022</v>
      </c>
      <c r="B39" s="66">
        <v>5727</v>
      </c>
      <c r="C39" s="90">
        <v>3001</v>
      </c>
      <c r="D39" s="93">
        <v>229422.45</v>
      </c>
      <c r="F39" s="78" t="s">
        <v>1672</v>
      </c>
      <c r="G39" s="93"/>
      <c r="I39" s="66">
        <f t="shared" si="0"/>
        <v>0</v>
      </c>
      <c r="J39" s="66" t="str">
        <f>VLOOKUP(B39,[1]Contas!$A$1:$B$65536,2,0)</f>
        <v>FUNDACAO EDUCACIONAL SEVERINO SOMBRA</v>
      </c>
    </row>
    <row r="40" spans="1:10" ht="13.5" thickBot="1" x14ac:dyDescent="0.25">
      <c r="A40" s="92">
        <v>46022</v>
      </c>
      <c r="B40" s="66">
        <v>3001</v>
      </c>
      <c r="C40" s="90">
        <v>3001</v>
      </c>
      <c r="D40" s="93">
        <v>5920</v>
      </c>
      <c r="F40" s="102" t="s">
        <v>1673</v>
      </c>
      <c r="G40" s="93"/>
      <c r="I40" s="66">
        <f t="shared" si="0"/>
        <v>0</v>
      </c>
      <c r="J40" s="66" t="str">
        <f>VLOOKUP(B40,[1]Contas!$A$1:$B$65536,2,0)</f>
        <v>CLIENTES</v>
      </c>
    </row>
    <row r="41" spans="1:10" ht="13.5" thickBot="1" x14ac:dyDescent="0.25">
      <c r="A41" s="92">
        <v>46022</v>
      </c>
      <c r="B41" s="66">
        <v>3001</v>
      </c>
      <c r="C41" s="90">
        <v>3001</v>
      </c>
      <c r="D41" s="93">
        <v>1211399.43</v>
      </c>
      <c r="F41" s="99" t="s">
        <v>1674</v>
      </c>
      <c r="G41" s="93"/>
      <c r="I41" s="66">
        <f t="shared" si="0"/>
        <v>0</v>
      </c>
      <c r="J41" s="66" t="str">
        <f>VLOOKUP(B41,[1]Contas!$A$1:$B$65536,2,0)</f>
        <v>CLIENTES</v>
      </c>
    </row>
    <row r="42" spans="1:10" ht="13.5" thickBot="1" x14ac:dyDescent="0.25">
      <c r="A42" s="92">
        <v>46022</v>
      </c>
      <c r="B42" s="66">
        <v>3001</v>
      </c>
      <c r="C42" s="90">
        <v>3001</v>
      </c>
      <c r="D42" s="93">
        <v>9430</v>
      </c>
      <c r="F42" s="102" t="s">
        <v>1675</v>
      </c>
      <c r="G42" s="93"/>
      <c r="I42" s="66">
        <f t="shared" si="0"/>
        <v>0</v>
      </c>
      <c r="J42" s="66" t="str">
        <f>VLOOKUP(B42,[1]Contas!$A$1:$B$65536,2,0)</f>
        <v>CLIENTES</v>
      </c>
    </row>
    <row r="43" spans="1:10" ht="15" x14ac:dyDescent="0.2">
      <c r="A43" s="92">
        <v>46022</v>
      </c>
      <c r="B43" s="66">
        <v>5820</v>
      </c>
      <c r="C43" s="90">
        <v>3001</v>
      </c>
      <c r="D43" s="93">
        <v>20214.48</v>
      </c>
      <c r="F43" s="78" t="s">
        <v>1676</v>
      </c>
      <c r="G43" s="93"/>
      <c r="I43" s="66">
        <f t="shared" si="0"/>
        <v>0</v>
      </c>
      <c r="J43" s="66" t="e">
        <f>VLOOKUP(B43,[1]Contas!$A$1:$B$65536,2,0)</f>
        <v>#N/A</v>
      </c>
    </row>
    <row r="44" spans="1:10" ht="15" x14ac:dyDescent="0.2">
      <c r="A44" s="92">
        <v>46022</v>
      </c>
      <c r="B44" s="66">
        <v>3158</v>
      </c>
      <c r="C44" s="90">
        <v>3001</v>
      </c>
      <c r="D44" s="93">
        <v>118600</v>
      </c>
      <c r="F44" s="78" t="s">
        <v>1677</v>
      </c>
      <c r="G44" s="93"/>
      <c r="I44" s="66">
        <f t="shared" si="0"/>
        <v>0</v>
      </c>
      <c r="J44" s="66" t="str">
        <f>VLOOKUP(B44,[1]Contas!$A$1:$B$65536,2,0)</f>
        <v>ASSOCIACAO BENEFICENTE SIRIA</v>
      </c>
    </row>
    <row r="45" spans="1:10" ht="15.75" thickBot="1" x14ac:dyDescent="0.25">
      <c r="A45" s="92">
        <v>46022</v>
      </c>
      <c r="B45" s="66">
        <v>5822</v>
      </c>
      <c r="C45" s="90">
        <v>3001</v>
      </c>
      <c r="D45" s="93">
        <v>189480</v>
      </c>
      <c r="F45" s="74" t="s">
        <v>1678</v>
      </c>
      <c r="G45" s="93"/>
      <c r="I45" s="66">
        <f t="shared" si="0"/>
        <v>0</v>
      </c>
      <c r="J45" s="66" t="e">
        <f>VLOOKUP(B45,[1]Contas!$A$1:$B$65536,2,0)</f>
        <v>#N/A</v>
      </c>
    </row>
    <row r="46" spans="1:10" x14ac:dyDescent="0.2">
      <c r="A46" s="92">
        <v>46022</v>
      </c>
      <c r="B46" s="66">
        <v>3001</v>
      </c>
      <c r="C46" s="90">
        <v>3001</v>
      </c>
      <c r="D46" s="93">
        <v>24975</v>
      </c>
      <c r="F46" s="100" t="s">
        <v>1679</v>
      </c>
      <c r="G46" s="93"/>
      <c r="I46" s="66">
        <f t="shared" si="0"/>
        <v>0</v>
      </c>
      <c r="J46" s="66" t="str">
        <f>VLOOKUP(B46,[1]Contas!$A$1:$B$65536,2,0)</f>
        <v>CLIENTES</v>
      </c>
    </row>
    <row r="47" spans="1:10" ht="13.5" thickBot="1" x14ac:dyDescent="0.25">
      <c r="A47" s="92">
        <v>46022</v>
      </c>
      <c r="B47" s="66">
        <v>3001</v>
      </c>
      <c r="C47" s="90">
        <v>3001</v>
      </c>
      <c r="D47" s="93">
        <v>110892.5</v>
      </c>
      <c r="F47" s="101" t="s">
        <v>1680</v>
      </c>
      <c r="G47" s="93"/>
      <c r="I47" s="66">
        <f t="shared" si="0"/>
        <v>0</v>
      </c>
      <c r="J47" s="66" t="str">
        <f>VLOOKUP(B47,[1]Contas!$A$1:$B$65536,2,0)</f>
        <v>CLIENTES</v>
      </c>
    </row>
    <row r="48" spans="1:10" x14ac:dyDescent="0.2">
      <c r="A48" s="92">
        <v>46022</v>
      </c>
      <c r="B48" s="66">
        <v>3001</v>
      </c>
      <c r="C48" s="90">
        <v>3001</v>
      </c>
      <c r="D48" s="93">
        <v>15531</v>
      </c>
      <c r="F48" s="99" t="s">
        <v>1681</v>
      </c>
      <c r="G48" s="93"/>
      <c r="I48" s="66">
        <f t="shared" si="0"/>
        <v>0</v>
      </c>
      <c r="J48" s="66" t="str">
        <f>VLOOKUP(B48,[1]Contas!$A$1:$B$65536,2,0)</f>
        <v>CLIENTES</v>
      </c>
    </row>
    <row r="49" spans="1:10" ht="15" x14ac:dyDescent="0.2">
      <c r="A49" s="92">
        <v>46022</v>
      </c>
      <c r="B49" s="66">
        <v>3149</v>
      </c>
      <c r="C49" s="90">
        <v>3001</v>
      </c>
      <c r="D49" s="93">
        <v>32087</v>
      </c>
      <c r="F49" s="78" t="s">
        <v>1682</v>
      </c>
      <c r="G49" s="93"/>
      <c r="I49" s="66">
        <f t="shared" si="0"/>
        <v>0</v>
      </c>
      <c r="J49" s="66" t="str">
        <f>VLOOKUP(B49,[1]Contas!$A$1:$B$65536,2,0)</f>
        <v>INSTITUTO SOCRATES GUANAES - ISG</v>
      </c>
    </row>
    <row r="50" spans="1:10" x14ac:dyDescent="0.2">
      <c r="A50" s="92">
        <v>46022</v>
      </c>
      <c r="B50" s="66">
        <v>3001</v>
      </c>
      <c r="C50" s="90">
        <v>3001</v>
      </c>
      <c r="D50" s="93">
        <v>105756</v>
      </c>
      <c r="F50" s="99" t="s">
        <v>1683</v>
      </c>
      <c r="G50" s="93"/>
      <c r="I50" s="66">
        <f t="shared" si="0"/>
        <v>0</v>
      </c>
      <c r="J50" s="66" t="str">
        <f>VLOOKUP(B50,[1]Contas!$A$1:$B$65536,2,0)</f>
        <v>CLIENTES</v>
      </c>
    </row>
    <row r="51" spans="1:10" ht="15.75" thickBot="1" x14ac:dyDescent="0.25">
      <c r="A51" s="92">
        <v>46022</v>
      </c>
      <c r="B51" s="66">
        <v>3252</v>
      </c>
      <c r="C51" s="90">
        <v>3001</v>
      </c>
      <c r="D51" s="93">
        <v>228851.62</v>
      </c>
      <c r="F51" s="78" t="s">
        <v>1684</v>
      </c>
      <c r="G51" s="93"/>
      <c r="I51" s="66">
        <f t="shared" si="0"/>
        <v>0</v>
      </c>
      <c r="J51" s="66" t="str">
        <f>VLOOKUP(B51,[1]Contas!$A$1:$B$65536,2,0)</f>
        <v>SOCIEDADE HOSPITALAR ANGELINA CARON</v>
      </c>
    </row>
    <row r="52" spans="1:10" ht="13.5" thickBot="1" x14ac:dyDescent="0.25">
      <c r="A52" s="92">
        <v>46022</v>
      </c>
      <c r="B52" s="66">
        <v>3001</v>
      </c>
      <c r="C52" s="90">
        <v>3001</v>
      </c>
      <c r="D52" s="93">
        <v>85930.5</v>
      </c>
      <c r="F52" s="102" t="s">
        <v>1685</v>
      </c>
      <c r="G52" s="93"/>
      <c r="I52" s="66">
        <f t="shared" si="0"/>
        <v>0</v>
      </c>
      <c r="J52" s="66" t="str">
        <f>VLOOKUP(B52,[1]Contas!$A$1:$B$65536,2,0)</f>
        <v>CLIENTES</v>
      </c>
    </row>
    <row r="53" spans="1:10" ht="15.75" thickBot="1" x14ac:dyDescent="0.25">
      <c r="A53" s="92">
        <v>46022</v>
      </c>
      <c r="B53" s="66">
        <v>3589</v>
      </c>
      <c r="C53" s="90">
        <v>3001</v>
      </c>
      <c r="D53" s="93">
        <v>147853</v>
      </c>
      <c r="F53" s="75" t="s">
        <v>1686</v>
      </c>
      <c r="G53" s="93"/>
      <c r="I53" s="66">
        <f t="shared" si="0"/>
        <v>0</v>
      </c>
      <c r="J53" s="66" t="str">
        <f>VLOOKUP(B53,[1]Contas!$A$1:$B$65536,2,0)</f>
        <v>HOSPITAL ESPERANCA SA</v>
      </c>
    </row>
    <row r="54" spans="1:10" ht="15.75" thickBot="1" x14ac:dyDescent="0.25">
      <c r="A54" s="92">
        <v>46022</v>
      </c>
      <c r="B54" s="66">
        <v>3147</v>
      </c>
      <c r="C54" s="90">
        <v>3001</v>
      </c>
      <c r="D54" s="93">
        <v>62765</v>
      </c>
      <c r="F54" s="76" t="s">
        <v>1687</v>
      </c>
      <c r="G54" s="93"/>
      <c r="I54" s="66">
        <f t="shared" si="0"/>
        <v>0</v>
      </c>
      <c r="J54" s="66" t="str">
        <f>VLOOKUP(B54,[1]Contas!$A$1:$B$65536,2,0)</f>
        <v>ASSOCIACAO BENEFICENTE HOSPITAL UNIVERSITARIO</v>
      </c>
    </row>
    <row r="55" spans="1:10" ht="15.75" thickBot="1" x14ac:dyDescent="0.25">
      <c r="A55" s="92">
        <v>46022</v>
      </c>
      <c r="B55" s="66">
        <v>3136</v>
      </c>
      <c r="C55" s="90">
        <v>3001</v>
      </c>
      <c r="D55" s="93">
        <v>548877.26</v>
      </c>
      <c r="F55" s="77" t="s">
        <v>1688</v>
      </c>
      <c r="G55" s="93"/>
      <c r="I55" s="66">
        <f t="shared" si="0"/>
        <v>0</v>
      </c>
      <c r="J55" s="66" t="str">
        <f>VLOOKUP(B55,[1]Contas!$A$1:$B$65536,2,0)</f>
        <v>REAL E BENEMERITA ASSOCIACAO PORTUGUESA DE BENEFICENCIA</v>
      </c>
    </row>
    <row r="56" spans="1:10" ht="15.75" thickBot="1" x14ac:dyDescent="0.25">
      <c r="A56" s="92">
        <v>46022</v>
      </c>
      <c r="B56" s="66">
        <v>3143</v>
      </c>
      <c r="C56" s="90">
        <v>3001</v>
      </c>
      <c r="D56" s="93">
        <v>24700</v>
      </c>
      <c r="F56" s="79" t="s">
        <v>1689</v>
      </c>
      <c r="G56" s="93"/>
      <c r="I56" s="66">
        <f t="shared" si="0"/>
        <v>0</v>
      </c>
      <c r="J56" s="66" t="str">
        <f>VLOOKUP(B56,[1]Contas!$A$1:$B$65536,2,0)</f>
        <v>HOSPITAL CEPOG LTDA</v>
      </c>
    </row>
    <row r="57" spans="1:10" ht="13.5" thickBot="1" x14ac:dyDescent="0.25">
      <c r="A57" s="92">
        <v>46022</v>
      </c>
      <c r="B57" s="66">
        <v>3001</v>
      </c>
      <c r="C57" s="90">
        <v>3001</v>
      </c>
      <c r="D57" s="93">
        <v>7371</v>
      </c>
      <c r="F57" s="99" t="s">
        <v>1690</v>
      </c>
      <c r="G57" s="93"/>
      <c r="I57" s="66">
        <f t="shared" si="0"/>
        <v>0</v>
      </c>
      <c r="J57" s="66" t="str">
        <f>VLOOKUP(B57,[1]Contas!$A$1:$B$65536,2,0)</f>
        <v>CLIENTES</v>
      </c>
    </row>
    <row r="58" spans="1:10" ht="15.75" thickBot="1" x14ac:dyDescent="0.25">
      <c r="A58" s="92">
        <v>46022</v>
      </c>
      <c r="B58" s="66">
        <v>3202</v>
      </c>
      <c r="C58" s="90">
        <v>3001</v>
      </c>
      <c r="D58" s="93">
        <v>73500</v>
      </c>
      <c r="F58" s="79" t="s">
        <v>1691</v>
      </c>
      <c r="G58" s="93"/>
      <c r="I58" s="66">
        <f t="shared" si="0"/>
        <v>0</v>
      </c>
      <c r="J58" s="66" t="str">
        <f>VLOOKUP(B58,[1]Contas!$A$1:$B$65536,2,0)</f>
        <v>HBA SA ASSISTENCIA MEDICA E HOSPITALAR</v>
      </c>
    </row>
    <row r="59" spans="1:10" ht="15" x14ac:dyDescent="0.2">
      <c r="A59" s="92">
        <v>46022</v>
      </c>
      <c r="B59" s="66">
        <v>3123</v>
      </c>
      <c r="C59" s="90">
        <v>3001</v>
      </c>
      <c r="D59" s="93">
        <v>94169.26999999999</v>
      </c>
      <c r="F59" s="78" t="s">
        <v>1692</v>
      </c>
      <c r="G59" s="93"/>
      <c r="I59" s="66">
        <f t="shared" si="0"/>
        <v>0</v>
      </c>
      <c r="J59" s="66" t="str">
        <f>VLOOKUP(B59,[1]Contas!$A$1:$B$65536,2,0)</f>
        <v>HOSPITAL DA FUNDACAO CASA DE CARIDADE DE SAO LOURENCO</v>
      </c>
    </row>
    <row r="60" spans="1:10" ht="15" x14ac:dyDescent="0.2">
      <c r="A60" s="92">
        <v>46022</v>
      </c>
      <c r="B60" s="66">
        <v>3113</v>
      </c>
      <c r="C60" s="90">
        <v>3001</v>
      </c>
      <c r="D60" s="93">
        <v>323943.32</v>
      </c>
      <c r="F60" s="78" t="s">
        <v>1693</v>
      </c>
      <c r="G60" s="93"/>
      <c r="I60" s="66">
        <f t="shared" si="0"/>
        <v>0</v>
      </c>
      <c r="J60" s="66" t="str">
        <f>VLOOKUP(B60,[1]Contas!$A$1:$B$65536,2,0)</f>
        <v>FUNDACAO FACULDADE REGIONAL DE MEDICINA S.J.RIO PRETO</v>
      </c>
    </row>
    <row r="61" spans="1:10" ht="15" x14ac:dyDescent="0.2">
      <c r="A61" s="92">
        <v>46022</v>
      </c>
      <c r="B61" s="66">
        <v>3116</v>
      </c>
      <c r="C61" s="90">
        <v>3001</v>
      </c>
      <c r="D61" s="93">
        <v>256040.65999999997</v>
      </c>
      <c r="F61" s="78" t="s">
        <v>1694</v>
      </c>
      <c r="G61" s="93"/>
      <c r="I61" s="66">
        <f t="shared" si="0"/>
        <v>0</v>
      </c>
      <c r="J61" s="66" t="str">
        <f>VLOOKUP(B61,[1]Contas!$A$1:$B$65536,2,0)</f>
        <v>HOSPITAL DE CLINICAS</v>
      </c>
    </row>
    <row r="62" spans="1:10" ht="15" x14ac:dyDescent="0.2">
      <c r="A62" s="92">
        <v>46022</v>
      </c>
      <c r="B62" s="66">
        <v>3144</v>
      </c>
      <c r="C62" s="90">
        <v>3001</v>
      </c>
      <c r="D62" s="93">
        <v>31613.34</v>
      </c>
      <c r="F62" s="78" t="s">
        <v>1695</v>
      </c>
      <c r="G62" s="93"/>
      <c r="I62" s="66">
        <f t="shared" si="0"/>
        <v>0</v>
      </c>
      <c r="J62" s="66" t="str">
        <f>VLOOKUP(B62,[1]Contas!$A$1:$B$65536,2,0)</f>
        <v>HOSPITAL DO SERVIDOR PUBLICO MUNICIPAL</v>
      </c>
    </row>
    <row r="63" spans="1:10" x14ac:dyDescent="0.2">
      <c r="A63" s="92">
        <v>46022</v>
      </c>
      <c r="B63" s="66">
        <v>3001</v>
      </c>
      <c r="C63" s="90">
        <v>3001</v>
      </c>
      <c r="D63" s="93">
        <v>202605.82</v>
      </c>
      <c r="F63" s="99" t="s">
        <v>1696</v>
      </c>
      <c r="G63" s="93"/>
      <c r="I63" s="66">
        <f t="shared" si="0"/>
        <v>0</v>
      </c>
      <c r="J63" s="66" t="str">
        <f>VLOOKUP(B63,[1]Contas!$A$1:$B$65536,2,0)</f>
        <v>CLIENTES</v>
      </c>
    </row>
    <row r="64" spans="1:10" x14ac:dyDescent="0.2">
      <c r="A64" s="92">
        <v>46022</v>
      </c>
      <c r="B64" s="66">
        <v>3001</v>
      </c>
      <c r="C64" s="90">
        <v>3001</v>
      </c>
      <c r="D64" s="93">
        <v>225403.7</v>
      </c>
      <c r="F64" s="99" t="s">
        <v>1697</v>
      </c>
      <c r="G64" s="93"/>
      <c r="I64" s="66">
        <f t="shared" si="0"/>
        <v>0</v>
      </c>
      <c r="J64" s="66" t="str">
        <f>VLOOKUP(B64,[1]Contas!$A$1:$B$65536,2,0)</f>
        <v>CLIENTES</v>
      </c>
    </row>
    <row r="65" spans="1:10" ht="15" x14ac:dyDescent="0.2">
      <c r="A65" s="92">
        <v>46022</v>
      </c>
      <c r="B65" s="66">
        <v>3241</v>
      </c>
      <c r="C65" s="90">
        <v>3001</v>
      </c>
      <c r="D65" s="93">
        <v>353607</v>
      </c>
      <c r="F65" s="78" t="s">
        <v>1698</v>
      </c>
      <c r="G65" s="93"/>
      <c r="I65" s="66">
        <f t="shared" si="0"/>
        <v>0</v>
      </c>
      <c r="J65" s="66" t="str">
        <f>VLOOKUP(B65,[1]Contas!$A$1:$B$65536,2,0)</f>
        <v>INSTITUTO DAS PEQUENAS MISSIONARIAS DE MARIA IMACULADA</v>
      </c>
    </row>
    <row r="66" spans="1:10" x14ac:dyDescent="0.2">
      <c r="A66" s="92">
        <v>46022</v>
      </c>
      <c r="B66" s="66">
        <v>3001</v>
      </c>
      <c r="C66" s="90">
        <v>3001</v>
      </c>
      <c r="D66" s="93">
        <v>156100</v>
      </c>
      <c r="F66" s="99" t="s">
        <v>1699</v>
      </c>
      <c r="G66" s="93"/>
      <c r="I66" s="66">
        <f t="shared" ref="I66:I129" si="1">COUNTIF(B:B,0)</f>
        <v>0</v>
      </c>
      <c r="J66" s="66" t="str">
        <f>VLOOKUP(B66,[1]Contas!$A$1:$B$65536,2,0)</f>
        <v>CLIENTES</v>
      </c>
    </row>
    <row r="67" spans="1:10" ht="15" x14ac:dyDescent="0.2">
      <c r="A67" s="92">
        <v>46022</v>
      </c>
      <c r="B67" s="66">
        <v>3589</v>
      </c>
      <c r="C67" s="90">
        <v>3001</v>
      </c>
      <c r="D67" s="93">
        <v>132200</v>
      </c>
      <c r="F67" s="78" t="s">
        <v>1700</v>
      </c>
      <c r="G67" s="93"/>
      <c r="I67" s="66">
        <f t="shared" si="1"/>
        <v>0</v>
      </c>
      <c r="J67" s="66" t="str">
        <f>VLOOKUP(B67,[1]Contas!$A$1:$B$65536,2,0)</f>
        <v>HOSPITAL ESPERANCA SA</v>
      </c>
    </row>
    <row r="68" spans="1:10" x14ac:dyDescent="0.2">
      <c r="A68" s="92">
        <v>46022</v>
      </c>
      <c r="B68" s="66">
        <v>3001</v>
      </c>
      <c r="C68" s="90">
        <v>3001</v>
      </c>
      <c r="D68" s="93">
        <v>4600</v>
      </c>
      <c r="F68" s="99" t="s">
        <v>1701</v>
      </c>
      <c r="G68" s="93"/>
      <c r="I68" s="66">
        <f t="shared" si="1"/>
        <v>0</v>
      </c>
      <c r="J68" s="66" t="str">
        <f>VLOOKUP(B68,[1]Contas!$A$1:$B$65536,2,0)</f>
        <v>CLIENTES</v>
      </c>
    </row>
    <row r="69" spans="1:10" ht="15" x14ac:dyDescent="0.2">
      <c r="A69" s="92">
        <v>46022</v>
      </c>
      <c r="B69" s="66">
        <v>3297</v>
      </c>
      <c r="C69" s="90">
        <v>3001</v>
      </c>
      <c r="D69" s="93">
        <v>101406.62</v>
      </c>
      <c r="F69" s="78" t="s">
        <v>1702</v>
      </c>
      <c r="G69" s="93"/>
      <c r="I69" s="66">
        <f t="shared" si="1"/>
        <v>0</v>
      </c>
      <c r="J69" s="66" t="str">
        <f>VLOOKUP(B69,[1]Contas!$A$1:$B$65536,2,0)</f>
        <v>CLINICA SAO GONCALO LTDA</v>
      </c>
    </row>
    <row r="70" spans="1:10" x14ac:dyDescent="0.2">
      <c r="A70" s="92">
        <v>46022</v>
      </c>
      <c r="B70" s="66">
        <v>3001</v>
      </c>
      <c r="C70" s="90">
        <v>3001</v>
      </c>
      <c r="D70" s="93">
        <v>124189.51</v>
      </c>
      <c r="F70" s="99" t="s">
        <v>1703</v>
      </c>
      <c r="G70" s="93"/>
      <c r="I70" s="66">
        <f t="shared" si="1"/>
        <v>0</v>
      </c>
      <c r="J70" s="66" t="str">
        <f>VLOOKUP(B70,[1]Contas!$A$1:$B$65536,2,0)</f>
        <v>CLIENTES</v>
      </c>
    </row>
    <row r="71" spans="1:10" ht="15" x14ac:dyDescent="0.2">
      <c r="A71" s="92">
        <v>46022</v>
      </c>
      <c r="B71" s="66">
        <v>5725</v>
      </c>
      <c r="C71" s="90">
        <v>3001</v>
      </c>
      <c r="D71" s="93">
        <v>42845</v>
      </c>
      <c r="F71" s="78" t="s">
        <v>1704</v>
      </c>
      <c r="G71" s="93"/>
      <c r="I71" s="66">
        <f t="shared" si="1"/>
        <v>0</v>
      </c>
      <c r="J71" s="66" t="str">
        <f>VLOOKUP(B71,[1]Contas!$A$1:$B$65536,2,0)</f>
        <v>HOSPITAL LEFORTE LIBERDADE S.A.</v>
      </c>
    </row>
    <row r="72" spans="1:10" x14ac:dyDescent="0.2">
      <c r="A72" s="92">
        <v>46022</v>
      </c>
      <c r="B72" s="66">
        <v>3001</v>
      </c>
      <c r="C72" s="90">
        <v>3001</v>
      </c>
      <c r="D72" s="93">
        <v>29290.1</v>
      </c>
      <c r="F72" s="99" t="s">
        <v>1705</v>
      </c>
      <c r="G72" s="93"/>
      <c r="I72" s="66">
        <f t="shared" si="1"/>
        <v>0</v>
      </c>
      <c r="J72" s="66" t="str">
        <f>VLOOKUP(B72,[1]Contas!$A$1:$B$65536,2,0)</f>
        <v>CLIENTES</v>
      </c>
    </row>
    <row r="73" spans="1:10" ht="15" x14ac:dyDescent="0.2">
      <c r="A73" s="92">
        <v>46022</v>
      </c>
      <c r="B73" s="66">
        <v>3198</v>
      </c>
      <c r="C73" s="90">
        <v>3001</v>
      </c>
      <c r="D73" s="93">
        <v>9929.2800000000007</v>
      </c>
      <c r="F73" s="78" t="s">
        <v>1706</v>
      </c>
      <c r="G73" s="93"/>
      <c r="I73" s="66">
        <f t="shared" si="1"/>
        <v>0</v>
      </c>
      <c r="J73" s="66" t="str">
        <f>VLOOKUP(B73,[1]Contas!$A$1:$B$65536,2,0)</f>
        <v>HOSPITAL MATER DEI S/A</v>
      </c>
    </row>
    <row r="74" spans="1:10" ht="15.75" thickBot="1" x14ac:dyDescent="0.25">
      <c r="A74" s="92">
        <v>46022</v>
      </c>
      <c r="B74" s="66">
        <v>5723</v>
      </c>
      <c r="C74" s="90">
        <v>3001</v>
      </c>
      <c r="D74" s="93">
        <v>603919</v>
      </c>
      <c r="F74" s="78" t="s">
        <v>1707</v>
      </c>
      <c r="G74" s="93"/>
      <c r="I74" s="66">
        <f t="shared" si="1"/>
        <v>0</v>
      </c>
      <c r="J74" s="66" t="str">
        <f>VLOOKUP(B74,[1]Contas!$A$1:$B$65536,2,0)</f>
        <v>HOSPITAL NOVO ATIBAIA S.A.</v>
      </c>
    </row>
    <row r="75" spans="1:10" ht="15.75" thickBot="1" x14ac:dyDescent="0.25">
      <c r="A75" s="92">
        <v>46022</v>
      </c>
      <c r="B75" s="66">
        <v>3121</v>
      </c>
      <c r="C75" s="90">
        <v>3001</v>
      </c>
      <c r="D75" s="93">
        <v>267086</v>
      </c>
      <c r="F75" s="79" t="s">
        <v>1708</v>
      </c>
      <c r="G75" s="93"/>
      <c r="I75" s="66">
        <f t="shared" si="1"/>
        <v>0</v>
      </c>
      <c r="J75" s="66" t="str">
        <f>VLOOKUP(B75,[1]Contas!$A$1:$B$65536,2,0)</f>
        <v>POLICLIN S A SERVICOS MEDICO HOSPITALARES</v>
      </c>
    </row>
    <row r="76" spans="1:10" ht="15" x14ac:dyDescent="0.2">
      <c r="A76" s="92">
        <v>46022</v>
      </c>
      <c r="B76" s="66">
        <v>3127</v>
      </c>
      <c r="C76" s="90">
        <v>3001</v>
      </c>
      <c r="D76" s="93">
        <v>84670</v>
      </c>
      <c r="F76" s="78" t="s">
        <v>1709</v>
      </c>
      <c r="G76" s="93"/>
      <c r="I76" s="66">
        <f t="shared" si="1"/>
        <v>0</v>
      </c>
      <c r="J76" s="66" t="str">
        <f>VLOOKUP(B76,[1]Contas!$A$1:$B$65536,2,0)</f>
        <v>REAL SOCIEDADE PORTUGUESA DE BENEF 16 DE SETEMBRO</v>
      </c>
    </row>
    <row r="77" spans="1:10" ht="15.75" thickBot="1" x14ac:dyDescent="0.25">
      <c r="A77" s="92">
        <v>46022</v>
      </c>
      <c r="B77" s="66">
        <v>3274</v>
      </c>
      <c r="C77" s="90">
        <v>3001</v>
      </c>
      <c r="D77" s="93">
        <v>13447.23</v>
      </c>
      <c r="F77" s="75" t="s">
        <v>1710</v>
      </c>
      <c r="G77" s="93"/>
      <c r="I77" s="66">
        <f t="shared" si="1"/>
        <v>0</v>
      </c>
      <c r="J77" s="66" t="str">
        <f>VLOOKUP(B77,[1]Contas!$A$1:$B$65536,2,0)</f>
        <v>ESHO EMPRESA DE SERVICOS HOSPITALARES S.A.</v>
      </c>
    </row>
    <row r="78" spans="1:10" ht="15.75" thickBot="1" x14ac:dyDescent="0.25">
      <c r="A78" s="92">
        <v>46022</v>
      </c>
      <c r="B78" s="66">
        <v>3149</v>
      </c>
      <c r="C78" s="90">
        <v>3001</v>
      </c>
      <c r="D78" s="93">
        <v>51931.9</v>
      </c>
      <c r="F78" s="78" t="s">
        <v>1711</v>
      </c>
      <c r="G78" s="93"/>
      <c r="I78" s="66">
        <f t="shared" si="1"/>
        <v>0</v>
      </c>
      <c r="J78" s="66" t="str">
        <f>VLOOKUP(B78,[1]Contas!$A$1:$B$65536,2,0)</f>
        <v>INSTITUTO SOCRATES GUANAES - ISG</v>
      </c>
    </row>
    <row r="79" spans="1:10" ht="15" x14ac:dyDescent="0.2">
      <c r="A79" s="92">
        <v>46022</v>
      </c>
      <c r="B79" s="66">
        <v>3184</v>
      </c>
      <c r="C79" s="90">
        <v>3001</v>
      </c>
      <c r="D79" s="93">
        <v>207954.97999999998</v>
      </c>
      <c r="F79" s="77" t="s">
        <v>1712</v>
      </c>
      <c r="G79" s="93"/>
      <c r="I79" s="66">
        <f t="shared" si="1"/>
        <v>0</v>
      </c>
      <c r="J79" s="66" t="str">
        <f>VLOOKUP(B79,[1]Contas!$A$1:$B$65536,2,0)</f>
        <v>SOCIEDADE BENEFICENTE SAO CAMILO</v>
      </c>
    </row>
    <row r="80" spans="1:10" ht="15" x14ac:dyDescent="0.2">
      <c r="A80" s="92">
        <v>46022</v>
      </c>
      <c r="B80" s="66">
        <v>3278</v>
      </c>
      <c r="C80" s="90">
        <v>3001</v>
      </c>
      <c r="D80" s="93">
        <v>30758.17</v>
      </c>
      <c r="F80" s="78" t="s">
        <v>1713</v>
      </c>
      <c r="G80" s="93"/>
      <c r="I80" s="66">
        <f t="shared" si="1"/>
        <v>0</v>
      </c>
      <c r="J80" s="66" t="str">
        <f>VLOOKUP(B80,[1]Contas!$A$1:$B$65536,2,0)</f>
        <v>HOSPITAL DO CORACAO SAMCORDIS LTDA</v>
      </c>
    </row>
    <row r="81" spans="1:10" ht="13.5" thickBot="1" x14ac:dyDescent="0.25">
      <c r="A81" s="92">
        <v>46022</v>
      </c>
      <c r="B81" s="66">
        <v>3001</v>
      </c>
      <c r="C81" s="90">
        <v>3001</v>
      </c>
      <c r="D81" s="93">
        <v>2356</v>
      </c>
      <c r="F81" s="99" t="s">
        <v>1714</v>
      </c>
      <c r="G81" s="93"/>
      <c r="I81" s="66">
        <f t="shared" si="1"/>
        <v>0</v>
      </c>
      <c r="J81" s="66" t="str">
        <f>VLOOKUP(B81,[1]Contas!$A$1:$B$65536,2,0)</f>
        <v>CLIENTES</v>
      </c>
    </row>
    <row r="82" spans="1:10" ht="13.5" thickBot="1" x14ac:dyDescent="0.25">
      <c r="A82" s="92">
        <v>46022</v>
      </c>
      <c r="B82" s="66">
        <v>3001</v>
      </c>
      <c r="C82" s="90">
        <v>3001</v>
      </c>
      <c r="D82" s="93">
        <v>282909.01999999996</v>
      </c>
      <c r="F82" s="102" t="s">
        <v>1715</v>
      </c>
      <c r="G82" s="93"/>
      <c r="I82" s="66">
        <f t="shared" si="1"/>
        <v>0</v>
      </c>
      <c r="J82" s="66" t="str">
        <f>VLOOKUP(B82,[1]Contas!$A$1:$B$65536,2,0)</f>
        <v>CLIENTES</v>
      </c>
    </row>
    <row r="83" spans="1:10" ht="15" x14ac:dyDescent="0.2">
      <c r="A83" s="92">
        <v>46022</v>
      </c>
      <c r="B83" s="66">
        <v>3211</v>
      </c>
      <c r="C83" s="90">
        <v>3001</v>
      </c>
      <c r="D83" s="93">
        <v>182750</v>
      </c>
      <c r="F83" s="78" t="s">
        <v>1716</v>
      </c>
      <c r="G83" s="93"/>
      <c r="I83" s="66">
        <f t="shared" si="1"/>
        <v>0</v>
      </c>
      <c r="J83" s="66" t="str">
        <f>VLOOKUP(B83,[1]Contas!$A$1:$B$65536,2,0)</f>
        <v>SANTA HELENA ASSISTENCIA MEDICA S/A</v>
      </c>
    </row>
    <row r="84" spans="1:10" ht="15" x14ac:dyDescent="0.2">
      <c r="A84" s="92">
        <v>46022</v>
      </c>
      <c r="B84" s="66">
        <v>3225</v>
      </c>
      <c r="C84" s="90">
        <v>3001</v>
      </c>
      <c r="D84" s="93">
        <v>95697.12</v>
      </c>
      <c r="F84" s="78" t="s">
        <v>1717</v>
      </c>
      <c r="G84" s="93"/>
      <c r="I84" s="66">
        <f t="shared" si="1"/>
        <v>0</v>
      </c>
      <c r="J84" s="66" t="str">
        <f>VLOOKUP(B84,[1]Contas!$A$1:$B$65536,2,0)</f>
        <v>SANTA CASA DE MISERICORDIA DA BAHIA</v>
      </c>
    </row>
    <row r="85" spans="1:10" ht="15" x14ac:dyDescent="0.2">
      <c r="A85" s="92">
        <v>46022</v>
      </c>
      <c r="B85" s="66">
        <v>3231</v>
      </c>
      <c r="C85" s="90">
        <v>3001</v>
      </c>
      <c r="D85" s="93">
        <v>1619.94</v>
      </c>
      <c r="F85" s="78" t="s">
        <v>1718</v>
      </c>
      <c r="G85" s="93"/>
      <c r="I85" s="66">
        <f t="shared" si="1"/>
        <v>0</v>
      </c>
      <c r="J85" s="66" t="str">
        <f>VLOOKUP(B85,[1]Contas!$A$1:$B$65536,2,0)</f>
        <v>ASSOCIACAO HOSPITALAR FILHAS DE NOSSA SENHORA DO MONTE CALVA</v>
      </c>
    </row>
    <row r="86" spans="1:10" ht="15" x14ac:dyDescent="0.2">
      <c r="A86" s="92">
        <v>46022</v>
      </c>
      <c r="B86" s="66">
        <v>3577</v>
      </c>
      <c r="C86" s="90">
        <v>3001</v>
      </c>
      <c r="D86" s="93">
        <v>24248.7</v>
      </c>
      <c r="F86" s="78" t="s">
        <v>1719</v>
      </c>
      <c r="G86" s="93"/>
      <c r="I86" s="66">
        <f t="shared" si="1"/>
        <v>0</v>
      </c>
      <c r="J86" s="66" t="str">
        <f>VLOOKUP(B86,[1]Contas!$A$1:$B$65536,2,0)</f>
        <v>SOCIEDADE BENEFICENTE SAO CAMILO - IPIRANGA</v>
      </c>
    </row>
    <row r="87" spans="1:10" ht="15.75" thickBot="1" x14ac:dyDescent="0.25">
      <c r="A87" s="92">
        <v>46022</v>
      </c>
      <c r="B87" s="66">
        <v>3163</v>
      </c>
      <c r="C87" s="90">
        <v>3001</v>
      </c>
      <c r="D87" s="93">
        <v>57500</v>
      </c>
      <c r="F87" s="75" t="s">
        <v>1720</v>
      </c>
      <c r="G87" s="93"/>
      <c r="I87" s="66">
        <f t="shared" si="1"/>
        <v>0</v>
      </c>
      <c r="J87" s="66" t="str">
        <f>VLOOKUP(B87,[1]Contas!$A$1:$B$65536,2,0)</f>
        <v>ASSOCIACAO CONGREGACAO SANTA CATARINA</v>
      </c>
    </row>
    <row r="88" spans="1:10" ht="13.5" thickBot="1" x14ac:dyDescent="0.25">
      <c r="A88" s="92">
        <v>46022</v>
      </c>
      <c r="B88" s="66">
        <v>3001</v>
      </c>
      <c r="C88" s="90">
        <v>3001</v>
      </c>
      <c r="D88" s="93">
        <v>118100</v>
      </c>
      <c r="F88" s="99" t="s">
        <v>1721</v>
      </c>
      <c r="G88" s="93"/>
      <c r="I88" s="66">
        <f t="shared" si="1"/>
        <v>0</v>
      </c>
      <c r="J88" s="66" t="str">
        <f>VLOOKUP(B88,[1]Contas!$A$1:$B$65536,2,0)</f>
        <v>CLIENTES</v>
      </c>
    </row>
    <row r="89" spans="1:10" ht="15" x14ac:dyDescent="0.2">
      <c r="A89" s="92">
        <v>46022</v>
      </c>
      <c r="B89" s="66">
        <v>3522</v>
      </c>
      <c r="C89" s="90">
        <v>3001</v>
      </c>
      <c r="D89" s="93">
        <v>54999.979999999996</v>
      </c>
      <c r="F89" s="77" t="s">
        <v>1722</v>
      </c>
      <c r="G89" s="93"/>
      <c r="I89" s="66">
        <f t="shared" si="1"/>
        <v>0</v>
      </c>
      <c r="J89" s="66" t="str">
        <f>VLOOKUP(B89,[1]Contas!$A$1:$B$65536,2,0)</f>
        <v>HOSPITAL SAO LUCAS SA</v>
      </c>
    </row>
    <row r="90" spans="1:10" x14ac:dyDescent="0.2">
      <c r="A90" s="92">
        <v>46022</v>
      </c>
      <c r="B90" s="66">
        <v>3001</v>
      </c>
      <c r="C90" s="90">
        <v>3001</v>
      </c>
      <c r="D90" s="93">
        <v>489901.75</v>
      </c>
      <c r="F90" s="99" t="s">
        <v>1723</v>
      </c>
      <c r="G90" s="93"/>
      <c r="I90" s="66">
        <f t="shared" si="1"/>
        <v>0</v>
      </c>
      <c r="J90" s="66" t="str">
        <f>VLOOKUP(B90,[1]Contas!$A$1:$B$65536,2,0)</f>
        <v>CLIENTES</v>
      </c>
    </row>
    <row r="91" spans="1:10" ht="13.5" thickBot="1" x14ac:dyDescent="0.25">
      <c r="A91" s="92">
        <v>46022</v>
      </c>
      <c r="B91" s="66">
        <v>3001</v>
      </c>
      <c r="C91" s="90">
        <v>3001</v>
      </c>
      <c r="D91" s="93">
        <v>610078.02</v>
      </c>
      <c r="F91" s="99" t="s">
        <v>1724</v>
      </c>
      <c r="G91" s="93"/>
      <c r="I91" s="66">
        <f t="shared" si="1"/>
        <v>0</v>
      </c>
      <c r="J91" s="66" t="str">
        <f>VLOOKUP(B91,[1]Contas!$A$1:$B$65536,2,0)</f>
        <v>CLIENTES</v>
      </c>
    </row>
    <row r="92" spans="1:10" ht="15.75" thickBot="1" x14ac:dyDescent="0.25">
      <c r="A92" s="92">
        <v>46022</v>
      </c>
      <c r="B92" s="66">
        <v>3341</v>
      </c>
      <c r="C92" s="90">
        <v>3001</v>
      </c>
      <c r="D92" s="93">
        <v>903700</v>
      </c>
      <c r="F92" s="79" t="s">
        <v>1725</v>
      </c>
      <c r="G92" s="93"/>
      <c r="I92" s="66">
        <f t="shared" si="1"/>
        <v>0</v>
      </c>
      <c r="J92" s="66" t="str">
        <f>VLOOKUP(B92,[1]Contas!$A$1:$B$65536,2,0)</f>
        <v>UNIMED SUDOESTE DE MINAS COOPERATIVA DE TRABALHO MEDICO</v>
      </c>
    </row>
    <row r="93" spans="1:10" ht="15" x14ac:dyDescent="0.2">
      <c r="A93" s="92">
        <v>46022</v>
      </c>
      <c r="B93" s="66">
        <v>3544</v>
      </c>
      <c r="C93" s="90">
        <v>3001</v>
      </c>
      <c r="D93" s="93">
        <v>28666.68</v>
      </c>
      <c r="F93" s="78" t="s">
        <v>1726</v>
      </c>
      <c r="G93" s="93"/>
      <c r="I93" s="66">
        <f t="shared" si="1"/>
        <v>0</v>
      </c>
      <c r="J93" s="66" t="str">
        <f>VLOOKUP(B93,[1]Contas!$A$1:$B$65536,2,0)</f>
        <v>UNIMED SANTA BARBARA D OESTE E AMERICANA</v>
      </c>
    </row>
    <row r="94" spans="1:10" ht="15.75" thickBot="1" x14ac:dyDescent="0.25">
      <c r="A94" s="92">
        <v>46022</v>
      </c>
      <c r="B94" s="66">
        <v>3120</v>
      </c>
      <c r="C94" s="90">
        <v>3001</v>
      </c>
      <c r="D94" s="93">
        <v>275613.09999999998</v>
      </c>
      <c r="F94" s="78" t="s">
        <v>1727</v>
      </c>
      <c r="G94" s="93"/>
      <c r="I94" s="66">
        <f t="shared" si="1"/>
        <v>0</v>
      </c>
      <c r="J94" s="66" t="str">
        <f>VLOOKUP(B94,[1]Contas!$A$1:$B$65536,2,0)</f>
        <v>SOCIEDADE BENEFICENTE SAGRADA FAMILIA</v>
      </c>
    </row>
    <row r="95" spans="1:10" ht="13.5" thickBot="1" x14ac:dyDescent="0.25">
      <c r="A95" s="92">
        <v>46022</v>
      </c>
      <c r="B95" s="66">
        <v>3001</v>
      </c>
      <c r="C95" s="90">
        <v>3001</v>
      </c>
      <c r="D95" s="93">
        <v>21214.32</v>
      </c>
      <c r="F95" s="102" t="s">
        <v>1728</v>
      </c>
      <c r="G95" s="93"/>
      <c r="I95" s="66">
        <f t="shared" si="1"/>
        <v>0</v>
      </c>
      <c r="J95" s="66" t="str">
        <f>VLOOKUP(B95,[1]Contas!$A$1:$B$65536,2,0)</f>
        <v>CLIENTES</v>
      </c>
    </row>
    <row r="96" spans="1:10" ht="13.5" thickBot="1" x14ac:dyDescent="0.25">
      <c r="A96" s="92">
        <v>46022</v>
      </c>
      <c r="B96" s="66">
        <v>3001</v>
      </c>
      <c r="C96" s="90">
        <v>3001</v>
      </c>
      <c r="D96" s="93">
        <v>32455.13</v>
      </c>
      <c r="F96" s="99" t="s">
        <v>1729</v>
      </c>
      <c r="G96" s="93"/>
      <c r="I96" s="66">
        <f t="shared" si="1"/>
        <v>0</v>
      </c>
      <c r="J96" s="66" t="str">
        <f>VLOOKUP(B96,[1]Contas!$A$1:$B$65536,2,0)</f>
        <v>CLIENTES</v>
      </c>
    </row>
    <row r="97" spans="1:10" ht="15.75" thickBot="1" x14ac:dyDescent="0.25">
      <c r="A97" s="92">
        <v>46022</v>
      </c>
      <c r="B97" s="66">
        <v>3272</v>
      </c>
      <c r="C97" s="90">
        <v>3001</v>
      </c>
      <c r="D97" s="93">
        <v>14405</v>
      </c>
      <c r="F97" s="79" t="s">
        <v>1730</v>
      </c>
      <c r="G97" s="93"/>
      <c r="I97" s="66">
        <f t="shared" si="1"/>
        <v>0</v>
      </c>
      <c r="J97" s="66" t="str">
        <f>VLOOKUP(B97,[1]Contas!$A$1:$B$65536,2,0)</f>
        <v>HOSPITAL ALVORADA TAGUATINGA LTDA</v>
      </c>
    </row>
    <row r="98" spans="1:10" ht="15.75" thickBot="1" x14ac:dyDescent="0.25">
      <c r="A98" s="92">
        <v>46022</v>
      </c>
      <c r="B98" s="66">
        <v>3126</v>
      </c>
      <c r="C98" s="90">
        <v>3001</v>
      </c>
      <c r="D98" s="93">
        <v>134639.66</v>
      </c>
      <c r="F98" s="81" t="s">
        <v>1731</v>
      </c>
      <c r="G98" s="93"/>
      <c r="I98" s="66">
        <f t="shared" si="1"/>
        <v>0</v>
      </c>
      <c r="J98" s="66" t="str">
        <f>VLOOKUP(B98,[1]Contas!$A$1:$B$65536,2,0)</f>
        <v>REDE DOR SAO LUIZ S.A.</v>
      </c>
    </row>
    <row r="99" spans="1:10" ht="13.5" thickBot="1" x14ac:dyDescent="0.25">
      <c r="A99" s="92">
        <v>46022</v>
      </c>
      <c r="B99" s="66">
        <v>3001</v>
      </c>
      <c r="C99" s="90">
        <v>3001</v>
      </c>
      <c r="D99" s="93">
        <v>5120</v>
      </c>
      <c r="F99" s="102" t="s">
        <v>1732</v>
      </c>
      <c r="G99" s="93"/>
      <c r="I99" s="66">
        <f t="shared" si="1"/>
        <v>0</v>
      </c>
      <c r="J99" s="66" t="str">
        <f>VLOOKUP(B99,[1]Contas!$A$1:$B$65536,2,0)</f>
        <v>CLIENTES</v>
      </c>
    </row>
    <row r="100" spans="1:10" ht="13.5" thickBot="1" x14ac:dyDescent="0.25">
      <c r="A100" s="92">
        <v>46022</v>
      </c>
      <c r="B100" s="66">
        <v>3001</v>
      </c>
      <c r="C100" s="90">
        <v>3001</v>
      </c>
      <c r="D100" s="93">
        <v>35000</v>
      </c>
      <c r="F100" s="99" t="s">
        <v>1733</v>
      </c>
      <c r="G100" s="93"/>
      <c r="I100" s="66">
        <f t="shared" si="1"/>
        <v>0</v>
      </c>
      <c r="J100" s="66" t="str">
        <f>VLOOKUP(B100,[1]Contas!$A$1:$B$65536,2,0)</f>
        <v>CLIENTES</v>
      </c>
    </row>
    <row r="101" spans="1:10" ht="13.5" thickBot="1" x14ac:dyDescent="0.25">
      <c r="A101" s="92">
        <v>46022</v>
      </c>
      <c r="B101" s="66">
        <v>3001</v>
      </c>
      <c r="C101" s="90">
        <v>3001</v>
      </c>
      <c r="D101" s="93">
        <v>78476.679999999993</v>
      </c>
      <c r="F101" s="102" t="s">
        <v>1734</v>
      </c>
      <c r="G101" s="93"/>
      <c r="I101" s="66">
        <f t="shared" si="1"/>
        <v>0</v>
      </c>
      <c r="J101" s="66" t="str">
        <f>VLOOKUP(B101,[1]Contas!$A$1:$B$65536,2,0)</f>
        <v>CLIENTES</v>
      </c>
    </row>
    <row r="102" spans="1:10" ht="15.75" thickBot="1" x14ac:dyDescent="0.25">
      <c r="A102" s="92">
        <v>46022</v>
      </c>
      <c r="B102" s="66">
        <v>5722</v>
      </c>
      <c r="C102" s="90">
        <v>3001</v>
      </c>
      <c r="D102" s="93">
        <v>141827</v>
      </c>
      <c r="F102" s="75" t="s">
        <v>1735</v>
      </c>
      <c r="G102" s="93"/>
      <c r="I102" s="66">
        <f t="shared" si="1"/>
        <v>0</v>
      </c>
      <c r="J102" s="66" t="str">
        <f>VLOOKUP(B102,[1]Contas!$A$1:$B$65536,2,0)</f>
        <v>INSTITUTO DE NEUROLOGIA</v>
      </c>
    </row>
    <row r="103" spans="1:10" ht="15" x14ac:dyDescent="0.2">
      <c r="A103" s="92">
        <v>46022</v>
      </c>
      <c r="B103" s="66">
        <v>3593</v>
      </c>
      <c r="C103" s="90">
        <v>3001</v>
      </c>
      <c r="D103" s="93">
        <v>14976.58</v>
      </c>
      <c r="F103" s="77" t="s">
        <v>1736</v>
      </c>
      <c r="G103" s="93"/>
      <c r="I103" s="66">
        <f t="shared" si="1"/>
        <v>0</v>
      </c>
      <c r="J103" s="66" t="str">
        <f>VLOOKUP(B103,[1]Contas!$A$1:$B$65536,2,0)</f>
        <v>INTENSIVA DAY HOSPITAL LTDA</v>
      </c>
    </row>
    <row r="104" spans="1:10" ht="13.5" thickBot="1" x14ac:dyDescent="0.25">
      <c r="A104" s="92">
        <v>46022</v>
      </c>
      <c r="B104" s="66">
        <v>3001</v>
      </c>
      <c r="C104" s="90">
        <v>3001</v>
      </c>
      <c r="D104" s="93">
        <v>23400</v>
      </c>
      <c r="F104" s="101" t="s">
        <v>1737</v>
      </c>
      <c r="G104" s="93"/>
      <c r="I104" s="66">
        <f t="shared" si="1"/>
        <v>0</v>
      </c>
      <c r="J104" s="66" t="str">
        <f>VLOOKUP(B104,[1]Contas!$A$1:$B$65536,2,0)</f>
        <v>CLIENTES</v>
      </c>
    </row>
    <row r="105" spans="1:10" ht="15" x14ac:dyDescent="0.2">
      <c r="A105" s="92">
        <v>46022</v>
      </c>
      <c r="B105" s="66">
        <v>5697</v>
      </c>
      <c r="C105" s="90">
        <v>3001</v>
      </c>
      <c r="D105" s="93">
        <v>295872.04000000004</v>
      </c>
      <c r="F105" s="77" t="s">
        <v>1738</v>
      </c>
      <c r="G105" s="93"/>
      <c r="I105" s="66">
        <f t="shared" si="1"/>
        <v>0</v>
      </c>
      <c r="J105" s="66" t="str">
        <f>VLOOKUP(B105,[1]Contas!$A$1:$B$65536,2,0)</f>
        <v>IRMANDADE DA SANTA CASA DE MISERICORDIA DE SAO CARLOS</v>
      </c>
    </row>
    <row r="106" spans="1:10" ht="15" x14ac:dyDescent="0.2">
      <c r="A106" s="92">
        <v>46022</v>
      </c>
      <c r="B106" s="66">
        <v>3304</v>
      </c>
      <c r="C106" s="90">
        <v>3001</v>
      </c>
      <c r="D106" s="93">
        <v>483413.8</v>
      </c>
      <c r="F106" s="78" t="s">
        <v>1739</v>
      </c>
      <c r="G106" s="93"/>
      <c r="I106" s="66">
        <f t="shared" si="1"/>
        <v>0</v>
      </c>
      <c r="J106" s="66" t="str">
        <f>VLOOKUP(B106,[1]Contas!$A$1:$B$65536,2,0)</f>
        <v>KLINI PLANOS DE SAUDE LTDA</v>
      </c>
    </row>
    <row r="107" spans="1:10" ht="13.5" thickBot="1" x14ac:dyDescent="0.25">
      <c r="A107" s="92">
        <v>46022</v>
      </c>
      <c r="B107" s="66">
        <v>3001</v>
      </c>
      <c r="C107" s="90">
        <v>3001</v>
      </c>
      <c r="D107" s="93">
        <v>161000</v>
      </c>
      <c r="F107" s="101" t="s">
        <v>1740</v>
      </c>
      <c r="G107" s="93"/>
      <c r="I107" s="66">
        <f t="shared" si="1"/>
        <v>0</v>
      </c>
      <c r="J107" s="66" t="str">
        <f>VLOOKUP(B107,[1]Contas!$A$1:$B$65536,2,0)</f>
        <v>CLIENTES</v>
      </c>
    </row>
    <row r="108" spans="1:10" ht="15.75" thickBot="1" x14ac:dyDescent="0.25">
      <c r="A108" s="92">
        <v>46022</v>
      </c>
      <c r="B108" s="66">
        <v>3305</v>
      </c>
      <c r="C108" s="90">
        <v>3001</v>
      </c>
      <c r="D108" s="93">
        <v>253703.35</v>
      </c>
      <c r="F108" s="78" t="s">
        <v>1741</v>
      </c>
      <c r="G108" s="93"/>
      <c r="I108" s="66">
        <f t="shared" si="1"/>
        <v>0</v>
      </c>
      <c r="J108" s="66" t="str">
        <f>VLOOKUP(B108,[1]Contas!$A$1:$B$65536,2,0)</f>
        <v>LIV LINHAS INTELIGENTES DE ATENCAO A VIDA S/A</v>
      </c>
    </row>
    <row r="109" spans="1:10" x14ac:dyDescent="0.2">
      <c r="A109" s="92">
        <v>46022</v>
      </c>
      <c r="B109" s="66">
        <v>3001</v>
      </c>
      <c r="C109" s="90">
        <v>3001</v>
      </c>
      <c r="D109" s="93">
        <v>488710</v>
      </c>
      <c r="F109" s="100" t="s">
        <v>1742</v>
      </c>
      <c r="G109" s="93"/>
      <c r="I109" s="66">
        <f t="shared" si="1"/>
        <v>0</v>
      </c>
      <c r="J109" s="66" t="str">
        <f>VLOOKUP(B109,[1]Contas!$A$1:$B$65536,2,0)</f>
        <v>CLIENTES</v>
      </c>
    </row>
    <row r="110" spans="1:10" ht="15" x14ac:dyDescent="0.2">
      <c r="A110" s="92">
        <v>46022</v>
      </c>
      <c r="B110" s="66">
        <v>5825</v>
      </c>
      <c r="C110" s="90">
        <v>3001</v>
      </c>
      <c r="D110" s="93">
        <v>23489</v>
      </c>
      <c r="F110" s="78" t="s">
        <v>1743</v>
      </c>
      <c r="G110" s="93"/>
      <c r="I110" s="66">
        <f t="shared" si="1"/>
        <v>0</v>
      </c>
      <c r="J110" s="66" t="e">
        <f>VLOOKUP(B110,[1]Contas!$A$1:$B$65536,2,0)</f>
        <v>#N/A</v>
      </c>
    </row>
    <row r="111" spans="1:10" ht="15" x14ac:dyDescent="0.2">
      <c r="A111" s="92">
        <v>46022</v>
      </c>
      <c r="B111" s="66">
        <v>3306</v>
      </c>
      <c r="C111" s="90">
        <v>3001</v>
      </c>
      <c r="D111" s="93">
        <v>34444.6</v>
      </c>
      <c r="F111" s="78" t="s">
        <v>1744</v>
      </c>
      <c r="G111" s="93"/>
      <c r="I111" s="66">
        <f t="shared" si="1"/>
        <v>0</v>
      </c>
      <c r="J111" s="66" t="str">
        <f>VLOOKUP(B111,[1]Contas!$A$1:$B$65536,2,0)</f>
        <v>SAMEDIL - SERVICOS DE ATENDIMENTO MEDICO S/A</v>
      </c>
    </row>
    <row r="112" spans="1:10" ht="15" x14ac:dyDescent="0.2">
      <c r="A112" s="92">
        <v>46022</v>
      </c>
      <c r="B112" s="66">
        <v>3416</v>
      </c>
      <c r="C112" s="90">
        <v>3001</v>
      </c>
      <c r="D112" s="93">
        <v>42171.5</v>
      </c>
      <c r="F112" s="78" t="s">
        <v>1745</v>
      </c>
      <c r="G112" s="93"/>
      <c r="I112" s="66">
        <f t="shared" si="1"/>
        <v>0</v>
      </c>
      <c r="J112" s="66" t="str">
        <f>VLOOKUP(B112,[1]Contas!$A$1:$B$65536,2,0)</f>
        <v>MED-TOUR ADMINISTRADORA DE BENEFICIOS E EMPREENDIMENTOS LTDA</v>
      </c>
    </row>
    <row r="113" spans="1:10" x14ac:dyDescent="0.2">
      <c r="A113" s="92">
        <v>46022</v>
      </c>
      <c r="B113" s="66">
        <v>3001</v>
      </c>
      <c r="C113" s="90">
        <v>3001</v>
      </c>
      <c r="D113" s="93">
        <v>47097.5</v>
      </c>
      <c r="F113" s="99" t="s">
        <v>1746</v>
      </c>
      <c r="G113" s="93"/>
      <c r="I113" s="66">
        <f t="shared" si="1"/>
        <v>0</v>
      </c>
      <c r="J113" s="66" t="str">
        <f>VLOOKUP(B113,[1]Contas!$A$1:$B$65536,2,0)</f>
        <v>CLIENTES</v>
      </c>
    </row>
    <row r="114" spans="1:10" ht="13.5" thickBot="1" x14ac:dyDescent="0.25">
      <c r="A114" s="92">
        <v>46022</v>
      </c>
      <c r="B114" s="66">
        <v>5830</v>
      </c>
      <c r="C114" s="90">
        <v>3001</v>
      </c>
      <c r="D114" s="93">
        <v>217805.33</v>
      </c>
      <c r="F114" s="101" t="s">
        <v>1747</v>
      </c>
      <c r="G114" s="93"/>
      <c r="I114" s="66">
        <f t="shared" si="1"/>
        <v>0</v>
      </c>
      <c r="J114" s="66" t="e">
        <f>VLOOKUP(B114,[1]Contas!$A$1:$B$65536,2,0)</f>
        <v>#N/A</v>
      </c>
    </row>
    <row r="115" spans="1:10" ht="15.75" thickBot="1" x14ac:dyDescent="0.25">
      <c r="A115" s="92">
        <v>46022</v>
      </c>
      <c r="B115" s="66">
        <v>3213</v>
      </c>
      <c r="C115" s="90">
        <v>3001</v>
      </c>
      <c r="D115" s="93">
        <v>25370</v>
      </c>
      <c r="F115" s="78" t="s">
        <v>1748</v>
      </c>
      <c r="G115" s="93"/>
      <c r="I115" s="66">
        <f t="shared" si="1"/>
        <v>0</v>
      </c>
      <c r="J115" s="66" t="str">
        <f>VLOOKUP(B115,[1]Contas!$A$1:$B$65536,2,0)</f>
        <v>NOSSA SAUDE OPERADORA DE PLANOS PRIVADOS DE ASSISTENCIA A SA</v>
      </c>
    </row>
    <row r="116" spans="1:10" ht="15" x14ac:dyDescent="0.2">
      <c r="A116" s="92">
        <v>46022</v>
      </c>
      <c r="B116" s="66">
        <v>3142</v>
      </c>
      <c r="C116" s="90">
        <v>3001</v>
      </c>
      <c r="D116" s="93">
        <v>125465.25</v>
      </c>
      <c r="F116" s="77" t="s">
        <v>1749</v>
      </c>
      <c r="G116" s="93"/>
      <c r="I116" s="66">
        <f t="shared" si="1"/>
        <v>0</v>
      </c>
      <c r="J116" s="66" t="str">
        <f>VLOOKUP(B116,[1]Contas!$A$1:$B$65536,2,0)</f>
        <v>NOTRE DAME INTERMEDICA SAUDE S.A.</v>
      </c>
    </row>
    <row r="117" spans="1:10" ht="15" x14ac:dyDescent="0.2">
      <c r="A117" s="92">
        <v>46022</v>
      </c>
      <c r="B117" s="66">
        <v>3241</v>
      </c>
      <c r="C117" s="90">
        <v>3001</v>
      </c>
      <c r="D117" s="93">
        <v>252</v>
      </c>
      <c r="F117" s="78" t="s">
        <v>1750</v>
      </c>
      <c r="G117" s="93"/>
      <c r="I117" s="66">
        <f t="shared" si="1"/>
        <v>0</v>
      </c>
      <c r="J117" s="66" t="str">
        <f>VLOOKUP(B117,[1]Contas!$A$1:$B$65536,2,0)</f>
        <v>INSTITUTO DAS PEQUENAS MISSIONARIAS DE MARIA IMACULADA</v>
      </c>
    </row>
    <row r="118" spans="1:10" x14ac:dyDescent="0.2">
      <c r="A118" s="92">
        <v>46022</v>
      </c>
      <c r="B118" s="66">
        <v>5829</v>
      </c>
      <c r="C118" s="90">
        <v>3001</v>
      </c>
      <c r="D118" s="93">
        <v>16211.55</v>
      </c>
      <c r="F118" s="99" t="s">
        <v>1751</v>
      </c>
      <c r="G118" s="93"/>
      <c r="I118" s="66">
        <f t="shared" si="1"/>
        <v>0</v>
      </c>
      <c r="J118" s="66" t="e">
        <f>VLOOKUP(B118,[1]Contas!$A$1:$B$65536,2,0)</f>
        <v>#N/A</v>
      </c>
    </row>
    <row r="119" spans="1:10" ht="15" x14ac:dyDescent="0.2">
      <c r="A119" s="92">
        <v>46022</v>
      </c>
      <c r="B119" s="66">
        <v>3112</v>
      </c>
      <c r="C119" s="90">
        <v>3001</v>
      </c>
      <c r="D119" s="93">
        <v>54000</v>
      </c>
      <c r="F119" s="78" t="s">
        <v>1752</v>
      </c>
      <c r="G119" s="93"/>
      <c r="I119" s="66">
        <f t="shared" si="1"/>
        <v>0</v>
      </c>
      <c r="J119" s="66" t="str">
        <f>VLOOKUP(B119,[1]Contas!$A$1:$B$65536,2,0)</f>
        <v>ASSOCIACAO SANTA SAUDE</v>
      </c>
    </row>
    <row r="120" spans="1:10" ht="13.5" thickBot="1" x14ac:dyDescent="0.25">
      <c r="A120" s="92">
        <v>46022</v>
      </c>
      <c r="B120" s="66">
        <v>3001</v>
      </c>
      <c r="C120" s="90">
        <v>3001</v>
      </c>
      <c r="D120" s="93">
        <v>9600</v>
      </c>
      <c r="F120" s="101" t="s">
        <v>1753</v>
      </c>
      <c r="G120" s="93"/>
      <c r="I120" s="66">
        <f t="shared" si="1"/>
        <v>0</v>
      </c>
      <c r="J120" s="66" t="str">
        <f>VLOOKUP(B120,[1]Contas!$A$1:$B$65536,2,0)</f>
        <v>CLIENTES</v>
      </c>
    </row>
    <row r="121" spans="1:10" ht="13.5" thickBot="1" x14ac:dyDescent="0.25">
      <c r="A121" s="92">
        <v>46022</v>
      </c>
      <c r="B121" s="66">
        <v>3001</v>
      </c>
      <c r="C121" s="90">
        <v>3001</v>
      </c>
      <c r="D121" s="93">
        <v>14159.8</v>
      </c>
      <c r="F121" s="100" t="s">
        <v>1754</v>
      </c>
      <c r="G121" s="93"/>
      <c r="I121" s="66">
        <f t="shared" si="1"/>
        <v>0</v>
      </c>
      <c r="J121" s="66" t="str">
        <f>VLOOKUP(B121,[1]Contas!$A$1:$B$65536,2,0)</f>
        <v>CLIENTES</v>
      </c>
    </row>
    <row r="122" spans="1:10" ht="15.75" thickBot="1" x14ac:dyDescent="0.25">
      <c r="A122" s="92">
        <v>46022</v>
      </c>
      <c r="B122" s="66">
        <v>3210</v>
      </c>
      <c r="C122" s="90">
        <v>3001</v>
      </c>
      <c r="D122" s="93">
        <v>55159</v>
      </c>
      <c r="F122" s="80" t="s">
        <v>1755</v>
      </c>
      <c r="G122" s="93"/>
      <c r="I122" s="66">
        <f t="shared" si="1"/>
        <v>0</v>
      </c>
      <c r="J122" s="66" t="str">
        <f>VLOOKUP(B122,[1]Contas!$A$1:$B$65536,2,0)</f>
        <v>POSTAL SAUDE - CAIXA DE ASSIST E SAUDE DOS FUNC DOS CORREIOS</v>
      </c>
    </row>
    <row r="123" spans="1:10" ht="13.5" thickBot="1" x14ac:dyDescent="0.25">
      <c r="A123" s="92">
        <v>46022</v>
      </c>
      <c r="B123" s="66">
        <v>3001</v>
      </c>
      <c r="C123" s="90">
        <v>3001</v>
      </c>
      <c r="D123" s="93">
        <v>39000</v>
      </c>
      <c r="F123" s="102" t="s">
        <v>1756</v>
      </c>
      <c r="G123" s="93"/>
      <c r="I123" s="66">
        <f t="shared" si="1"/>
        <v>0</v>
      </c>
      <c r="J123" s="66" t="str">
        <f>VLOOKUP(B123,[1]Contas!$A$1:$B$65536,2,0)</f>
        <v>CLIENTES</v>
      </c>
    </row>
    <row r="124" spans="1:10" ht="15" x14ac:dyDescent="0.2">
      <c r="A124" s="92">
        <v>46022</v>
      </c>
      <c r="B124" s="66">
        <v>3443</v>
      </c>
      <c r="C124" s="90">
        <v>3001</v>
      </c>
      <c r="D124" s="93">
        <v>82066.67</v>
      </c>
      <c r="F124" s="78" t="s">
        <v>1757</v>
      </c>
      <c r="G124" s="93"/>
      <c r="I124" s="66">
        <f t="shared" si="1"/>
        <v>0</v>
      </c>
      <c r="J124" s="66" t="str">
        <f>VLOOKUP(B124,[1]Contas!$A$1:$B$65536,2,0)</f>
        <v>FUNDACAO UNIVERSIDADE FEDERAL DE MATO GROSSO DO SUL</v>
      </c>
    </row>
    <row r="125" spans="1:10" ht="15" x14ac:dyDescent="0.2">
      <c r="A125" s="92">
        <v>46022</v>
      </c>
      <c r="B125" s="66">
        <v>3237</v>
      </c>
      <c r="C125" s="90">
        <v>3001</v>
      </c>
      <c r="D125" s="93">
        <v>64686</v>
      </c>
      <c r="F125" s="78" t="s">
        <v>1758</v>
      </c>
      <c r="G125" s="93"/>
      <c r="I125" s="66">
        <f t="shared" si="1"/>
        <v>0</v>
      </c>
      <c r="J125" s="66" t="str">
        <f>VLOOKUP(B125,[1]Contas!$A$1:$B$65536,2,0)</f>
        <v>PROMEDICA PATRIMONIAL S A PROPAT</v>
      </c>
    </row>
    <row r="126" spans="1:10" x14ac:dyDescent="0.2">
      <c r="A126" s="92">
        <v>46022</v>
      </c>
      <c r="B126" s="66">
        <v>3001</v>
      </c>
      <c r="C126" s="90">
        <v>3001</v>
      </c>
      <c r="D126" s="93">
        <v>9565.99</v>
      </c>
      <c r="F126" s="99" t="s">
        <v>1759</v>
      </c>
      <c r="G126" s="93"/>
      <c r="I126" s="66">
        <f t="shared" si="1"/>
        <v>0</v>
      </c>
      <c r="J126" s="66" t="str">
        <f>VLOOKUP(B126,[1]Contas!$A$1:$B$65536,2,0)</f>
        <v>CLIENTES</v>
      </c>
    </row>
    <row r="127" spans="1:10" ht="15.75" thickBot="1" x14ac:dyDescent="0.25">
      <c r="A127" s="92">
        <v>46022</v>
      </c>
      <c r="B127" s="66">
        <v>3194</v>
      </c>
      <c r="C127" s="90">
        <v>3001</v>
      </c>
      <c r="D127" s="93">
        <v>205816.19999999946</v>
      </c>
      <c r="F127" s="78" t="s">
        <v>1760</v>
      </c>
      <c r="G127" s="93"/>
      <c r="I127" s="66">
        <f t="shared" si="1"/>
        <v>0</v>
      </c>
      <c r="J127" s="66" t="str">
        <f>VLOOKUP(B127,[1]Contas!$A$1:$B$65536,2,0)</f>
        <v>PROTECARDIO - CLINICA DE HEMODINAMICA, DIAGNOSTICO E TRATAME</v>
      </c>
    </row>
    <row r="128" spans="1:10" ht="13.5" thickBot="1" x14ac:dyDescent="0.25">
      <c r="A128" s="92">
        <v>46022</v>
      </c>
      <c r="B128" s="66">
        <v>3001</v>
      </c>
      <c r="C128" s="90">
        <v>3001</v>
      </c>
      <c r="D128" s="93">
        <v>498737.03</v>
      </c>
      <c r="F128" s="102" t="s">
        <v>1761</v>
      </c>
      <c r="G128" s="93"/>
      <c r="I128" s="66">
        <f t="shared" si="1"/>
        <v>0</v>
      </c>
      <c r="J128" s="66" t="str">
        <f>VLOOKUP(B128,[1]Contas!$A$1:$B$65536,2,0)</f>
        <v>CLIENTES</v>
      </c>
    </row>
    <row r="129" spans="1:10" ht="15.75" thickBot="1" x14ac:dyDescent="0.25">
      <c r="A129" s="92">
        <v>46022</v>
      </c>
      <c r="B129" s="66">
        <v>3167</v>
      </c>
      <c r="C129" s="90">
        <v>3001</v>
      </c>
      <c r="D129" s="93">
        <v>119065</v>
      </c>
      <c r="F129" s="81" t="s">
        <v>1762</v>
      </c>
      <c r="G129" s="93"/>
      <c r="I129" s="66">
        <f t="shared" si="1"/>
        <v>0</v>
      </c>
      <c r="J129" s="66" t="str">
        <f>VLOOKUP(B129,[1]Contas!$A$1:$B$65536,2,0)</f>
        <v>RC RADIOLOGIA INTERVENCIONISTA LTDA</v>
      </c>
    </row>
    <row r="130" spans="1:10" ht="15" x14ac:dyDescent="0.2">
      <c r="A130" s="92">
        <v>46022</v>
      </c>
      <c r="B130" s="66">
        <v>3136</v>
      </c>
      <c r="C130" s="90">
        <v>3001</v>
      </c>
      <c r="D130" s="93">
        <v>2168085.6100000003</v>
      </c>
      <c r="F130" s="78" t="s">
        <v>1763</v>
      </c>
      <c r="G130" s="93"/>
      <c r="I130" s="66">
        <f t="shared" ref="I130:I134" si="2">COUNTIF(B:B,0)</f>
        <v>0</v>
      </c>
      <c r="J130" s="66" t="str">
        <f>VLOOKUP(B130,[1]Contas!$A$1:$B$65536,2,0)</f>
        <v>REAL E BENEMERITA ASSOCIACAO PORTUGUESA DE BENEFICENCIA</v>
      </c>
    </row>
    <row r="131" spans="1:10" ht="15" x14ac:dyDescent="0.2">
      <c r="A131" s="92">
        <v>46022</v>
      </c>
      <c r="B131" s="66">
        <v>3132</v>
      </c>
      <c r="C131" s="90">
        <v>3001</v>
      </c>
      <c r="D131" s="93">
        <v>98825.709999999992</v>
      </c>
      <c r="F131" s="78" t="s">
        <v>1764</v>
      </c>
      <c r="G131" s="93"/>
      <c r="I131" s="66">
        <f t="shared" si="2"/>
        <v>0</v>
      </c>
      <c r="J131" s="66" t="str">
        <f>VLOOKUP(B131,[1]Contas!$A$1:$B$65536,2,0)</f>
        <v>REAL HOSPITAL PORTUGUES DE BENEFICENCIA EM PERNAMBUCO</v>
      </c>
    </row>
    <row r="132" spans="1:10" ht="15" x14ac:dyDescent="0.2">
      <c r="A132" s="92">
        <v>46022</v>
      </c>
      <c r="B132" s="66">
        <v>3441</v>
      </c>
      <c r="C132" s="90">
        <v>3001</v>
      </c>
      <c r="D132" s="93">
        <v>56105.279999999999</v>
      </c>
      <c r="F132" s="78" t="s">
        <v>1765</v>
      </c>
      <c r="G132" s="93"/>
      <c r="I132" s="66">
        <f t="shared" si="2"/>
        <v>0</v>
      </c>
      <c r="J132" s="66" t="str">
        <f>VLOOKUP(B132,[1]Contas!$A$1:$B$65536,2,0)</f>
        <v>REDE PRIMAVERA - ASSISTENCIA MEDICA HOSPITALAR LTDA</v>
      </c>
    </row>
    <row r="133" spans="1:10" x14ac:dyDescent="0.2">
      <c r="A133" s="92">
        <v>46022</v>
      </c>
      <c r="B133" s="66">
        <v>3001</v>
      </c>
      <c r="C133" s="90">
        <v>3001</v>
      </c>
      <c r="D133" s="93">
        <v>88481.88</v>
      </c>
      <c r="F133" s="99" t="s">
        <v>1766</v>
      </c>
      <c r="G133" s="93"/>
      <c r="I133" s="66">
        <f t="shared" si="2"/>
        <v>0</v>
      </c>
      <c r="J133" s="66" t="str">
        <f>VLOOKUP(B133,[1]Contas!$A$1:$B$65536,2,0)</f>
        <v>CLIENTES</v>
      </c>
    </row>
    <row r="134" spans="1:10" ht="13.5" thickBot="1" x14ac:dyDescent="0.25">
      <c r="A134" s="92">
        <v>46022</v>
      </c>
      <c r="B134" s="66">
        <v>3001</v>
      </c>
      <c r="C134" s="90">
        <v>3001</v>
      </c>
      <c r="D134" s="93">
        <v>431348.66000000003</v>
      </c>
      <c r="F134" s="99" t="s">
        <v>1767</v>
      </c>
      <c r="G134" s="93"/>
      <c r="I134" s="66">
        <f t="shared" si="2"/>
        <v>0</v>
      </c>
      <c r="J134" s="66" t="str">
        <f>VLOOKUP(B134,[1]Contas!$A$1:$B$65536,2,0)</f>
        <v>CLIENTES</v>
      </c>
    </row>
    <row r="135" spans="1:10" ht="15.75" thickBot="1" x14ac:dyDescent="0.25">
      <c r="A135" s="92">
        <v>46022</v>
      </c>
      <c r="B135" s="66">
        <v>3124</v>
      </c>
      <c r="C135" s="90">
        <v>3001</v>
      </c>
      <c r="D135" s="93">
        <v>114457.65</v>
      </c>
      <c r="F135" s="79" t="s">
        <v>1768</v>
      </c>
      <c r="G135" s="93"/>
      <c r="I135" s="66">
        <f>COUNTIF(B:B,0)</f>
        <v>0</v>
      </c>
      <c r="J135" s="66" t="str">
        <f>VLOOKUP(B135,[1]Contas!$A$1:$B$65536,2,0)</f>
        <v>IRMANDADE DA SANTA CASA DE MISERICORDIA DE SANTOS</v>
      </c>
    </row>
    <row r="136" spans="1:10" x14ac:dyDescent="0.2">
      <c r="A136" s="92">
        <v>46022</v>
      </c>
      <c r="B136" s="66">
        <v>3001</v>
      </c>
      <c r="C136" s="90">
        <v>3001</v>
      </c>
      <c r="D136" s="93">
        <v>186000</v>
      </c>
      <c r="F136" s="99" t="s">
        <v>1769</v>
      </c>
      <c r="G136" s="93"/>
      <c r="J136" s="66" t="str">
        <f>VLOOKUP(B136,[1]Contas!$A$1:$B$65536,2,0)</f>
        <v>CLIENTES</v>
      </c>
    </row>
    <row r="137" spans="1:10" ht="15.75" thickBot="1" x14ac:dyDescent="0.25">
      <c r="A137" s="92">
        <v>46022</v>
      </c>
      <c r="B137" s="66">
        <v>3218</v>
      </c>
      <c r="C137" s="90">
        <v>3001</v>
      </c>
      <c r="D137" s="93">
        <v>14706.67</v>
      </c>
      <c r="F137" s="78" t="s">
        <v>1770</v>
      </c>
      <c r="G137" s="93"/>
      <c r="J137" s="66" t="str">
        <f>VLOOKUP(B137,[1]Contas!$A$1:$B$65536,2,0)</f>
        <v>ASSOCIACAO SAO FRANCISCO VIDA</v>
      </c>
    </row>
    <row r="138" spans="1:10" ht="13.5" thickBot="1" x14ac:dyDescent="0.25">
      <c r="A138" s="92">
        <v>46022</v>
      </c>
      <c r="B138" s="66">
        <v>3001</v>
      </c>
      <c r="C138" s="90">
        <v>3001</v>
      </c>
      <c r="D138" s="93">
        <v>41990</v>
      </c>
      <c r="F138" s="102" t="s">
        <v>1771</v>
      </c>
      <c r="G138" s="93"/>
      <c r="J138" s="66" t="str">
        <f>VLOOKUP(B138,[1]Contas!$A$1:$B$65536,2,0)</f>
        <v>CLIENTES</v>
      </c>
    </row>
    <row r="139" spans="1:10" ht="15" x14ac:dyDescent="0.2">
      <c r="A139" s="92">
        <v>46022</v>
      </c>
      <c r="B139" s="66">
        <v>3271</v>
      </c>
      <c r="C139" s="90">
        <v>3001</v>
      </c>
      <c r="D139" s="93">
        <v>70000</v>
      </c>
      <c r="F139" s="78" t="s">
        <v>1772</v>
      </c>
      <c r="G139" s="93"/>
      <c r="J139" s="66" t="str">
        <f>VLOOKUP(B139,[1]Contas!$A$1:$B$65536,2,0)</f>
        <v>UNIMED SEGUROS SAUDE S/A</v>
      </c>
    </row>
    <row r="140" spans="1:10" ht="15" x14ac:dyDescent="0.2">
      <c r="A140" s="92">
        <v>46022</v>
      </c>
      <c r="B140" s="66">
        <v>5823</v>
      </c>
      <c r="C140" s="90">
        <v>3001</v>
      </c>
      <c r="D140" s="93">
        <v>93525</v>
      </c>
      <c r="F140" s="74" t="s">
        <v>1773</v>
      </c>
      <c r="G140" s="93"/>
      <c r="J140" s="66" t="e">
        <f>VLOOKUP(B140,[1]Contas!$A$1:$B$65536,2,0)</f>
        <v>#N/A</v>
      </c>
    </row>
    <row r="141" spans="1:10" ht="13.5" thickBot="1" x14ac:dyDescent="0.25">
      <c r="A141" s="92">
        <v>46022</v>
      </c>
      <c r="B141" s="66">
        <v>3001</v>
      </c>
      <c r="C141" s="90">
        <v>3001</v>
      </c>
      <c r="D141" s="93">
        <v>6600</v>
      </c>
      <c r="F141" s="101" t="s">
        <v>1774</v>
      </c>
      <c r="G141" s="93"/>
      <c r="J141" s="66" t="str">
        <f>VLOOKUP(B141,[1]Contas!$A$1:$B$65536,2,0)</f>
        <v>CLIENTES</v>
      </c>
    </row>
    <row r="142" spans="1:10" ht="15.75" thickBot="1" x14ac:dyDescent="0.25">
      <c r="A142" s="92">
        <v>46022</v>
      </c>
      <c r="B142" s="66">
        <v>3343</v>
      </c>
      <c r="C142" s="90">
        <v>3001</v>
      </c>
      <c r="D142" s="93">
        <v>62310</v>
      </c>
      <c r="F142" s="78" t="s">
        <v>1775</v>
      </c>
      <c r="G142" s="93"/>
      <c r="J142" s="66" t="str">
        <f>VLOOKUP(B142,[1]Contas!$A$1:$B$65536,2,0)</f>
        <v>SERVICO DE ASSISTENCIA A SAUDE DO SERVIDOR MUNICIPAL - SERVI</v>
      </c>
    </row>
    <row r="143" spans="1:10" ht="15" x14ac:dyDescent="0.2">
      <c r="A143" s="92">
        <v>46022</v>
      </c>
      <c r="B143" s="66">
        <v>3310</v>
      </c>
      <c r="C143" s="90">
        <v>3001</v>
      </c>
      <c r="D143" s="93">
        <v>4780.38</v>
      </c>
      <c r="F143" s="77" t="s">
        <v>1776</v>
      </c>
      <c r="G143" s="93"/>
      <c r="J143" s="66" t="str">
        <f>VLOOKUP(B143,[1]Contas!$A$1:$B$65536,2,0)</f>
        <v>OPERADORA UNIESTE DE PLANOS DE SAUDE LTDA</v>
      </c>
    </row>
    <row r="144" spans="1:10" x14ac:dyDescent="0.2">
      <c r="A144" s="92">
        <v>46022</v>
      </c>
      <c r="B144" s="66">
        <v>3001</v>
      </c>
      <c r="C144" s="90">
        <v>3001</v>
      </c>
      <c r="D144" s="93">
        <v>14788.12</v>
      </c>
      <c r="F144" s="99" t="s">
        <v>1777</v>
      </c>
      <c r="G144" s="93"/>
      <c r="J144" s="66" t="str">
        <f>VLOOKUP(B144,[1]Contas!$A$1:$B$65536,2,0)</f>
        <v>CLIENTES</v>
      </c>
    </row>
    <row r="145" spans="1:10" ht="15" x14ac:dyDescent="0.2">
      <c r="A145" s="92">
        <v>46022</v>
      </c>
      <c r="B145" s="66">
        <v>3204</v>
      </c>
      <c r="C145" s="90">
        <v>3001</v>
      </c>
      <c r="D145" s="93">
        <v>195000</v>
      </c>
      <c r="F145" s="78" t="s">
        <v>1778</v>
      </c>
      <c r="G145" s="93"/>
      <c r="J145" s="66" t="str">
        <f>VLOOKUP(B145,[1]Contas!$A$1:$B$65536,2,0)</f>
        <v>ARRUDA &amp; ARRUDA JUNIOR LTDA</v>
      </c>
    </row>
    <row r="146" spans="1:10" ht="15" x14ac:dyDescent="0.2">
      <c r="A146" s="92">
        <v>46022</v>
      </c>
      <c r="B146" s="66">
        <v>3128</v>
      </c>
      <c r="C146" s="90">
        <v>3001</v>
      </c>
      <c r="D146" s="93">
        <v>195840</v>
      </c>
      <c r="F146" s="78" t="s">
        <v>1779</v>
      </c>
      <c r="G146" s="93"/>
      <c r="J146" s="66" t="str">
        <f>VLOOKUP(B146,[1]Contas!$A$1:$B$65536,2,0)</f>
        <v>SUL AMERICA COMPANHIA DE SEGURO SAUDE</v>
      </c>
    </row>
    <row r="147" spans="1:10" ht="15" x14ac:dyDescent="0.2">
      <c r="A147" s="92">
        <v>46022</v>
      </c>
      <c r="B147" s="66">
        <v>3117</v>
      </c>
      <c r="C147" s="90">
        <v>3001</v>
      </c>
      <c r="D147" s="93">
        <v>24140</v>
      </c>
      <c r="F147" s="78" t="s">
        <v>1780</v>
      </c>
      <c r="G147" s="93"/>
      <c r="J147" s="66" t="str">
        <f>VLOOKUP(B147,[1]Contas!$A$1:$B$65536,2,0)</f>
        <v>SUL AMERICA SERVICOS DE SAUDE S/A</v>
      </c>
    </row>
    <row r="148" spans="1:10" ht="15.75" thickBot="1" x14ac:dyDescent="0.25">
      <c r="A148" s="92">
        <v>46022</v>
      </c>
      <c r="B148" s="66">
        <v>3119</v>
      </c>
      <c r="C148" s="90">
        <v>3001</v>
      </c>
      <c r="D148" s="93">
        <v>169420</v>
      </c>
      <c r="F148" s="75" t="s">
        <v>1781</v>
      </c>
      <c r="G148" s="93"/>
      <c r="J148" s="66" t="str">
        <f>VLOOKUP(B148,[1]Contas!$A$1:$B$65536,2,0)</f>
        <v>SURGMED COMERCIO IMP E EXP PROD P/ USO MEDICOS E HOSP LTDA</v>
      </c>
    </row>
    <row r="149" spans="1:10" x14ac:dyDescent="0.2">
      <c r="A149" s="92">
        <v>46022</v>
      </c>
      <c r="B149" s="66">
        <v>3001</v>
      </c>
      <c r="C149" s="90">
        <v>3001</v>
      </c>
      <c r="D149" s="93">
        <v>98740.1</v>
      </c>
      <c r="F149" s="100" t="s">
        <v>1782</v>
      </c>
      <c r="G149" s="93"/>
      <c r="J149" s="66" t="str">
        <f>VLOOKUP(B149,[1]Contas!$A$1:$B$65536,2,0)</f>
        <v>CLIENTES</v>
      </c>
    </row>
    <row r="150" spans="1:10" x14ac:dyDescent="0.2">
      <c r="A150" s="92">
        <v>46022</v>
      </c>
      <c r="B150" s="66">
        <v>3001</v>
      </c>
      <c r="C150" s="90">
        <v>3001</v>
      </c>
      <c r="D150" s="93">
        <v>195507</v>
      </c>
      <c r="F150" s="99" t="s">
        <v>1783</v>
      </c>
      <c r="G150" s="93"/>
      <c r="J150" s="66" t="str">
        <f>VLOOKUP(B150,[1]Contas!$A$1:$B$65536,2,0)</f>
        <v>CLIENTES</v>
      </c>
    </row>
    <row r="151" spans="1:10" ht="15.75" thickBot="1" x14ac:dyDescent="0.25">
      <c r="A151" s="92">
        <v>46022</v>
      </c>
      <c r="B151" s="66">
        <v>3153</v>
      </c>
      <c r="C151" s="90">
        <v>3001</v>
      </c>
      <c r="D151" s="93">
        <v>518000</v>
      </c>
      <c r="F151" s="75" t="s">
        <v>1784</v>
      </c>
      <c r="G151" s="93"/>
      <c r="J151" s="66" t="str">
        <f>VLOOKUP(B151,[1]Contas!$A$1:$B$65536,2,0)</f>
        <v>UNIMED JOAO PESSOA COOPERATIVA DE TRABALHO MEDICO</v>
      </c>
    </row>
    <row r="152" spans="1:10" ht="15.75" thickBot="1" x14ac:dyDescent="0.25">
      <c r="A152" s="92">
        <v>46022</v>
      </c>
      <c r="B152" s="66">
        <v>3171</v>
      </c>
      <c r="C152" s="90">
        <v>3001</v>
      </c>
      <c r="D152" s="93">
        <v>64940</v>
      </c>
      <c r="F152" s="75" t="s">
        <v>1785</v>
      </c>
      <c r="G152" s="93"/>
      <c r="J152" s="66" t="str">
        <f>VLOOKUP(B152,[1]Contas!$A$1:$B$65536,2,0)</f>
        <v>CLINICA DE CAMPO GRANDE S A</v>
      </c>
    </row>
    <row r="153" spans="1:10" ht="15.75" thickBot="1" x14ac:dyDescent="0.25">
      <c r="A153" s="92">
        <v>46022</v>
      </c>
      <c r="B153" s="66">
        <v>3539</v>
      </c>
      <c r="C153" s="90">
        <v>3001</v>
      </c>
      <c r="D153" s="93">
        <v>1100</v>
      </c>
      <c r="F153" s="77" t="s">
        <v>1786</v>
      </c>
      <c r="G153" s="93"/>
      <c r="J153" s="66" t="str">
        <f>VLOOKUP(B153,[1]Contas!$A$1:$B$65536,2,0)</f>
        <v>UNIMED CASCAVEL - COOP. DE TRABALHO MEDICO LTDA</v>
      </c>
    </row>
    <row r="154" spans="1:10" ht="15.75" thickBot="1" x14ac:dyDescent="0.25">
      <c r="A154" s="92">
        <v>46022</v>
      </c>
      <c r="B154" s="66">
        <v>3201</v>
      </c>
      <c r="C154" s="90">
        <v>3001</v>
      </c>
      <c r="D154" s="93">
        <v>24000</v>
      </c>
      <c r="F154" s="79" t="s">
        <v>1787</v>
      </c>
      <c r="G154" s="93"/>
      <c r="J154" s="66" t="str">
        <f>VLOOKUP(B154,[1]Contas!$A$1:$B$65536,2,0)</f>
        <v>UNIMED CURITIBA - SOCIEDADE COOPERATIVA DE MEDICOS</v>
      </c>
    </row>
    <row r="155" spans="1:10" ht="15" x14ac:dyDescent="0.2">
      <c r="A155" s="92">
        <v>46022</v>
      </c>
      <c r="B155" s="66">
        <v>5819</v>
      </c>
      <c r="C155" s="90">
        <v>3001</v>
      </c>
      <c r="D155" s="93">
        <v>76154</v>
      </c>
      <c r="F155" s="77" t="s">
        <v>1788</v>
      </c>
      <c r="G155" s="93"/>
      <c r="J155" s="66" t="e">
        <f>VLOOKUP(B155,[1]Contas!$A$1:$B$65536,2,0)</f>
        <v>#N/A</v>
      </c>
    </row>
    <row r="156" spans="1:10" ht="15" x14ac:dyDescent="0.2">
      <c r="A156" s="92">
        <v>46022</v>
      </c>
      <c r="B156" s="66">
        <v>3580</v>
      </c>
      <c r="C156" s="90">
        <v>3001</v>
      </c>
      <c r="D156" s="93">
        <v>119214.28</v>
      </c>
      <c r="F156" s="78" t="s">
        <v>1789</v>
      </c>
      <c r="G156" s="93"/>
      <c r="J156" s="66" t="str">
        <f>VLOOKUP(B156,[1]Contas!$A$1:$B$65536,2,0)</f>
        <v>UNIMED DE GUARATINGUETA COOPERATIVA DE TRABALHO MEDICO</v>
      </c>
    </row>
    <row r="157" spans="1:10" ht="15" x14ac:dyDescent="0.2">
      <c r="A157" s="92">
        <v>46022</v>
      </c>
      <c r="B157" s="66">
        <v>3164</v>
      </c>
      <c r="C157" s="90">
        <v>3001</v>
      </c>
      <c r="D157" s="93">
        <v>25825</v>
      </c>
      <c r="F157" s="78" t="s">
        <v>1790</v>
      </c>
      <c r="G157" s="93"/>
      <c r="J157" s="66" t="str">
        <f>VLOOKUP(B157,[1]Contas!$A$1:$B$65536,2,0)</f>
        <v>UNIMED DE JUNDIAI COOPERATIVA DE TRABALHO MEDICO</v>
      </c>
    </row>
    <row r="158" spans="1:10" ht="15" x14ac:dyDescent="0.2">
      <c r="A158" s="92">
        <v>46022</v>
      </c>
      <c r="B158" s="66">
        <v>5721</v>
      </c>
      <c r="C158" s="90">
        <v>3001</v>
      </c>
      <c r="D158" s="93">
        <v>311426.33999999997</v>
      </c>
      <c r="F158" s="78" t="s">
        <v>1791</v>
      </c>
      <c r="G158" s="93"/>
      <c r="J158" s="66" t="str">
        <f>VLOOKUP(B158,[1]Contas!$A$1:$B$65536,2,0)</f>
        <v>UNIMED DE PINDAMONHANGABA COOPERATIVA DE TRABALHO MEDICO</v>
      </c>
    </row>
    <row r="159" spans="1:10" ht="15.75" thickBot="1" x14ac:dyDescent="0.25">
      <c r="A159" s="92">
        <v>46022</v>
      </c>
      <c r="B159" s="66">
        <v>3118</v>
      </c>
      <c r="C159" s="90">
        <v>3001</v>
      </c>
      <c r="D159" s="93">
        <v>89266.66</v>
      </c>
      <c r="F159" s="75" t="s">
        <v>1792</v>
      </c>
      <c r="G159" s="93"/>
      <c r="J159" s="66" t="str">
        <f>VLOOKUP(B159,[1]Contas!$A$1:$B$65536,2,0)</f>
        <v>UNIMED DE PRES PRUDENTE COOPERATIVA DE TRABALHO MEDICO</v>
      </c>
    </row>
    <row r="160" spans="1:10" ht="13.5" thickBot="1" x14ac:dyDescent="0.25">
      <c r="A160" s="92">
        <v>46022</v>
      </c>
      <c r="B160" s="66">
        <v>3001</v>
      </c>
      <c r="C160" s="90">
        <v>3001</v>
      </c>
      <c r="D160" s="93">
        <v>85300</v>
      </c>
      <c r="F160" s="195" t="s">
        <v>1793</v>
      </c>
      <c r="G160" s="93"/>
      <c r="J160" s="66" t="str">
        <f>VLOOKUP(B160,[1]Contas!$A$1:$B$65536,2,0)</f>
        <v>CLIENTES</v>
      </c>
    </row>
    <row r="161" spans="1:10" ht="15" x14ac:dyDescent="0.2">
      <c r="A161" s="92">
        <v>46022</v>
      </c>
      <c r="B161" s="66">
        <v>3230</v>
      </c>
      <c r="C161" s="90">
        <v>3001</v>
      </c>
      <c r="D161" s="93">
        <v>80059</v>
      </c>
      <c r="F161" s="77" t="s">
        <v>1794</v>
      </c>
      <c r="G161" s="93"/>
      <c r="J161" s="66" t="str">
        <f>VLOOKUP(B161,[1]Contas!$A$1:$B$65536,2,0)</f>
        <v>UNIMED DE SANTOS COOP DE TRABALHO MEDICO</v>
      </c>
    </row>
    <row r="162" spans="1:10" ht="15" x14ac:dyDescent="0.2">
      <c r="A162" s="92">
        <v>46022</v>
      </c>
      <c r="B162" s="66">
        <v>5817</v>
      </c>
      <c r="C162" s="90">
        <v>3001</v>
      </c>
      <c r="D162" s="93">
        <v>27600</v>
      </c>
      <c r="F162" s="78" t="s">
        <v>1795</v>
      </c>
      <c r="G162" s="93"/>
      <c r="J162" s="66" t="e">
        <f>VLOOKUP(B162,[1]Contas!$A$1:$B$65536,2,0)</f>
        <v>#N/A</v>
      </c>
    </row>
    <row r="163" spans="1:10" ht="15.75" thickBot="1" x14ac:dyDescent="0.25">
      <c r="A163" s="92">
        <v>46022</v>
      </c>
      <c r="B163" s="66">
        <v>3253</v>
      </c>
      <c r="C163" s="90">
        <v>3001</v>
      </c>
      <c r="D163" s="93">
        <v>502031.19999999995</v>
      </c>
      <c r="F163" s="78" t="s">
        <v>1796</v>
      </c>
      <c r="G163" s="93"/>
      <c r="J163" s="66" t="str">
        <f>VLOOKUP(B163,[1]Contas!$A$1:$B$65536,2,0)</f>
        <v>UNIMED DO SUDOESTE COOPERATIVA DE TRABALHO MEDICO LTDA</v>
      </c>
    </row>
    <row r="164" spans="1:10" ht="15.75" thickBot="1" x14ac:dyDescent="0.25">
      <c r="A164" s="92">
        <v>46022</v>
      </c>
      <c r="B164" s="66">
        <v>3295</v>
      </c>
      <c r="C164" s="90">
        <v>3001</v>
      </c>
      <c r="D164" s="93">
        <v>4013505.040000001</v>
      </c>
      <c r="F164" s="79" t="s">
        <v>1797</v>
      </c>
      <c r="G164" s="93"/>
      <c r="J164" s="66" t="str">
        <f>VLOOKUP(B164,[1]Contas!$A$1:$B$65536,2,0)</f>
        <v>UNIMED DO EST R J FEDERACAO EST DAS COOPERATIVAS MED</v>
      </c>
    </row>
    <row r="165" spans="1:10" ht="15" x14ac:dyDescent="0.2">
      <c r="A165" s="92">
        <v>46022</v>
      </c>
      <c r="B165" s="66">
        <v>3279</v>
      </c>
      <c r="C165" s="90">
        <v>3001</v>
      </c>
      <c r="D165" s="93">
        <v>52564</v>
      </c>
      <c r="F165" s="78" t="s">
        <v>1798</v>
      </c>
      <c r="G165" s="93"/>
      <c r="J165" s="66" t="str">
        <f>VLOOKUP(B165,[1]Contas!$A$1:$B$65536,2,0)</f>
        <v>UNIMED SAO GONCALO NITEROI SOC COOP SERV</v>
      </c>
    </row>
    <row r="166" spans="1:10" ht="15.75" thickBot="1" x14ac:dyDescent="0.25">
      <c r="A166" s="92">
        <v>46022</v>
      </c>
      <c r="B166" s="66">
        <v>3566</v>
      </c>
      <c r="C166" s="90">
        <v>3001</v>
      </c>
      <c r="D166" s="93">
        <v>103050</v>
      </c>
      <c r="F166" s="78" t="s">
        <v>1799</v>
      </c>
      <c r="G166" s="93"/>
      <c r="J166" s="66" t="str">
        <f>VLOOKUP(B166,[1]Contas!$A$1:$B$65536,2,0)</f>
        <v>UNIMED LESTE PAULISTA COOPERATIVA DE TRABALHO MEDICO</v>
      </c>
    </row>
    <row r="167" spans="1:10" ht="15.75" thickBot="1" x14ac:dyDescent="0.25">
      <c r="A167" s="92">
        <v>46022</v>
      </c>
      <c r="B167" s="66">
        <v>3146</v>
      </c>
      <c r="C167" s="90">
        <v>3001</v>
      </c>
      <c r="D167" s="93">
        <v>598927.86</v>
      </c>
      <c r="F167" s="79" t="s">
        <v>1800</v>
      </c>
      <c r="G167" s="93"/>
      <c r="J167" s="66" t="str">
        <f>VLOOKUP(B167,[1]Contas!$A$1:$B$65536,2,0)</f>
        <v>CENTRAL NACIONAL UNIMED - COOPERATIVA CENTRAL</v>
      </c>
    </row>
    <row r="168" spans="1:10" ht="13.5" thickBot="1" x14ac:dyDescent="0.25">
      <c r="A168" s="92">
        <v>46022</v>
      </c>
      <c r="B168" s="66">
        <v>3001</v>
      </c>
      <c r="C168" s="90">
        <v>3001</v>
      </c>
      <c r="D168" s="93">
        <v>470264.15999999986</v>
      </c>
      <c r="F168" s="101" t="s">
        <v>1801</v>
      </c>
      <c r="G168" s="93"/>
      <c r="J168" s="66" t="str">
        <f>VLOOKUP(B168,[1]Contas!$A$1:$B$65536,2,0)</f>
        <v>CLIENTES</v>
      </c>
    </row>
    <row r="169" spans="1:10" ht="13.5" thickBot="1" x14ac:dyDescent="0.25">
      <c r="A169" s="92">
        <v>46022</v>
      </c>
      <c r="B169" s="66">
        <v>5873</v>
      </c>
      <c r="C169" s="90">
        <v>3001</v>
      </c>
      <c r="D169" s="93">
        <v>243100</v>
      </c>
      <c r="F169" s="195" t="s">
        <v>1802</v>
      </c>
      <c r="G169" s="93"/>
      <c r="J169" s="66" t="e">
        <f>VLOOKUP(B169,[1]Contas!$A$1:$B$65536,2,0)</f>
        <v>#N/A</v>
      </c>
    </row>
    <row r="170" spans="1:10" ht="15.75" thickBot="1" x14ac:dyDescent="0.25">
      <c r="A170" s="92">
        <v>46022</v>
      </c>
      <c r="B170" s="66">
        <v>3227</v>
      </c>
      <c r="C170" s="90">
        <v>3001</v>
      </c>
      <c r="D170" s="93">
        <v>451850</v>
      </c>
      <c r="F170" s="76" t="s">
        <v>1803</v>
      </c>
      <c r="G170" s="93"/>
      <c r="J170" s="66" t="str">
        <f>VLOOKUP(B170,[1]Contas!$A$1:$B$65536,2,0)</f>
        <v>UNIMED REGIONAL MARINGA - COOPERATIVA DE TRABALHO MEDICO</v>
      </c>
    </row>
    <row r="171" spans="1:10" ht="15.75" thickBot="1" x14ac:dyDescent="0.25">
      <c r="A171" s="92">
        <v>46022</v>
      </c>
      <c r="B171" s="66">
        <v>5816</v>
      </c>
      <c r="C171" s="90">
        <v>3001</v>
      </c>
      <c r="D171" s="93">
        <v>153000</v>
      </c>
      <c r="F171" s="78" t="s">
        <v>1804</v>
      </c>
      <c r="G171" s="93"/>
      <c r="J171" s="66" t="e">
        <f>VLOOKUP(B171,[1]Contas!$A$1:$B$65536,2,0)</f>
        <v>#N/A</v>
      </c>
    </row>
    <row r="172" spans="1:10" ht="15.75" thickBot="1" x14ac:dyDescent="0.25">
      <c r="A172" s="92">
        <v>46022</v>
      </c>
      <c r="B172" s="66">
        <v>3162</v>
      </c>
      <c r="C172" s="90">
        <v>3001</v>
      </c>
      <c r="D172" s="93">
        <v>434138.56999999995</v>
      </c>
      <c r="F172" s="79" t="s">
        <v>1805</v>
      </c>
      <c r="G172" s="93"/>
      <c r="J172" s="66" t="str">
        <f>VLOOKUP(B172,[1]Contas!$A$1:$B$65536,2,0)</f>
        <v>UNIMED DE SAO CARLOS - COOPERATIVA DE TRABALHO MEDICO</v>
      </c>
    </row>
    <row r="173" spans="1:10" ht="15.75" thickBot="1" x14ac:dyDescent="0.25">
      <c r="A173" s="92">
        <v>46022</v>
      </c>
      <c r="B173" s="66">
        <v>3205</v>
      </c>
      <c r="C173" s="90">
        <v>3001</v>
      </c>
      <c r="D173" s="93">
        <v>5000</v>
      </c>
      <c r="F173" s="78" t="s">
        <v>1806</v>
      </c>
      <c r="G173" s="93"/>
      <c r="J173" s="66" t="str">
        <f>VLOOKUP(B173,[1]Contas!$A$1:$B$65536,2,0)</f>
        <v>UNIMED SAO JOSE DOS CAMPOS - COOPERATIVA DE TRABALHO MEDICO</v>
      </c>
    </row>
    <row r="174" spans="1:10" ht="13.5" thickBot="1" x14ac:dyDescent="0.25">
      <c r="A174" s="92">
        <v>46022</v>
      </c>
      <c r="B174" s="66">
        <v>3001</v>
      </c>
      <c r="C174" s="90">
        <v>3001</v>
      </c>
      <c r="D174" s="93">
        <v>350776</v>
      </c>
      <c r="F174" s="102" t="s">
        <v>1807</v>
      </c>
      <c r="G174" s="93"/>
      <c r="J174" s="66" t="str">
        <f>VLOOKUP(B174,[1]Contas!$A$1:$B$65536,2,0)</f>
        <v>CLIENTES</v>
      </c>
    </row>
    <row r="175" spans="1:10" ht="15" x14ac:dyDescent="0.2">
      <c r="A175" s="92">
        <v>46022</v>
      </c>
      <c r="B175" s="66">
        <v>3351</v>
      </c>
      <c r="C175" s="90">
        <v>3001</v>
      </c>
      <c r="D175" s="93">
        <v>13900</v>
      </c>
      <c r="F175" s="78" t="s">
        <v>1808</v>
      </c>
      <c r="G175" s="93"/>
      <c r="J175" s="66" t="str">
        <f>VLOOKUP(B175,[1]Contas!$A$1:$B$65536,2,0)</f>
        <v>UNIVERSIDADE FEDERAL DA BAHIA</v>
      </c>
    </row>
    <row r="176" spans="1:10" x14ac:dyDescent="0.2">
      <c r="A176" s="92">
        <v>46022</v>
      </c>
      <c r="B176" s="66">
        <v>3001</v>
      </c>
      <c r="C176" s="90">
        <v>3001</v>
      </c>
      <c r="D176" s="93">
        <v>266860</v>
      </c>
      <c r="F176" s="99" t="s">
        <v>1809</v>
      </c>
      <c r="G176" s="93"/>
      <c r="J176" s="66" t="str">
        <f>VLOOKUP(B176,[1]Contas!$A$1:$B$65536,2,0)</f>
        <v>CLIENTES</v>
      </c>
    </row>
    <row r="177" spans="1:10" ht="15" x14ac:dyDescent="0.2">
      <c r="A177" s="94">
        <v>46022</v>
      </c>
      <c r="B177" s="95">
        <v>3430</v>
      </c>
      <c r="C177" s="90">
        <v>3001</v>
      </c>
      <c r="D177" s="97">
        <v>12210</v>
      </c>
      <c r="F177" s="96" t="s">
        <v>1810</v>
      </c>
      <c r="G177" s="97"/>
      <c r="J177" s="66" t="str">
        <f>VLOOKUP(B177,[1]Contas!$A$1:$B$65536,2,0)</f>
        <v>VS  MEDICINA ESPECIALIZADA LTDA</v>
      </c>
    </row>
  </sheetData>
  <autoFilter ref="A4:J177" xr:uid="{1A8CA223-9171-4D43-BB2A-7F1E2F3BF7D3}"/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pageSetUpPr fitToPage="1"/>
  </sheetPr>
  <dimension ref="A1:X1245"/>
  <sheetViews>
    <sheetView showGridLines="0" topLeftCell="A545" zoomScale="90" zoomScaleNormal="90" workbookViewId="0">
      <selection activeCell="B568" sqref="B568"/>
    </sheetView>
  </sheetViews>
  <sheetFormatPr defaultColWidth="9.140625" defaultRowHeight="12.75" x14ac:dyDescent="0.2"/>
  <cols>
    <col min="1" max="1" width="2.5703125" style="151" customWidth="1"/>
    <col min="2" max="2" width="24.140625" style="1" bestFit="1" customWidth="1"/>
    <col min="3" max="3" width="15.5703125" style="122" bestFit="1" customWidth="1"/>
    <col min="4" max="4" width="13.42578125" style="122" bestFit="1" customWidth="1"/>
    <col min="5" max="5" width="11.85546875" style="122" bestFit="1" customWidth="1"/>
    <col min="6" max="6" width="15.5703125" style="123" bestFit="1" customWidth="1"/>
    <col min="7" max="7" width="17.42578125" style="124" bestFit="1" customWidth="1"/>
    <col min="8" max="8" width="16.5703125" style="144" customWidth="1"/>
    <col min="9" max="10" width="13.85546875" style="144" customWidth="1"/>
    <col min="11" max="11" width="17.140625" style="144" bestFit="1" customWidth="1"/>
    <col min="12" max="12" width="16.140625" style="144" bestFit="1" customWidth="1"/>
    <col min="13" max="14" width="13" style="144" bestFit="1" customWidth="1"/>
    <col min="15" max="15" width="13.5703125" style="144" bestFit="1" customWidth="1"/>
    <col min="16" max="16" width="14.140625" style="144" bestFit="1" customWidth="1"/>
    <col min="17" max="18" width="16.140625" style="144" bestFit="1" customWidth="1"/>
    <col min="19" max="19" width="17.140625" style="144" bestFit="1" customWidth="1"/>
    <col min="20" max="20" width="17.140625" style="144" customWidth="1"/>
    <col min="21" max="21" width="15.42578125" style="112" bestFit="1" customWidth="1"/>
    <col min="22" max="23" width="9.140625" style="144"/>
    <col min="24" max="24" width="10" style="144" bestFit="1" customWidth="1"/>
    <col min="25" max="16384" width="9.140625" style="1"/>
  </cols>
  <sheetData>
    <row r="1" spans="1:24" ht="13.5" thickBot="1" x14ac:dyDescent="0.25">
      <c r="A1" s="115"/>
      <c r="B1" s="116" t="s">
        <v>30</v>
      </c>
      <c r="C1" s="117"/>
      <c r="D1" s="117"/>
      <c r="E1" s="117"/>
      <c r="F1" s="118"/>
      <c r="G1" s="119"/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13"/>
      <c r="V1" s="1"/>
      <c r="W1" s="1"/>
      <c r="X1" s="1"/>
    </row>
    <row r="2" spans="1:24" x14ac:dyDescent="0.2">
      <c r="A2" s="115"/>
      <c r="B2" s="121"/>
      <c r="H2" s="125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13"/>
      <c r="V2" s="1"/>
      <c r="W2" s="1"/>
      <c r="X2" s="1"/>
    </row>
    <row r="3" spans="1:24" x14ac:dyDescent="0.2">
      <c r="A3" s="115"/>
      <c r="H3" s="126">
        <f>'Resumo do Aging List - Contabil'!D4</f>
        <v>46022</v>
      </c>
      <c r="I3" s="126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13"/>
      <c r="V3" s="1"/>
      <c r="W3" s="1"/>
      <c r="X3" s="1"/>
    </row>
    <row r="4" spans="1:24" ht="12.75" customHeight="1" thickBot="1" x14ac:dyDescent="0.25">
      <c r="A4" s="115"/>
      <c r="H4" s="126"/>
      <c r="I4" s="126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13"/>
      <c r="V4" s="1"/>
      <c r="W4" s="1"/>
      <c r="X4" s="1"/>
    </row>
    <row r="5" spans="1:24" x14ac:dyDescent="0.2">
      <c r="A5" s="115"/>
      <c r="B5" s="127"/>
      <c r="C5" s="128"/>
      <c r="D5" s="128"/>
      <c r="E5" s="128"/>
      <c r="F5" s="129"/>
      <c r="G5" s="130"/>
      <c r="H5" s="204" t="s">
        <v>16</v>
      </c>
      <c r="I5" s="205"/>
      <c r="J5" s="205"/>
      <c r="K5" s="205"/>
      <c r="L5" s="205"/>
      <c r="M5" s="205"/>
      <c r="N5" s="206"/>
      <c r="O5" s="131"/>
      <c r="P5" s="207" t="s">
        <v>17</v>
      </c>
      <c r="Q5" s="208"/>
      <c r="R5" s="208"/>
      <c r="S5" s="208"/>
      <c r="T5" s="208"/>
      <c r="U5" s="209"/>
      <c r="V5" s="1"/>
      <c r="W5" s="1"/>
      <c r="X5" s="1"/>
    </row>
    <row r="6" spans="1:24" s="138" customFormat="1" x14ac:dyDescent="0.2">
      <c r="A6" s="115"/>
      <c r="B6" s="132" t="s">
        <v>18</v>
      </c>
      <c r="C6" s="133" t="s">
        <v>19</v>
      </c>
      <c r="D6" s="133" t="s">
        <v>1</v>
      </c>
      <c r="E6" s="133" t="s">
        <v>20</v>
      </c>
      <c r="F6" s="134" t="s">
        <v>5</v>
      </c>
      <c r="G6" s="135" t="s">
        <v>21</v>
      </c>
      <c r="H6" s="136" t="s">
        <v>26</v>
      </c>
      <c r="I6" s="136" t="s">
        <v>3</v>
      </c>
      <c r="J6" s="136" t="s">
        <v>2</v>
      </c>
      <c r="K6" s="136" t="s">
        <v>22</v>
      </c>
      <c r="L6" s="137" t="s">
        <v>23</v>
      </c>
      <c r="M6" s="137" t="s">
        <v>24</v>
      </c>
      <c r="N6" s="137" t="s">
        <v>25</v>
      </c>
      <c r="O6" s="137" t="s">
        <v>0</v>
      </c>
      <c r="P6" s="136" t="s">
        <v>1027</v>
      </c>
      <c r="Q6" s="137" t="s">
        <v>1028</v>
      </c>
      <c r="R6" s="137" t="s">
        <v>1029</v>
      </c>
      <c r="S6" s="137" t="s">
        <v>1030</v>
      </c>
      <c r="T6" s="136" t="s">
        <v>4</v>
      </c>
      <c r="U6" s="61" t="s">
        <v>1031</v>
      </c>
    </row>
    <row r="7" spans="1:24" x14ac:dyDescent="0.2">
      <c r="A7" s="115"/>
      <c r="B7" s="139" t="s">
        <v>848</v>
      </c>
      <c r="C7" s="140" t="s">
        <v>849</v>
      </c>
      <c r="D7" s="141">
        <v>45988</v>
      </c>
      <c r="E7" s="141">
        <v>46018</v>
      </c>
      <c r="F7" s="57">
        <v>11642.05</v>
      </c>
      <c r="G7" s="58">
        <f t="shared" ref="G7:G70" si="0">E7-$H$3</f>
        <v>-4</v>
      </c>
      <c r="H7" s="142">
        <f t="shared" ref="H7:H70" si="1">IF(AND($G7&gt;=-8000,$G7&lt;=-181),$F7,0)</f>
        <v>0</v>
      </c>
      <c r="I7" s="142">
        <f t="shared" ref="I7:I70" si="2">IF(AND($G7&gt;=-180,$G7&lt;=-151),$F7,0)</f>
        <v>0</v>
      </c>
      <c r="J7" s="143">
        <f t="shared" ref="J7:J70" si="3">IF(AND($G7&gt;=-150,$G7&lt;=-121),$F7,0)</f>
        <v>0</v>
      </c>
      <c r="K7" s="143">
        <f t="shared" ref="K7:K70" si="4">IF(AND($G7&gt;=-120,$G7&lt;=-91),$F7,0)</f>
        <v>0</v>
      </c>
      <c r="L7" s="142">
        <f t="shared" ref="L7:L70" si="5">IF(AND($G7&gt;=-90,$G7&lt;=-61),$F7,0)</f>
        <v>0</v>
      </c>
      <c r="M7" s="142">
        <f t="shared" ref="M7:M70" si="6">IF(AND($G7&gt;=-60,$G7&lt;=-31),$F7,0)</f>
        <v>0</v>
      </c>
      <c r="N7" s="142">
        <f t="shared" ref="N7:N70" si="7">IF(AND($G7&gt;=-30,$G7&lt;=-1),$F7,0)</f>
        <v>11642.05</v>
      </c>
      <c r="O7" s="59">
        <f t="shared" ref="O7:O70" si="8">SUM(H7:N7)</f>
        <v>11642.05</v>
      </c>
      <c r="P7" s="142">
        <f t="shared" ref="P7:P70" si="9">IF(AND($G7&lt;=30,$G7&gt;=0),$F7,0)</f>
        <v>0</v>
      </c>
      <c r="Q7" s="142">
        <f t="shared" ref="Q7:Q70" si="10">IF(AND($G7&lt;=60,$G7&gt;=31),$F7,0)</f>
        <v>0</v>
      </c>
      <c r="R7" s="142">
        <f t="shared" ref="R7:R70" si="11">IF(AND($G7&lt;=90,$G7&gt;=61),$F7,0)</f>
        <v>0</v>
      </c>
      <c r="S7" s="142">
        <f t="shared" ref="S7:S70" si="12">IF(AND($G7&lt;=120,$G7&gt;=91),$F7,0)</f>
        <v>0</v>
      </c>
      <c r="T7" s="142">
        <f t="shared" ref="T7:T70" si="13">IF(G7&gt;=121,F7,0)</f>
        <v>0</v>
      </c>
      <c r="U7" s="60">
        <f t="shared" ref="U7:U70" si="14">SUM(P7:T7)</f>
        <v>0</v>
      </c>
    </row>
    <row r="8" spans="1:24" x14ac:dyDescent="0.2">
      <c r="A8" s="115"/>
      <c r="B8" s="139" t="s">
        <v>848</v>
      </c>
      <c r="C8" s="140" t="s">
        <v>849</v>
      </c>
      <c r="D8" s="141">
        <v>45988</v>
      </c>
      <c r="E8" s="141">
        <v>46048</v>
      </c>
      <c r="F8" s="57">
        <v>11642.05</v>
      </c>
      <c r="G8" s="58">
        <f t="shared" si="0"/>
        <v>26</v>
      </c>
      <c r="H8" s="142">
        <f t="shared" si="1"/>
        <v>0</v>
      </c>
      <c r="I8" s="142">
        <f t="shared" si="2"/>
        <v>0</v>
      </c>
      <c r="J8" s="143">
        <f t="shared" si="3"/>
        <v>0</v>
      </c>
      <c r="K8" s="143">
        <f t="shared" si="4"/>
        <v>0</v>
      </c>
      <c r="L8" s="142">
        <f t="shared" si="5"/>
        <v>0</v>
      </c>
      <c r="M8" s="142">
        <f t="shared" si="6"/>
        <v>0</v>
      </c>
      <c r="N8" s="142">
        <f t="shared" si="7"/>
        <v>0</v>
      </c>
      <c r="O8" s="59">
        <f t="shared" si="8"/>
        <v>0</v>
      </c>
      <c r="P8" s="142">
        <f t="shared" si="9"/>
        <v>11642.05</v>
      </c>
      <c r="Q8" s="142">
        <f t="shared" si="10"/>
        <v>0</v>
      </c>
      <c r="R8" s="142">
        <f t="shared" si="11"/>
        <v>0</v>
      </c>
      <c r="S8" s="142">
        <f t="shared" si="12"/>
        <v>0</v>
      </c>
      <c r="T8" s="142">
        <f t="shared" si="13"/>
        <v>0</v>
      </c>
      <c r="U8" s="60">
        <f t="shared" si="14"/>
        <v>11642.05</v>
      </c>
    </row>
    <row r="9" spans="1:24" x14ac:dyDescent="0.2">
      <c r="A9" s="115"/>
      <c r="B9" s="139" t="s">
        <v>848</v>
      </c>
      <c r="C9" s="140" t="s">
        <v>849</v>
      </c>
      <c r="D9" s="141">
        <v>45988</v>
      </c>
      <c r="E9" s="141">
        <v>46078</v>
      </c>
      <c r="F9" s="57">
        <v>11642.05</v>
      </c>
      <c r="G9" s="58">
        <f t="shared" si="0"/>
        <v>56</v>
      </c>
      <c r="H9" s="142">
        <f t="shared" si="1"/>
        <v>0</v>
      </c>
      <c r="I9" s="142">
        <f t="shared" si="2"/>
        <v>0</v>
      </c>
      <c r="J9" s="143">
        <f t="shared" si="3"/>
        <v>0</v>
      </c>
      <c r="K9" s="143">
        <f t="shared" si="4"/>
        <v>0</v>
      </c>
      <c r="L9" s="142">
        <f t="shared" si="5"/>
        <v>0</v>
      </c>
      <c r="M9" s="142">
        <f t="shared" si="6"/>
        <v>0</v>
      </c>
      <c r="N9" s="142">
        <f t="shared" si="7"/>
        <v>0</v>
      </c>
      <c r="O9" s="59">
        <f t="shared" si="8"/>
        <v>0</v>
      </c>
      <c r="P9" s="142">
        <f t="shared" si="9"/>
        <v>0</v>
      </c>
      <c r="Q9" s="142">
        <f t="shared" si="10"/>
        <v>11642.05</v>
      </c>
      <c r="R9" s="142">
        <f t="shared" si="11"/>
        <v>0</v>
      </c>
      <c r="S9" s="142">
        <f t="shared" si="12"/>
        <v>0</v>
      </c>
      <c r="T9" s="142">
        <f t="shared" si="13"/>
        <v>0</v>
      </c>
      <c r="U9" s="60">
        <f t="shared" si="14"/>
        <v>11642.05</v>
      </c>
    </row>
    <row r="10" spans="1:24" x14ac:dyDescent="0.2">
      <c r="A10" s="115"/>
      <c r="B10" s="139" t="s">
        <v>325</v>
      </c>
      <c r="C10" s="140" t="s">
        <v>832</v>
      </c>
      <c r="D10" s="141">
        <v>45936</v>
      </c>
      <c r="E10" s="141">
        <v>46036</v>
      </c>
      <c r="F10" s="57">
        <v>44509.279999999999</v>
      </c>
      <c r="G10" s="58">
        <f t="shared" si="0"/>
        <v>14</v>
      </c>
      <c r="H10" s="142">
        <f t="shared" si="1"/>
        <v>0</v>
      </c>
      <c r="I10" s="142">
        <f t="shared" si="2"/>
        <v>0</v>
      </c>
      <c r="J10" s="143">
        <f t="shared" si="3"/>
        <v>0</v>
      </c>
      <c r="K10" s="143">
        <f t="shared" si="4"/>
        <v>0</v>
      </c>
      <c r="L10" s="142">
        <f t="shared" si="5"/>
        <v>0</v>
      </c>
      <c r="M10" s="142">
        <f t="shared" si="6"/>
        <v>0</v>
      </c>
      <c r="N10" s="142">
        <f t="shared" si="7"/>
        <v>0</v>
      </c>
      <c r="O10" s="59">
        <f t="shared" si="8"/>
        <v>0</v>
      </c>
      <c r="P10" s="142">
        <f t="shared" si="9"/>
        <v>44509.279999999999</v>
      </c>
      <c r="Q10" s="142">
        <f t="shared" si="10"/>
        <v>0</v>
      </c>
      <c r="R10" s="142">
        <f t="shared" si="11"/>
        <v>0</v>
      </c>
      <c r="S10" s="142">
        <f t="shared" si="12"/>
        <v>0</v>
      </c>
      <c r="T10" s="142">
        <f t="shared" si="13"/>
        <v>0</v>
      </c>
      <c r="U10" s="60">
        <f t="shared" si="14"/>
        <v>44509.279999999999</v>
      </c>
    </row>
    <row r="11" spans="1:24" x14ac:dyDescent="0.2">
      <c r="A11" s="115"/>
      <c r="B11" s="139" t="s">
        <v>325</v>
      </c>
      <c r="C11" s="140" t="s">
        <v>850</v>
      </c>
      <c r="D11" s="141">
        <v>45989</v>
      </c>
      <c r="E11" s="141">
        <v>46089</v>
      </c>
      <c r="F11" s="57">
        <v>8109.28</v>
      </c>
      <c r="G11" s="58">
        <f t="shared" si="0"/>
        <v>67</v>
      </c>
      <c r="H11" s="142">
        <f t="shared" si="1"/>
        <v>0</v>
      </c>
      <c r="I11" s="142">
        <f t="shared" si="2"/>
        <v>0</v>
      </c>
      <c r="J11" s="143">
        <f t="shared" si="3"/>
        <v>0</v>
      </c>
      <c r="K11" s="143">
        <f t="shared" si="4"/>
        <v>0</v>
      </c>
      <c r="L11" s="142">
        <f t="shared" si="5"/>
        <v>0</v>
      </c>
      <c r="M11" s="142">
        <f t="shared" si="6"/>
        <v>0</v>
      </c>
      <c r="N11" s="142">
        <f t="shared" si="7"/>
        <v>0</v>
      </c>
      <c r="O11" s="59">
        <f t="shared" si="8"/>
        <v>0</v>
      </c>
      <c r="P11" s="142">
        <f t="shared" si="9"/>
        <v>0</v>
      </c>
      <c r="Q11" s="142">
        <f t="shared" si="10"/>
        <v>0</v>
      </c>
      <c r="R11" s="142">
        <f t="shared" si="11"/>
        <v>8109.28</v>
      </c>
      <c r="S11" s="142">
        <f t="shared" si="12"/>
        <v>0</v>
      </c>
      <c r="T11" s="142">
        <f t="shared" si="13"/>
        <v>0</v>
      </c>
      <c r="U11" s="60">
        <f t="shared" si="14"/>
        <v>8109.28</v>
      </c>
    </row>
    <row r="12" spans="1:24" x14ac:dyDescent="0.2">
      <c r="A12" s="115"/>
      <c r="B12" s="139" t="s">
        <v>326</v>
      </c>
      <c r="C12" s="140" t="s">
        <v>327</v>
      </c>
      <c r="D12" s="141">
        <v>45859</v>
      </c>
      <c r="E12" s="141">
        <v>45889</v>
      </c>
      <c r="F12" s="57">
        <v>20000</v>
      </c>
      <c r="G12" s="58">
        <f t="shared" si="0"/>
        <v>-133</v>
      </c>
      <c r="H12" s="142">
        <f t="shared" si="1"/>
        <v>0</v>
      </c>
      <c r="I12" s="142">
        <f t="shared" si="2"/>
        <v>0</v>
      </c>
      <c r="J12" s="143">
        <f t="shared" si="3"/>
        <v>20000</v>
      </c>
      <c r="K12" s="143">
        <f t="shared" si="4"/>
        <v>0</v>
      </c>
      <c r="L12" s="142">
        <f t="shared" si="5"/>
        <v>0</v>
      </c>
      <c r="M12" s="142">
        <f t="shared" si="6"/>
        <v>0</v>
      </c>
      <c r="N12" s="142">
        <f t="shared" si="7"/>
        <v>0</v>
      </c>
      <c r="O12" s="59">
        <f t="shared" si="8"/>
        <v>20000</v>
      </c>
      <c r="P12" s="142">
        <f t="shared" si="9"/>
        <v>0</v>
      </c>
      <c r="Q12" s="142">
        <f t="shared" si="10"/>
        <v>0</v>
      </c>
      <c r="R12" s="142">
        <f t="shared" si="11"/>
        <v>0</v>
      </c>
      <c r="S12" s="142">
        <f t="shared" si="12"/>
        <v>0</v>
      </c>
      <c r="T12" s="142">
        <f t="shared" si="13"/>
        <v>0</v>
      </c>
      <c r="U12" s="60">
        <f t="shared" si="14"/>
        <v>0</v>
      </c>
    </row>
    <row r="13" spans="1:24" x14ac:dyDescent="0.2">
      <c r="A13" s="115"/>
      <c r="B13" s="139" t="s">
        <v>326</v>
      </c>
      <c r="C13" s="140" t="s">
        <v>327</v>
      </c>
      <c r="D13" s="141">
        <v>45859</v>
      </c>
      <c r="E13" s="141">
        <v>45920</v>
      </c>
      <c r="F13" s="57">
        <v>41545</v>
      </c>
      <c r="G13" s="58">
        <f t="shared" si="0"/>
        <v>-102</v>
      </c>
      <c r="H13" s="142">
        <f t="shared" si="1"/>
        <v>0</v>
      </c>
      <c r="I13" s="142">
        <f t="shared" si="2"/>
        <v>0</v>
      </c>
      <c r="J13" s="143">
        <f t="shared" si="3"/>
        <v>0</v>
      </c>
      <c r="K13" s="143">
        <f t="shared" si="4"/>
        <v>41545</v>
      </c>
      <c r="L13" s="142">
        <f t="shared" si="5"/>
        <v>0</v>
      </c>
      <c r="M13" s="142">
        <f t="shared" si="6"/>
        <v>0</v>
      </c>
      <c r="N13" s="142">
        <f t="shared" si="7"/>
        <v>0</v>
      </c>
      <c r="O13" s="59">
        <f t="shared" si="8"/>
        <v>41545</v>
      </c>
      <c r="P13" s="142">
        <f t="shared" si="9"/>
        <v>0</v>
      </c>
      <c r="Q13" s="142">
        <f t="shared" si="10"/>
        <v>0</v>
      </c>
      <c r="R13" s="142">
        <f t="shared" si="11"/>
        <v>0</v>
      </c>
      <c r="S13" s="142">
        <f t="shared" si="12"/>
        <v>0</v>
      </c>
      <c r="T13" s="142">
        <f t="shared" si="13"/>
        <v>0</v>
      </c>
      <c r="U13" s="60">
        <f t="shared" si="14"/>
        <v>0</v>
      </c>
    </row>
    <row r="14" spans="1:24" x14ac:dyDescent="0.2">
      <c r="A14" s="115"/>
      <c r="B14" s="139" t="s">
        <v>326</v>
      </c>
      <c r="C14" s="140" t="s">
        <v>327</v>
      </c>
      <c r="D14" s="141">
        <v>45859</v>
      </c>
      <c r="E14" s="141">
        <v>45950</v>
      </c>
      <c r="F14" s="57">
        <v>41545</v>
      </c>
      <c r="G14" s="58">
        <f t="shared" si="0"/>
        <v>-72</v>
      </c>
      <c r="H14" s="142">
        <f t="shared" si="1"/>
        <v>0</v>
      </c>
      <c r="I14" s="142">
        <f t="shared" si="2"/>
        <v>0</v>
      </c>
      <c r="J14" s="143">
        <f t="shared" si="3"/>
        <v>0</v>
      </c>
      <c r="K14" s="143">
        <f t="shared" si="4"/>
        <v>0</v>
      </c>
      <c r="L14" s="142">
        <f t="shared" si="5"/>
        <v>41545</v>
      </c>
      <c r="M14" s="142">
        <f t="shared" si="6"/>
        <v>0</v>
      </c>
      <c r="N14" s="142">
        <f t="shared" si="7"/>
        <v>0</v>
      </c>
      <c r="O14" s="59">
        <f t="shared" si="8"/>
        <v>41545</v>
      </c>
      <c r="P14" s="142">
        <f t="shared" si="9"/>
        <v>0</v>
      </c>
      <c r="Q14" s="142">
        <f t="shared" si="10"/>
        <v>0</v>
      </c>
      <c r="R14" s="142">
        <f t="shared" si="11"/>
        <v>0</v>
      </c>
      <c r="S14" s="142">
        <f t="shared" si="12"/>
        <v>0</v>
      </c>
      <c r="T14" s="142">
        <f t="shared" si="13"/>
        <v>0</v>
      </c>
      <c r="U14" s="60">
        <f t="shared" si="14"/>
        <v>0</v>
      </c>
    </row>
    <row r="15" spans="1:24" x14ac:dyDescent="0.2">
      <c r="A15" s="115"/>
      <c r="B15" s="139" t="s">
        <v>326</v>
      </c>
      <c r="C15" s="140" t="s">
        <v>327</v>
      </c>
      <c r="D15" s="141">
        <v>45859</v>
      </c>
      <c r="E15" s="141">
        <v>45981</v>
      </c>
      <c r="F15" s="57">
        <v>41545</v>
      </c>
      <c r="G15" s="58">
        <f t="shared" si="0"/>
        <v>-41</v>
      </c>
      <c r="H15" s="142">
        <f t="shared" si="1"/>
        <v>0</v>
      </c>
      <c r="I15" s="142">
        <f t="shared" si="2"/>
        <v>0</v>
      </c>
      <c r="J15" s="143">
        <f t="shared" si="3"/>
        <v>0</v>
      </c>
      <c r="K15" s="143">
        <f t="shared" si="4"/>
        <v>0</v>
      </c>
      <c r="L15" s="142">
        <f t="shared" si="5"/>
        <v>0</v>
      </c>
      <c r="M15" s="142">
        <f t="shared" si="6"/>
        <v>41545</v>
      </c>
      <c r="N15" s="142">
        <f t="shared" si="7"/>
        <v>0</v>
      </c>
      <c r="O15" s="59">
        <f t="shared" si="8"/>
        <v>41545</v>
      </c>
      <c r="P15" s="142">
        <f t="shared" si="9"/>
        <v>0</v>
      </c>
      <c r="Q15" s="142">
        <f t="shared" si="10"/>
        <v>0</v>
      </c>
      <c r="R15" s="142">
        <f t="shared" si="11"/>
        <v>0</v>
      </c>
      <c r="S15" s="142">
        <f t="shared" si="12"/>
        <v>0</v>
      </c>
      <c r="T15" s="142">
        <f t="shared" si="13"/>
        <v>0</v>
      </c>
      <c r="U15" s="60">
        <f t="shared" si="14"/>
        <v>0</v>
      </c>
    </row>
    <row r="16" spans="1:24" x14ac:dyDescent="0.2">
      <c r="A16" s="115"/>
      <c r="B16" s="139" t="s">
        <v>326</v>
      </c>
      <c r="C16" s="140" t="s">
        <v>327</v>
      </c>
      <c r="D16" s="141">
        <v>45859</v>
      </c>
      <c r="E16" s="141">
        <v>46011</v>
      </c>
      <c r="F16" s="57">
        <v>41545</v>
      </c>
      <c r="G16" s="58">
        <f t="shared" si="0"/>
        <v>-11</v>
      </c>
      <c r="H16" s="142">
        <f t="shared" si="1"/>
        <v>0</v>
      </c>
      <c r="I16" s="142">
        <f t="shared" si="2"/>
        <v>0</v>
      </c>
      <c r="J16" s="143">
        <f t="shared" si="3"/>
        <v>0</v>
      </c>
      <c r="K16" s="143">
        <f t="shared" si="4"/>
        <v>0</v>
      </c>
      <c r="L16" s="142">
        <f t="shared" si="5"/>
        <v>0</v>
      </c>
      <c r="M16" s="142">
        <f t="shared" si="6"/>
        <v>0</v>
      </c>
      <c r="N16" s="142">
        <f t="shared" si="7"/>
        <v>41545</v>
      </c>
      <c r="O16" s="59">
        <f t="shared" si="8"/>
        <v>41545</v>
      </c>
      <c r="P16" s="142">
        <f t="shared" si="9"/>
        <v>0</v>
      </c>
      <c r="Q16" s="142">
        <f t="shared" si="10"/>
        <v>0</v>
      </c>
      <c r="R16" s="142">
        <f t="shared" si="11"/>
        <v>0</v>
      </c>
      <c r="S16" s="142">
        <f t="shared" si="12"/>
        <v>0</v>
      </c>
      <c r="T16" s="142">
        <f t="shared" si="13"/>
        <v>0</v>
      </c>
      <c r="U16" s="60">
        <f t="shared" si="14"/>
        <v>0</v>
      </c>
    </row>
    <row r="17" spans="1:21" x14ac:dyDescent="0.2">
      <c r="A17" s="115"/>
      <c r="B17" s="139" t="s">
        <v>326</v>
      </c>
      <c r="C17" s="140" t="s">
        <v>327</v>
      </c>
      <c r="D17" s="141">
        <v>45859</v>
      </c>
      <c r="E17" s="141">
        <v>46042</v>
      </c>
      <c r="F17" s="57">
        <v>41545</v>
      </c>
      <c r="G17" s="58">
        <f t="shared" si="0"/>
        <v>20</v>
      </c>
      <c r="H17" s="142">
        <f t="shared" si="1"/>
        <v>0</v>
      </c>
      <c r="I17" s="142">
        <f t="shared" si="2"/>
        <v>0</v>
      </c>
      <c r="J17" s="143">
        <f t="shared" si="3"/>
        <v>0</v>
      </c>
      <c r="K17" s="143">
        <f t="shared" si="4"/>
        <v>0</v>
      </c>
      <c r="L17" s="142">
        <f t="shared" si="5"/>
        <v>0</v>
      </c>
      <c r="M17" s="142">
        <f t="shared" si="6"/>
        <v>0</v>
      </c>
      <c r="N17" s="142">
        <f t="shared" si="7"/>
        <v>0</v>
      </c>
      <c r="O17" s="59">
        <f t="shared" si="8"/>
        <v>0</v>
      </c>
      <c r="P17" s="142">
        <f t="shared" si="9"/>
        <v>41545</v>
      </c>
      <c r="Q17" s="142">
        <f t="shared" si="10"/>
        <v>0</v>
      </c>
      <c r="R17" s="142">
        <f t="shared" si="11"/>
        <v>0</v>
      </c>
      <c r="S17" s="142">
        <f t="shared" si="12"/>
        <v>0</v>
      </c>
      <c r="T17" s="142">
        <f t="shared" si="13"/>
        <v>0</v>
      </c>
      <c r="U17" s="60">
        <f t="shared" si="14"/>
        <v>41545</v>
      </c>
    </row>
    <row r="18" spans="1:21" x14ac:dyDescent="0.2">
      <c r="A18" s="115"/>
      <c r="B18" s="139" t="s">
        <v>326</v>
      </c>
      <c r="C18" s="140" t="s">
        <v>327</v>
      </c>
      <c r="D18" s="141">
        <v>45859</v>
      </c>
      <c r="E18" s="141">
        <v>46073</v>
      </c>
      <c r="F18" s="57">
        <v>41545</v>
      </c>
      <c r="G18" s="58">
        <f t="shared" si="0"/>
        <v>51</v>
      </c>
      <c r="H18" s="142">
        <f t="shared" si="1"/>
        <v>0</v>
      </c>
      <c r="I18" s="142">
        <f t="shared" si="2"/>
        <v>0</v>
      </c>
      <c r="J18" s="143">
        <f t="shared" si="3"/>
        <v>0</v>
      </c>
      <c r="K18" s="143">
        <f t="shared" si="4"/>
        <v>0</v>
      </c>
      <c r="L18" s="142">
        <f t="shared" si="5"/>
        <v>0</v>
      </c>
      <c r="M18" s="142">
        <f t="shared" si="6"/>
        <v>0</v>
      </c>
      <c r="N18" s="142">
        <f t="shared" si="7"/>
        <v>0</v>
      </c>
      <c r="O18" s="59">
        <f t="shared" si="8"/>
        <v>0</v>
      </c>
      <c r="P18" s="142">
        <f t="shared" si="9"/>
        <v>0</v>
      </c>
      <c r="Q18" s="142">
        <f t="shared" si="10"/>
        <v>41545</v>
      </c>
      <c r="R18" s="142">
        <f t="shared" si="11"/>
        <v>0</v>
      </c>
      <c r="S18" s="142">
        <f t="shared" si="12"/>
        <v>0</v>
      </c>
      <c r="T18" s="142">
        <f t="shared" si="13"/>
        <v>0</v>
      </c>
      <c r="U18" s="60">
        <f t="shared" si="14"/>
        <v>41545</v>
      </c>
    </row>
    <row r="19" spans="1:21" x14ac:dyDescent="0.2">
      <c r="A19" s="115"/>
      <c r="B19" s="139" t="s">
        <v>326</v>
      </c>
      <c r="C19" s="140" t="s">
        <v>327</v>
      </c>
      <c r="D19" s="141">
        <v>45859</v>
      </c>
      <c r="E19" s="141">
        <v>46101</v>
      </c>
      <c r="F19" s="57">
        <v>41545</v>
      </c>
      <c r="G19" s="58">
        <f t="shared" si="0"/>
        <v>79</v>
      </c>
      <c r="H19" s="142">
        <f t="shared" si="1"/>
        <v>0</v>
      </c>
      <c r="I19" s="142">
        <f t="shared" si="2"/>
        <v>0</v>
      </c>
      <c r="J19" s="143">
        <f t="shared" si="3"/>
        <v>0</v>
      </c>
      <c r="K19" s="143">
        <f t="shared" si="4"/>
        <v>0</v>
      </c>
      <c r="L19" s="142">
        <f t="shared" si="5"/>
        <v>0</v>
      </c>
      <c r="M19" s="142">
        <f t="shared" si="6"/>
        <v>0</v>
      </c>
      <c r="N19" s="142">
        <f t="shared" si="7"/>
        <v>0</v>
      </c>
      <c r="O19" s="59">
        <f t="shared" si="8"/>
        <v>0</v>
      </c>
      <c r="P19" s="142">
        <f t="shared" si="9"/>
        <v>0</v>
      </c>
      <c r="Q19" s="142">
        <f t="shared" si="10"/>
        <v>0</v>
      </c>
      <c r="R19" s="142">
        <f t="shared" si="11"/>
        <v>41545</v>
      </c>
      <c r="S19" s="142">
        <f t="shared" si="12"/>
        <v>0</v>
      </c>
      <c r="T19" s="142">
        <f t="shared" si="13"/>
        <v>0</v>
      </c>
      <c r="U19" s="60">
        <f t="shared" si="14"/>
        <v>41545</v>
      </c>
    </row>
    <row r="20" spans="1:21" x14ac:dyDescent="0.2">
      <c r="A20" s="115"/>
      <c r="B20" s="139" t="s">
        <v>49</v>
      </c>
      <c r="C20" s="140" t="s">
        <v>761</v>
      </c>
      <c r="D20" s="141">
        <v>45937</v>
      </c>
      <c r="E20" s="141">
        <v>45965</v>
      </c>
      <c r="F20" s="57">
        <v>3040</v>
      </c>
      <c r="G20" s="58">
        <f t="shared" si="0"/>
        <v>-57</v>
      </c>
      <c r="H20" s="142">
        <f t="shared" si="1"/>
        <v>0</v>
      </c>
      <c r="I20" s="142">
        <f t="shared" si="2"/>
        <v>0</v>
      </c>
      <c r="J20" s="143">
        <f t="shared" si="3"/>
        <v>0</v>
      </c>
      <c r="K20" s="143">
        <f t="shared" si="4"/>
        <v>0</v>
      </c>
      <c r="L20" s="142">
        <f t="shared" si="5"/>
        <v>0</v>
      </c>
      <c r="M20" s="142">
        <f t="shared" si="6"/>
        <v>3040</v>
      </c>
      <c r="N20" s="142">
        <f t="shared" si="7"/>
        <v>0</v>
      </c>
      <c r="O20" s="59">
        <f t="shared" si="8"/>
        <v>3040</v>
      </c>
      <c r="P20" s="142">
        <f t="shared" si="9"/>
        <v>0</v>
      </c>
      <c r="Q20" s="142">
        <f t="shared" si="10"/>
        <v>0</v>
      </c>
      <c r="R20" s="142">
        <f t="shared" si="11"/>
        <v>0</v>
      </c>
      <c r="S20" s="142">
        <f t="shared" si="12"/>
        <v>0</v>
      </c>
      <c r="T20" s="142">
        <f t="shared" si="13"/>
        <v>0</v>
      </c>
      <c r="U20" s="60">
        <f t="shared" si="14"/>
        <v>0</v>
      </c>
    </row>
    <row r="21" spans="1:21" x14ac:dyDescent="0.2">
      <c r="A21" s="115"/>
      <c r="B21" s="139" t="s">
        <v>49</v>
      </c>
      <c r="C21" s="140" t="s">
        <v>794</v>
      </c>
      <c r="D21" s="141">
        <v>45937</v>
      </c>
      <c r="E21" s="141">
        <v>45965</v>
      </c>
      <c r="F21" s="57">
        <v>23125</v>
      </c>
      <c r="G21" s="58">
        <f t="shared" si="0"/>
        <v>-57</v>
      </c>
      <c r="H21" s="142">
        <f t="shared" si="1"/>
        <v>0</v>
      </c>
      <c r="I21" s="142">
        <f t="shared" si="2"/>
        <v>0</v>
      </c>
      <c r="J21" s="143">
        <f t="shared" si="3"/>
        <v>0</v>
      </c>
      <c r="K21" s="143">
        <f t="shared" si="4"/>
        <v>0</v>
      </c>
      <c r="L21" s="142">
        <f t="shared" si="5"/>
        <v>0</v>
      </c>
      <c r="M21" s="142">
        <f t="shared" si="6"/>
        <v>23125</v>
      </c>
      <c r="N21" s="142">
        <f t="shared" si="7"/>
        <v>0</v>
      </c>
      <c r="O21" s="59">
        <f t="shared" si="8"/>
        <v>23125</v>
      </c>
      <c r="P21" s="142">
        <f t="shared" si="9"/>
        <v>0</v>
      </c>
      <c r="Q21" s="142">
        <f t="shared" si="10"/>
        <v>0</v>
      </c>
      <c r="R21" s="142">
        <f t="shared" si="11"/>
        <v>0</v>
      </c>
      <c r="S21" s="142">
        <f t="shared" si="12"/>
        <v>0</v>
      </c>
      <c r="T21" s="142">
        <f t="shared" si="13"/>
        <v>0</v>
      </c>
      <c r="U21" s="60">
        <f t="shared" si="14"/>
        <v>0</v>
      </c>
    </row>
    <row r="22" spans="1:21" x14ac:dyDescent="0.2">
      <c r="A22" s="115"/>
      <c r="B22" s="139" t="s">
        <v>473</v>
      </c>
      <c r="C22" s="140" t="s">
        <v>73</v>
      </c>
      <c r="D22" s="141">
        <v>39861</v>
      </c>
      <c r="E22" s="141">
        <v>39891</v>
      </c>
      <c r="F22" s="57">
        <v>5250</v>
      </c>
      <c r="G22" s="58">
        <f t="shared" si="0"/>
        <v>-6131</v>
      </c>
      <c r="H22" s="142">
        <f t="shared" si="1"/>
        <v>5250</v>
      </c>
      <c r="I22" s="142">
        <f t="shared" si="2"/>
        <v>0</v>
      </c>
      <c r="J22" s="143">
        <f t="shared" si="3"/>
        <v>0</v>
      </c>
      <c r="K22" s="143">
        <f t="shared" si="4"/>
        <v>0</v>
      </c>
      <c r="L22" s="142">
        <f t="shared" si="5"/>
        <v>0</v>
      </c>
      <c r="M22" s="142">
        <f t="shared" si="6"/>
        <v>0</v>
      </c>
      <c r="N22" s="142">
        <f t="shared" si="7"/>
        <v>0</v>
      </c>
      <c r="O22" s="59">
        <f t="shared" si="8"/>
        <v>5250</v>
      </c>
      <c r="P22" s="142">
        <f t="shared" si="9"/>
        <v>0</v>
      </c>
      <c r="Q22" s="142">
        <f t="shared" si="10"/>
        <v>0</v>
      </c>
      <c r="R22" s="142">
        <f t="shared" si="11"/>
        <v>0</v>
      </c>
      <c r="S22" s="142">
        <f t="shared" si="12"/>
        <v>0</v>
      </c>
      <c r="T22" s="142">
        <f t="shared" si="13"/>
        <v>0</v>
      </c>
      <c r="U22" s="60">
        <f t="shared" si="14"/>
        <v>0</v>
      </c>
    </row>
    <row r="23" spans="1:21" x14ac:dyDescent="0.2">
      <c r="A23" s="115"/>
      <c r="B23" s="139" t="s">
        <v>473</v>
      </c>
      <c r="C23" s="140" t="s">
        <v>74</v>
      </c>
      <c r="D23" s="141">
        <v>39890</v>
      </c>
      <c r="E23" s="141">
        <v>39920</v>
      </c>
      <c r="F23" s="57">
        <v>5250</v>
      </c>
      <c r="G23" s="58">
        <f t="shared" si="0"/>
        <v>-6102</v>
      </c>
      <c r="H23" s="142">
        <f t="shared" si="1"/>
        <v>5250</v>
      </c>
      <c r="I23" s="142">
        <f t="shared" si="2"/>
        <v>0</v>
      </c>
      <c r="J23" s="143">
        <f t="shared" si="3"/>
        <v>0</v>
      </c>
      <c r="K23" s="143">
        <f t="shared" si="4"/>
        <v>0</v>
      </c>
      <c r="L23" s="142">
        <f t="shared" si="5"/>
        <v>0</v>
      </c>
      <c r="M23" s="142">
        <f t="shared" si="6"/>
        <v>0</v>
      </c>
      <c r="N23" s="142">
        <f t="shared" si="7"/>
        <v>0</v>
      </c>
      <c r="O23" s="59">
        <f t="shared" si="8"/>
        <v>5250</v>
      </c>
      <c r="P23" s="142">
        <f t="shared" si="9"/>
        <v>0</v>
      </c>
      <c r="Q23" s="142">
        <f t="shared" si="10"/>
        <v>0</v>
      </c>
      <c r="R23" s="142">
        <f t="shared" si="11"/>
        <v>0</v>
      </c>
      <c r="S23" s="142">
        <f t="shared" si="12"/>
        <v>0</v>
      </c>
      <c r="T23" s="142">
        <f t="shared" si="13"/>
        <v>0</v>
      </c>
      <c r="U23" s="60">
        <f t="shared" si="14"/>
        <v>0</v>
      </c>
    </row>
    <row r="24" spans="1:21" x14ac:dyDescent="0.2">
      <c r="A24" s="115"/>
      <c r="B24" s="139" t="s">
        <v>473</v>
      </c>
      <c r="C24" s="140">
        <v>243501</v>
      </c>
      <c r="D24" s="141">
        <v>39890</v>
      </c>
      <c r="E24" s="141">
        <v>39920</v>
      </c>
      <c r="F24" s="57">
        <v>5250</v>
      </c>
      <c r="G24" s="58">
        <f t="shared" si="0"/>
        <v>-6102</v>
      </c>
      <c r="H24" s="142">
        <f t="shared" si="1"/>
        <v>5250</v>
      </c>
      <c r="I24" s="142">
        <f t="shared" si="2"/>
        <v>0</v>
      </c>
      <c r="J24" s="143">
        <f t="shared" si="3"/>
        <v>0</v>
      </c>
      <c r="K24" s="143">
        <f t="shared" si="4"/>
        <v>0</v>
      </c>
      <c r="L24" s="142">
        <f t="shared" si="5"/>
        <v>0</v>
      </c>
      <c r="M24" s="142">
        <f t="shared" si="6"/>
        <v>0</v>
      </c>
      <c r="N24" s="142">
        <f t="shared" si="7"/>
        <v>0</v>
      </c>
      <c r="O24" s="59">
        <f t="shared" si="8"/>
        <v>5250</v>
      </c>
      <c r="P24" s="142">
        <f t="shared" si="9"/>
        <v>0</v>
      </c>
      <c r="Q24" s="142">
        <f t="shared" si="10"/>
        <v>0</v>
      </c>
      <c r="R24" s="142">
        <f t="shared" si="11"/>
        <v>0</v>
      </c>
      <c r="S24" s="142">
        <f t="shared" si="12"/>
        <v>0</v>
      </c>
      <c r="T24" s="142">
        <f t="shared" si="13"/>
        <v>0</v>
      </c>
      <c r="U24" s="60">
        <f t="shared" si="14"/>
        <v>0</v>
      </c>
    </row>
    <row r="25" spans="1:21" x14ac:dyDescent="0.2">
      <c r="A25" s="115"/>
      <c r="B25" s="139" t="s">
        <v>473</v>
      </c>
      <c r="C25" s="140" t="s">
        <v>75</v>
      </c>
      <c r="D25" s="141">
        <v>39861</v>
      </c>
      <c r="E25" s="141">
        <v>39937</v>
      </c>
      <c r="F25" s="57">
        <v>5250</v>
      </c>
      <c r="G25" s="58">
        <f t="shared" si="0"/>
        <v>-6085</v>
      </c>
      <c r="H25" s="142">
        <f t="shared" si="1"/>
        <v>5250</v>
      </c>
      <c r="I25" s="142">
        <f t="shared" si="2"/>
        <v>0</v>
      </c>
      <c r="J25" s="143">
        <f t="shared" si="3"/>
        <v>0</v>
      </c>
      <c r="K25" s="143">
        <f t="shared" si="4"/>
        <v>0</v>
      </c>
      <c r="L25" s="142">
        <f t="shared" si="5"/>
        <v>0</v>
      </c>
      <c r="M25" s="142">
        <f t="shared" si="6"/>
        <v>0</v>
      </c>
      <c r="N25" s="142">
        <f t="shared" si="7"/>
        <v>0</v>
      </c>
      <c r="O25" s="59">
        <f t="shared" si="8"/>
        <v>5250</v>
      </c>
      <c r="P25" s="142">
        <f t="shared" si="9"/>
        <v>0</v>
      </c>
      <c r="Q25" s="142">
        <f t="shared" si="10"/>
        <v>0</v>
      </c>
      <c r="R25" s="142">
        <f t="shared" si="11"/>
        <v>0</v>
      </c>
      <c r="S25" s="142">
        <f t="shared" si="12"/>
        <v>0</v>
      </c>
      <c r="T25" s="142">
        <f t="shared" si="13"/>
        <v>0</v>
      </c>
      <c r="U25" s="60">
        <f t="shared" si="14"/>
        <v>0</v>
      </c>
    </row>
    <row r="26" spans="1:21" x14ac:dyDescent="0.2">
      <c r="A26" s="115"/>
      <c r="B26" s="139" t="s">
        <v>473</v>
      </c>
      <c r="C26" s="140" t="s">
        <v>76</v>
      </c>
      <c r="D26" s="141">
        <v>39890</v>
      </c>
      <c r="E26" s="141">
        <v>39948</v>
      </c>
      <c r="F26" s="57">
        <v>5250</v>
      </c>
      <c r="G26" s="58">
        <f t="shared" si="0"/>
        <v>-6074</v>
      </c>
      <c r="H26" s="142">
        <f t="shared" si="1"/>
        <v>5250</v>
      </c>
      <c r="I26" s="142">
        <f t="shared" si="2"/>
        <v>0</v>
      </c>
      <c r="J26" s="143">
        <f t="shared" si="3"/>
        <v>0</v>
      </c>
      <c r="K26" s="143">
        <f t="shared" si="4"/>
        <v>0</v>
      </c>
      <c r="L26" s="142">
        <f t="shared" si="5"/>
        <v>0</v>
      </c>
      <c r="M26" s="142">
        <f t="shared" si="6"/>
        <v>0</v>
      </c>
      <c r="N26" s="142">
        <f t="shared" si="7"/>
        <v>0</v>
      </c>
      <c r="O26" s="59">
        <f t="shared" si="8"/>
        <v>5250</v>
      </c>
      <c r="P26" s="142">
        <f t="shared" si="9"/>
        <v>0</v>
      </c>
      <c r="Q26" s="142">
        <f t="shared" si="10"/>
        <v>0</v>
      </c>
      <c r="R26" s="142">
        <f t="shared" si="11"/>
        <v>0</v>
      </c>
      <c r="S26" s="142">
        <f t="shared" si="12"/>
        <v>0</v>
      </c>
      <c r="T26" s="142">
        <f t="shared" si="13"/>
        <v>0</v>
      </c>
      <c r="U26" s="60">
        <f t="shared" si="14"/>
        <v>0</v>
      </c>
    </row>
    <row r="27" spans="1:21" x14ac:dyDescent="0.2">
      <c r="A27" s="115"/>
      <c r="B27" s="139" t="s">
        <v>473</v>
      </c>
      <c r="C27" s="140" t="s">
        <v>77</v>
      </c>
      <c r="D27" s="141">
        <v>39890</v>
      </c>
      <c r="E27" s="141">
        <v>39948</v>
      </c>
      <c r="F27" s="57">
        <v>5250</v>
      </c>
      <c r="G27" s="58">
        <f t="shared" si="0"/>
        <v>-6074</v>
      </c>
      <c r="H27" s="142">
        <f t="shared" si="1"/>
        <v>5250</v>
      </c>
      <c r="I27" s="142">
        <f t="shared" si="2"/>
        <v>0</v>
      </c>
      <c r="J27" s="143">
        <f t="shared" si="3"/>
        <v>0</v>
      </c>
      <c r="K27" s="143">
        <f t="shared" si="4"/>
        <v>0</v>
      </c>
      <c r="L27" s="142">
        <f t="shared" si="5"/>
        <v>0</v>
      </c>
      <c r="M27" s="142">
        <f t="shared" si="6"/>
        <v>0</v>
      </c>
      <c r="N27" s="142">
        <f t="shared" si="7"/>
        <v>0</v>
      </c>
      <c r="O27" s="59">
        <f t="shared" si="8"/>
        <v>5250</v>
      </c>
      <c r="P27" s="142">
        <f t="shared" si="9"/>
        <v>0</v>
      </c>
      <c r="Q27" s="142">
        <f t="shared" si="10"/>
        <v>0</v>
      </c>
      <c r="R27" s="142">
        <f t="shared" si="11"/>
        <v>0</v>
      </c>
      <c r="S27" s="142">
        <f t="shared" si="12"/>
        <v>0</v>
      </c>
      <c r="T27" s="142">
        <f t="shared" si="13"/>
        <v>0</v>
      </c>
      <c r="U27" s="60">
        <f t="shared" si="14"/>
        <v>0</v>
      </c>
    </row>
    <row r="28" spans="1:21" x14ac:dyDescent="0.2">
      <c r="A28" s="115"/>
      <c r="B28" s="139" t="s">
        <v>474</v>
      </c>
      <c r="C28" s="140" t="s">
        <v>78</v>
      </c>
      <c r="D28" s="141">
        <v>42822</v>
      </c>
      <c r="E28" s="141">
        <v>42852</v>
      </c>
      <c r="F28" s="57">
        <v>51255</v>
      </c>
      <c r="G28" s="58">
        <f t="shared" si="0"/>
        <v>-3170</v>
      </c>
      <c r="H28" s="142">
        <f t="shared" si="1"/>
        <v>51255</v>
      </c>
      <c r="I28" s="142">
        <f t="shared" si="2"/>
        <v>0</v>
      </c>
      <c r="J28" s="143">
        <f t="shared" si="3"/>
        <v>0</v>
      </c>
      <c r="K28" s="143">
        <f t="shared" si="4"/>
        <v>0</v>
      </c>
      <c r="L28" s="142">
        <f t="shared" si="5"/>
        <v>0</v>
      </c>
      <c r="M28" s="142">
        <f t="shared" si="6"/>
        <v>0</v>
      </c>
      <c r="N28" s="142">
        <f t="shared" si="7"/>
        <v>0</v>
      </c>
      <c r="O28" s="59">
        <f t="shared" si="8"/>
        <v>51255</v>
      </c>
      <c r="P28" s="142">
        <f t="shared" si="9"/>
        <v>0</v>
      </c>
      <c r="Q28" s="142">
        <f t="shared" si="10"/>
        <v>0</v>
      </c>
      <c r="R28" s="142">
        <f t="shared" si="11"/>
        <v>0</v>
      </c>
      <c r="S28" s="142">
        <f t="shared" si="12"/>
        <v>0</v>
      </c>
      <c r="T28" s="142">
        <f t="shared" si="13"/>
        <v>0</v>
      </c>
      <c r="U28" s="60">
        <f t="shared" si="14"/>
        <v>0</v>
      </c>
    </row>
    <row r="29" spans="1:21" x14ac:dyDescent="0.2">
      <c r="A29" s="115"/>
      <c r="B29" s="139" t="s">
        <v>475</v>
      </c>
      <c r="C29" s="140" t="s">
        <v>101</v>
      </c>
      <c r="D29" s="141">
        <v>45243</v>
      </c>
      <c r="E29" s="141">
        <v>45333</v>
      </c>
      <c r="F29" s="57">
        <v>14000</v>
      </c>
      <c r="G29" s="58">
        <f t="shared" si="0"/>
        <v>-689</v>
      </c>
      <c r="H29" s="142">
        <f t="shared" si="1"/>
        <v>14000</v>
      </c>
      <c r="I29" s="142">
        <f t="shared" si="2"/>
        <v>0</v>
      </c>
      <c r="J29" s="143">
        <f t="shared" si="3"/>
        <v>0</v>
      </c>
      <c r="K29" s="143">
        <f t="shared" si="4"/>
        <v>0</v>
      </c>
      <c r="L29" s="142">
        <f t="shared" si="5"/>
        <v>0</v>
      </c>
      <c r="M29" s="142">
        <f t="shared" si="6"/>
        <v>0</v>
      </c>
      <c r="N29" s="142">
        <f t="shared" si="7"/>
        <v>0</v>
      </c>
      <c r="O29" s="59">
        <f t="shared" si="8"/>
        <v>14000</v>
      </c>
      <c r="P29" s="142">
        <f t="shared" si="9"/>
        <v>0</v>
      </c>
      <c r="Q29" s="142">
        <f t="shared" si="10"/>
        <v>0</v>
      </c>
      <c r="R29" s="142">
        <f t="shared" si="11"/>
        <v>0</v>
      </c>
      <c r="S29" s="142">
        <f t="shared" si="12"/>
        <v>0</v>
      </c>
      <c r="T29" s="142">
        <f t="shared" si="13"/>
        <v>0</v>
      </c>
      <c r="U29" s="60">
        <f t="shared" si="14"/>
        <v>0</v>
      </c>
    </row>
    <row r="30" spans="1:21" x14ac:dyDescent="0.2">
      <c r="A30" s="115"/>
      <c r="B30" s="139" t="s">
        <v>475</v>
      </c>
      <c r="C30" s="140" t="s">
        <v>79</v>
      </c>
      <c r="D30" s="141">
        <v>45370</v>
      </c>
      <c r="E30" s="141">
        <v>45400</v>
      </c>
      <c r="F30" s="57">
        <v>499.14</v>
      </c>
      <c r="G30" s="58">
        <f t="shared" si="0"/>
        <v>-622</v>
      </c>
      <c r="H30" s="142">
        <f t="shared" si="1"/>
        <v>499.14</v>
      </c>
      <c r="I30" s="142">
        <f t="shared" si="2"/>
        <v>0</v>
      </c>
      <c r="J30" s="143">
        <f t="shared" si="3"/>
        <v>0</v>
      </c>
      <c r="K30" s="143">
        <f t="shared" si="4"/>
        <v>0</v>
      </c>
      <c r="L30" s="142">
        <f t="shared" si="5"/>
        <v>0</v>
      </c>
      <c r="M30" s="142">
        <f t="shared" si="6"/>
        <v>0</v>
      </c>
      <c r="N30" s="142">
        <f t="shared" si="7"/>
        <v>0</v>
      </c>
      <c r="O30" s="59">
        <f t="shared" si="8"/>
        <v>499.14</v>
      </c>
      <c r="P30" s="142">
        <f t="shared" si="9"/>
        <v>0</v>
      </c>
      <c r="Q30" s="142">
        <f t="shared" si="10"/>
        <v>0</v>
      </c>
      <c r="R30" s="142">
        <f t="shared" si="11"/>
        <v>0</v>
      </c>
      <c r="S30" s="142">
        <f t="shared" si="12"/>
        <v>0</v>
      </c>
      <c r="T30" s="142">
        <f t="shared" si="13"/>
        <v>0</v>
      </c>
      <c r="U30" s="60">
        <f t="shared" si="14"/>
        <v>0</v>
      </c>
    </row>
    <row r="31" spans="1:21" x14ac:dyDescent="0.2">
      <c r="A31" s="115"/>
      <c r="B31" s="139" t="s">
        <v>475</v>
      </c>
      <c r="C31" s="140" t="s">
        <v>80</v>
      </c>
      <c r="D31" s="141">
        <v>45343</v>
      </c>
      <c r="E31" s="141">
        <v>45433</v>
      </c>
      <c r="F31" s="57">
        <v>195.45</v>
      </c>
      <c r="G31" s="58">
        <f t="shared" si="0"/>
        <v>-589</v>
      </c>
      <c r="H31" s="142">
        <f t="shared" si="1"/>
        <v>195.45</v>
      </c>
      <c r="I31" s="142">
        <f t="shared" si="2"/>
        <v>0</v>
      </c>
      <c r="J31" s="143">
        <f t="shared" si="3"/>
        <v>0</v>
      </c>
      <c r="K31" s="143">
        <f t="shared" si="4"/>
        <v>0</v>
      </c>
      <c r="L31" s="142">
        <f t="shared" si="5"/>
        <v>0</v>
      </c>
      <c r="M31" s="142">
        <f t="shared" si="6"/>
        <v>0</v>
      </c>
      <c r="N31" s="142">
        <f t="shared" si="7"/>
        <v>0</v>
      </c>
      <c r="O31" s="59">
        <f t="shared" si="8"/>
        <v>195.45</v>
      </c>
      <c r="P31" s="142">
        <f t="shared" si="9"/>
        <v>0</v>
      </c>
      <c r="Q31" s="142">
        <f t="shared" si="10"/>
        <v>0</v>
      </c>
      <c r="R31" s="142">
        <f t="shared" si="11"/>
        <v>0</v>
      </c>
      <c r="S31" s="142">
        <f t="shared" si="12"/>
        <v>0</v>
      </c>
      <c r="T31" s="142">
        <f t="shared" si="13"/>
        <v>0</v>
      </c>
      <c r="U31" s="60">
        <f t="shared" si="14"/>
        <v>0</v>
      </c>
    </row>
    <row r="32" spans="1:21" x14ac:dyDescent="0.2">
      <c r="A32" s="115"/>
      <c r="B32" s="139" t="s">
        <v>475</v>
      </c>
      <c r="C32" s="140" t="s">
        <v>81</v>
      </c>
      <c r="D32" s="141">
        <v>45343</v>
      </c>
      <c r="E32" s="141">
        <v>45433</v>
      </c>
      <c r="F32" s="57">
        <v>195.45</v>
      </c>
      <c r="G32" s="58">
        <f t="shared" si="0"/>
        <v>-589</v>
      </c>
      <c r="H32" s="142">
        <f t="shared" si="1"/>
        <v>195.45</v>
      </c>
      <c r="I32" s="142">
        <f t="shared" si="2"/>
        <v>0</v>
      </c>
      <c r="J32" s="143">
        <f t="shared" si="3"/>
        <v>0</v>
      </c>
      <c r="K32" s="143">
        <f t="shared" si="4"/>
        <v>0</v>
      </c>
      <c r="L32" s="142">
        <f t="shared" si="5"/>
        <v>0</v>
      </c>
      <c r="M32" s="142">
        <f t="shared" si="6"/>
        <v>0</v>
      </c>
      <c r="N32" s="142">
        <f t="shared" si="7"/>
        <v>0</v>
      </c>
      <c r="O32" s="59">
        <f t="shared" si="8"/>
        <v>195.45</v>
      </c>
      <c r="P32" s="142">
        <f t="shared" si="9"/>
        <v>0</v>
      </c>
      <c r="Q32" s="142">
        <f t="shared" si="10"/>
        <v>0</v>
      </c>
      <c r="R32" s="142">
        <f t="shared" si="11"/>
        <v>0</v>
      </c>
      <c r="S32" s="142">
        <f t="shared" si="12"/>
        <v>0</v>
      </c>
      <c r="T32" s="142">
        <f t="shared" si="13"/>
        <v>0</v>
      </c>
      <c r="U32" s="60">
        <f t="shared" si="14"/>
        <v>0</v>
      </c>
    </row>
    <row r="33" spans="1:21" x14ac:dyDescent="0.2">
      <c r="A33" s="115"/>
      <c r="B33" s="139" t="s">
        <v>475</v>
      </c>
      <c r="C33" s="140" t="s">
        <v>82</v>
      </c>
      <c r="D33" s="141">
        <v>45343</v>
      </c>
      <c r="E33" s="141">
        <v>45433</v>
      </c>
      <c r="F33" s="57">
        <v>195.45</v>
      </c>
      <c r="G33" s="58">
        <f t="shared" si="0"/>
        <v>-589</v>
      </c>
      <c r="H33" s="142">
        <f t="shared" si="1"/>
        <v>195.45</v>
      </c>
      <c r="I33" s="142">
        <f t="shared" si="2"/>
        <v>0</v>
      </c>
      <c r="J33" s="143">
        <f t="shared" si="3"/>
        <v>0</v>
      </c>
      <c r="K33" s="143">
        <f t="shared" si="4"/>
        <v>0</v>
      </c>
      <c r="L33" s="142">
        <f t="shared" si="5"/>
        <v>0</v>
      </c>
      <c r="M33" s="142">
        <f t="shared" si="6"/>
        <v>0</v>
      </c>
      <c r="N33" s="142">
        <f t="shared" si="7"/>
        <v>0</v>
      </c>
      <c r="O33" s="59">
        <f t="shared" si="8"/>
        <v>195.45</v>
      </c>
      <c r="P33" s="142">
        <f t="shared" si="9"/>
        <v>0</v>
      </c>
      <c r="Q33" s="142">
        <f t="shared" si="10"/>
        <v>0</v>
      </c>
      <c r="R33" s="142">
        <f t="shared" si="11"/>
        <v>0</v>
      </c>
      <c r="S33" s="142">
        <f t="shared" si="12"/>
        <v>0</v>
      </c>
      <c r="T33" s="142">
        <f t="shared" si="13"/>
        <v>0</v>
      </c>
      <c r="U33" s="60">
        <f t="shared" si="14"/>
        <v>0</v>
      </c>
    </row>
    <row r="34" spans="1:21" x14ac:dyDescent="0.2">
      <c r="A34" s="115"/>
      <c r="B34" s="139" t="s">
        <v>475</v>
      </c>
      <c r="C34" s="140" t="s">
        <v>83</v>
      </c>
      <c r="D34" s="141">
        <v>45345</v>
      </c>
      <c r="E34" s="141">
        <v>45435</v>
      </c>
      <c r="F34" s="57">
        <v>499.14</v>
      </c>
      <c r="G34" s="58">
        <f t="shared" si="0"/>
        <v>-587</v>
      </c>
      <c r="H34" s="142">
        <f t="shared" si="1"/>
        <v>499.14</v>
      </c>
      <c r="I34" s="142">
        <f t="shared" si="2"/>
        <v>0</v>
      </c>
      <c r="J34" s="143">
        <f t="shared" si="3"/>
        <v>0</v>
      </c>
      <c r="K34" s="143">
        <f t="shared" si="4"/>
        <v>0</v>
      </c>
      <c r="L34" s="142">
        <f t="shared" si="5"/>
        <v>0</v>
      </c>
      <c r="M34" s="142">
        <f t="shared" si="6"/>
        <v>0</v>
      </c>
      <c r="N34" s="142">
        <f t="shared" si="7"/>
        <v>0</v>
      </c>
      <c r="O34" s="59">
        <f t="shared" si="8"/>
        <v>499.14</v>
      </c>
      <c r="P34" s="142">
        <f t="shared" si="9"/>
        <v>0</v>
      </c>
      <c r="Q34" s="142">
        <f t="shared" si="10"/>
        <v>0</v>
      </c>
      <c r="R34" s="142">
        <f t="shared" si="11"/>
        <v>0</v>
      </c>
      <c r="S34" s="142">
        <f t="shared" si="12"/>
        <v>0</v>
      </c>
      <c r="T34" s="142">
        <f t="shared" si="13"/>
        <v>0</v>
      </c>
      <c r="U34" s="60">
        <f t="shared" si="14"/>
        <v>0</v>
      </c>
    </row>
    <row r="35" spans="1:21" x14ac:dyDescent="0.2">
      <c r="A35" s="115"/>
      <c r="B35" s="139" t="s">
        <v>475</v>
      </c>
      <c r="C35" s="140" t="s">
        <v>84</v>
      </c>
      <c r="D35" s="141">
        <v>45345</v>
      </c>
      <c r="E35" s="141">
        <v>45435</v>
      </c>
      <c r="F35" s="57">
        <v>195.45</v>
      </c>
      <c r="G35" s="58">
        <f t="shared" si="0"/>
        <v>-587</v>
      </c>
      <c r="H35" s="142">
        <f t="shared" si="1"/>
        <v>195.45</v>
      </c>
      <c r="I35" s="142">
        <f t="shared" si="2"/>
        <v>0</v>
      </c>
      <c r="J35" s="143">
        <f t="shared" si="3"/>
        <v>0</v>
      </c>
      <c r="K35" s="143">
        <f t="shared" si="4"/>
        <v>0</v>
      </c>
      <c r="L35" s="142">
        <f t="shared" si="5"/>
        <v>0</v>
      </c>
      <c r="M35" s="142">
        <f t="shared" si="6"/>
        <v>0</v>
      </c>
      <c r="N35" s="142">
        <f t="shared" si="7"/>
        <v>0</v>
      </c>
      <c r="O35" s="59">
        <f t="shared" si="8"/>
        <v>195.45</v>
      </c>
      <c r="P35" s="142">
        <f t="shared" si="9"/>
        <v>0</v>
      </c>
      <c r="Q35" s="142">
        <f t="shared" si="10"/>
        <v>0</v>
      </c>
      <c r="R35" s="142">
        <f t="shared" si="11"/>
        <v>0</v>
      </c>
      <c r="S35" s="142">
        <f t="shared" si="12"/>
        <v>0</v>
      </c>
      <c r="T35" s="142">
        <f t="shared" si="13"/>
        <v>0</v>
      </c>
      <c r="U35" s="60">
        <f t="shared" si="14"/>
        <v>0</v>
      </c>
    </row>
    <row r="36" spans="1:21" x14ac:dyDescent="0.2">
      <c r="A36" s="115"/>
      <c r="B36" s="139" t="s">
        <v>475</v>
      </c>
      <c r="C36" s="140" t="s">
        <v>85</v>
      </c>
      <c r="D36" s="141">
        <v>45345</v>
      </c>
      <c r="E36" s="141">
        <v>45435</v>
      </c>
      <c r="F36" s="57">
        <v>195.45</v>
      </c>
      <c r="G36" s="58">
        <f t="shared" si="0"/>
        <v>-587</v>
      </c>
      <c r="H36" s="142">
        <f t="shared" si="1"/>
        <v>195.45</v>
      </c>
      <c r="I36" s="142">
        <f t="shared" si="2"/>
        <v>0</v>
      </c>
      <c r="J36" s="143">
        <f t="shared" si="3"/>
        <v>0</v>
      </c>
      <c r="K36" s="143">
        <f t="shared" si="4"/>
        <v>0</v>
      </c>
      <c r="L36" s="142">
        <f t="shared" si="5"/>
        <v>0</v>
      </c>
      <c r="M36" s="142">
        <f t="shared" si="6"/>
        <v>0</v>
      </c>
      <c r="N36" s="142">
        <f t="shared" si="7"/>
        <v>0</v>
      </c>
      <c r="O36" s="59">
        <f t="shared" si="8"/>
        <v>195.45</v>
      </c>
      <c r="P36" s="142">
        <f t="shared" si="9"/>
        <v>0</v>
      </c>
      <c r="Q36" s="142">
        <f t="shared" si="10"/>
        <v>0</v>
      </c>
      <c r="R36" s="142">
        <f t="shared" si="11"/>
        <v>0</v>
      </c>
      <c r="S36" s="142">
        <f t="shared" si="12"/>
        <v>0</v>
      </c>
      <c r="T36" s="142">
        <f t="shared" si="13"/>
        <v>0</v>
      </c>
      <c r="U36" s="60">
        <f t="shared" si="14"/>
        <v>0</v>
      </c>
    </row>
    <row r="37" spans="1:21" x14ac:dyDescent="0.2">
      <c r="A37" s="115"/>
      <c r="B37" s="139" t="s">
        <v>475</v>
      </c>
      <c r="C37" s="140" t="s">
        <v>86</v>
      </c>
      <c r="D37" s="141">
        <v>45349</v>
      </c>
      <c r="E37" s="141">
        <v>45439</v>
      </c>
      <c r="F37" s="57">
        <v>12544.98</v>
      </c>
      <c r="G37" s="58">
        <f t="shared" si="0"/>
        <v>-583</v>
      </c>
      <c r="H37" s="142">
        <f t="shared" si="1"/>
        <v>12544.98</v>
      </c>
      <c r="I37" s="142">
        <f t="shared" si="2"/>
        <v>0</v>
      </c>
      <c r="J37" s="143">
        <f t="shared" si="3"/>
        <v>0</v>
      </c>
      <c r="K37" s="143">
        <f t="shared" si="4"/>
        <v>0</v>
      </c>
      <c r="L37" s="142">
        <f t="shared" si="5"/>
        <v>0</v>
      </c>
      <c r="M37" s="142">
        <f t="shared" si="6"/>
        <v>0</v>
      </c>
      <c r="N37" s="142">
        <f t="shared" si="7"/>
        <v>0</v>
      </c>
      <c r="O37" s="59">
        <f t="shared" si="8"/>
        <v>12544.98</v>
      </c>
      <c r="P37" s="142">
        <f t="shared" si="9"/>
        <v>0</v>
      </c>
      <c r="Q37" s="142">
        <f t="shared" si="10"/>
        <v>0</v>
      </c>
      <c r="R37" s="142">
        <f t="shared" si="11"/>
        <v>0</v>
      </c>
      <c r="S37" s="142">
        <f t="shared" si="12"/>
        <v>0</v>
      </c>
      <c r="T37" s="142">
        <f t="shared" si="13"/>
        <v>0</v>
      </c>
      <c r="U37" s="60">
        <f t="shared" si="14"/>
        <v>0</v>
      </c>
    </row>
    <row r="38" spans="1:21" x14ac:dyDescent="0.2">
      <c r="A38" s="115"/>
      <c r="B38" s="139" t="s">
        <v>475</v>
      </c>
      <c r="C38" s="140" t="s">
        <v>87</v>
      </c>
      <c r="D38" s="141">
        <v>45349</v>
      </c>
      <c r="E38" s="141">
        <v>45439</v>
      </c>
      <c r="F38" s="57">
        <v>43763.58</v>
      </c>
      <c r="G38" s="58">
        <f t="shared" si="0"/>
        <v>-583</v>
      </c>
      <c r="H38" s="142">
        <f t="shared" si="1"/>
        <v>43763.58</v>
      </c>
      <c r="I38" s="142">
        <f t="shared" si="2"/>
        <v>0</v>
      </c>
      <c r="J38" s="143">
        <f t="shared" si="3"/>
        <v>0</v>
      </c>
      <c r="K38" s="143">
        <f t="shared" si="4"/>
        <v>0</v>
      </c>
      <c r="L38" s="142">
        <f t="shared" si="5"/>
        <v>0</v>
      </c>
      <c r="M38" s="142">
        <f t="shared" si="6"/>
        <v>0</v>
      </c>
      <c r="N38" s="142">
        <f t="shared" si="7"/>
        <v>0</v>
      </c>
      <c r="O38" s="59">
        <f t="shared" si="8"/>
        <v>43763.58</v>
      </c>
      <c r="P38" s="142">
        <f t="shared" si="9"/>
        <v>0</v>
      </c>
      <c r="Q38" s="142">
        <f t="shared" si="10"/>
        <v>0</v>
      </c>
      <c r="R38" s="142">
        <f t="shared" si="11"/>
        <v>0</v>
      </c>
      <c r="S38" s="142">
        <f t="shared" si="12"/>
        <v>0</v>
      </c>
      <c r="T38" s="142">
        <f t="shared" si="13"/>
        <v>0</v>
      </c>
      <c r="U38" s="60">
        <f t="shared" si="14"/>
        <v>0</v>
      </c>
    </row>
    <row r="39" spans="1:21" x14ac:dyDescent="0.2">
      <c r="A39" s="115"/>
      <c r="B39" s="139" t="s">
        <v>475</v>
      </c>
      <c r="C39" s="140" t="s">
        <v>88</v>
      </c>
      <c r="D39" s="141">
        <v>45349</v>
      </c>
      <c r="E39" s="141">
        <v>45439</v>
      </c>
      <c r="F39" s="57">
        <v>55352.68</v>
      </c>
      <c r="G39" s="58">
        <f t="shared" si="0"/>
        <v>-583</v>
      </c>
      <c r="H39" s="142">
        <f t="shared" si="1"/>
        <v>55352.68</v>
      </c>
      <c r="I39" s="142">
        <f t="shared" si="2"/>
        <v>0</v>
      </c>
      <c r="J39" s="143">
        <f t="shared" si="3"/>
        <v>0</v>
      </c>
      <c r="K39" s="143">
        <f t="shared" si="4"/>
        <v>0</v>
      </c>
      <c r="L39" s="142">
        <f t="shared" si="5"/>
        <v>0</v>
      </c>
      <c r="M39" s="142">
        <f t="shared" si="6"/>
        <v>0</v>
      </c>
      <c r="N39" s="142">
        <f t="shared" si="7"/>
        <v>0</v>
      </c>
      <c r="O39" s="59">
        <f t="shared" si="8"/>
        <v>55352.68</v>
      </c>
      <c r="P39" s="142">
        <f t="shared" si="9"/>
        <v>0</v>
      </c>
      <c r="Q39" s="142">
        <f t="shared" si="10"/>
        <v>0</v>
      </c>
      <c r="R39" s="142">
        <f t="shared" si="11"/>
        <v>0</v>
      </c>
      <c r="S39" s="142">
        <f t="shared" si="12"/>
        <v>0</v>
      </c>
      <c r="T39" s="142">
        <f t="shared" si="13"/>
        <v>0</v>
      </c>
      <c r="U39" s="60">
        <f t="shared" si="14"/>
        <v>0</v>
      </c>
    </row>
    <row r="40" spans="1:21" x14ac:dyDescent="0.2">
      <c r="A40" s="115"/>
      <c r="B40" s="139" t="s">
        <v>475</v>
      </c>
      <c r="C40" s="140" t="s">
        <v>89</v>
      </c>
      <c r="D40" s="141">
        <v>45355</v>
      </c>
      <c r="E40" s="141">
        <v>45445</v>
      </c>
      <c r="F40" s="57">
        <v>499.14</v>
      </c>
      <c r="G40" s="58">
        <f t="shared" si="0"/>
        <v>-577</v>
      </c>
      <c r="H40" s="142">
        <f t="shared" si="1"/>
        <v>499.14</v>
      </c>
      <c r="I40" s="142">
        <f t="shared" si="2"/>
        <v>0</v>
      </c>
      <c r="J40" s="143">
        <f t="shared" si="3"/>
        <v>0</v>
      </c>
      <c r="K40" s="143">
        <f t="shared" si="4"/>
        <v>0</v>
      </c>
      <c r="L40" s="142">
        <f t="shared" si="5"/>
        <v>0</v>
      </c>
      <c r="M40" s="142">
        <f t="shared" si="6"/>
        <v>0</v>
      </c>
      <c r="N40" s="142">
        <f t="shared" si="7"/>
        <v>0</v>
      </c>
      <c r="O40" s="59">
        <f t="shared" si="8"/>
        <v>499.14</v>
      </c>
      <c r="P40" s="142">
        <f t="shared" si="9"/>
        <v>0</v>
      </c>
      <c r="Q40" s="142">
        <f t="shared" si="10"/>
        <v>0</v>
      </c>
      <c r="R40" s="142">
        <f t="shared" si="11"/>
        <v>0</v>
      </c>
      <c r="S40" s="142">
        <f t="shared" si="12"/>
        <v>0</v>
      </c>
      <c r="T40" s="142">
        <f t="shared" si="13"/>
        <v>0</v>
      </c>
      <c r="U40" s="60">
        <f t="shared" si="14"/>
        <v>0</v>
      </c>
    </row>
    <row r="41" spans="1:21" x14ac:dyDescent="0.2">
      <c r="A41" s="115"/>
      <c r="B41" s="139" t="s">
        <v>475</v>
      </c>
      <c r="C41" s="140" t="s">
        <v>90</v>
      </c>
      <c r="D41" s="141">
        <v>45370</v>
      </c>
      <c r="E41" s="141">
        <v>45460</v>
      </c>
      <c r="F41" s="57">
        <v>195.45</v>
      </c>
      <c r="G41" s="58">
        <f t="shared" si="0"/>
        <v>-562</v>
      </c>
      <c r="H41" s="142">
        <f t="shared" si="1"/>
        <v>195.45</v>
      </c>
      <c r="I41" s="142">
        <f t="shared" si="2"/>
        <v>0</v>
      </c>
      <c r="J41" s="143">
        <f t="shared" si="3"/>
        <v>0</v>
      </c>
      <c r="K41" s="143">
        <f t="shared" si="4"/>
        <v>0</v>
      </c>
      <c r="L41" s="142">
        <f t="shared" si="5"/>
        <v>0</v>
      </c>
      <c r="M41" s="142">
        <f t="shared" si="6"/>
        <v>0</v>
      </c>
      <c r="N41" s="142">
        <f t="shared" si="7"/>
        <v>0</v>
      </c>
      <c r="O41" s="59">
        <f t="shared" si="8"/>
        <v>195.45</v>
      </c>
      <c r="P41" s="142">
        <f t="shared" si="9"/>
        <v>0</v>
      </c>
      <c r="Q41" s="142">
        <f t="shared" si="10"/>
        <v>0</v>
      </c>
      <c r="R41" s="142">
        <f t="shared" si="11"/>
        <v>0</v>
      </c>
      <c r="S41" s="142">
        <f t="shared" si="12"/>
        <v>0</v>
      </c>
      <c r="T41" s="142">
        <f t="shared" si="13"/>
        <v>0</v>
      </c>
      <c r="U41" s="60">
        <f t="shared" si="14"/>
        <v>0</v>
      </c>
    </row>
    <row r="42" spans="1:21" x14ac:dyDescent="0.2">
      <c r="A42" s="115"/>
      <c r="B42" s="139" t="s">
        <v>475</v>
      </c>
      <c r="C42" s="140" t="s">
        <v>91</v>
      </c>
      <c r="D42" s="141">
        <v>45370</v>
      </c>
      <c r="E42" s="141">
        <v>45460</v>
      </c>
      <c r="F42" s="57">
        <v>499.14</v>
      </c>
      <c r="G42" s="58">
        <f t="shared" si="0"/>
        <v>-562</v>
      </c>
      <c r="H42" s="142">
        <f t="shared" si="1"/>
        <v>499.14</v>
      </c>
      <c r="I42" s="142">
        <f t="shared" si="2"/>
        <v>0</v>
      </c>
      <c r="J42" s="143">
        <f t="shared" si="3"/>
        <v>0</v>
      </c>
      <c r="K42" s="143">
        <f t="shared" si="4"/>
        <v>0</v>
      </c>
      <c r="L42" s="142">
        <f t="shared" si="5"/>
        <v>0</v>
      </c>
      <c r="M42" s="142">
        <f t="shared" si="6"/>
        <v>0</v>
      </c>
      <c r="N42" s="142">
        <f t="shared" si="7"/>
        <v>0</v>
      </c>
      <c r="O42" s="59">
        <f t="shared" si="8"/>
        <v>499.14</v>
      </c>
      <c r="P42" s="142">
        <f t="shared" si="9"/>
        <v>0</v>
      </c>
      <c r="Q42" s="142">
        <f t="shared" si="10"/>
        <v>0</v>
      </c>
      <c r="R42" s="142">
        <f t="shared" si="11"/>
        <v>0</v>
      </c>
      <c r="S42" s="142">
        <f t="shared" si="12"/>
        <v>0</v>
      </c>
      <c r="T42" s="142">
        <f t="shared" si="13"/>
        <v>0</v>
      </c>
      <c r="U42" s="60">
        <f t="shared" si="14"/>
        <v>0</v>
      </c>
    </row>
    <row r="43" spans="1:21" x14ac:dyDescent="0.2">
      <c r="A43" s="115"/>
      <c r="B43" s="139" t="s">
        <v>475</v>
      </c>
      <c r="C43" s="140" t="s">
        <v>92</v>
      </c>
      <c r="D43" s="141">
        <v>45379</v>
      </c>
      <c r="E43" s="141">
        <v>45469</v>
      </c>
      <c r="F43" s="57">
        <v>56045.67</v>
      </c>
      <c r="G43" s="58">
        <f t="shared" si="0"/>
        <v>-553</v>
      </c>
      <c r="H43" s="142">
        <f t="shared" si="1"/>
        <v>56045.67</v>
      </c>
      <c r="I43" s="142">
        <f t="shared" si="2"/>
        <v>0</v>
      </c>
      <c r="J43" s="143">
        <f t="shared" si="3"/>
        <v>0</v>
      </c>
      <c r="K43" s="143">
        <f t="shared" si="4"/>
        <v>0</v>
      </c>
      <c r="L43" s="142">
        <f t="shared" si="5"/>
        <v>0</v>
      </c>
      <c r="M43" s="142">
        <f t="shared" si="6"/>
        <v>0</v>
      </c>
      <c r="N43" s="142">
        <f t="shared" si="7"/>
        <v>0</v>
      </c>
      <c r="O43" s="59">
        <f t="shared" si="8"/>
        <v>56045.67</v>
      </c>
      <c r="P43" s="142">
        <f t="shared" si="9"/>
        <v>0</v>
      </c>
      <c r="Q43" s="142">
        <f t="shared" si="10"/>
        <v>0</v>
      </c>
      <c r="R43" s="142">
        <f t="shared" si="11"/>
        <v>0</v>
      </c>
      <c r="S43" s="142">
        <f t="shared" si="12"/>
        <v>0</v>
      </c>
      <c r="T43" s="142">
        <f t="shared" si="13"/>
        <v>0</v>
      </c>
      <c r="U43" s="60">
        <f t="shared" si="14"/>
        <v>0</v>
      </c>
    </row>
    <row r="44" spans="1:21" x14ac:dyDescent="0.2">
      <c r="A44" s="115"/>
      <c r="B44" s="139" t="s">
        <v>475</v>
      </c>
      <c r="C44" s="140" t="s">
        <v>93</v>
      </c>
      <c r="D44" s="141">
        <v>45379</v>
      </c>
      <c r="E44" s="141">
        <v>45469</v>
      </c>
      <c r="F44" s="57">
        <v>14000</v>
      </c>
      <c r="G44" s="58">
        <f t="shared" si="0"/>
        <v>-553</v>
      </c>
      <c r="H44" s="142">
        <f t="shared" si="1"/>
        <v>14000</v>
      </c>
      <c r="I44" s="142">
        <f t="shared" si="2"/>
        <v>0</v>
      </c>
      <c r="J44" s="143">
        <f t="shared" si="3"/>
        <v>0</v>
      </c>
      <c r="K44" s="143">
        <f t="shared" si="4"/>
        <v>0</v>
      </c>
      <c r="L44" s="142">
        <f t="shared" si="5"/>
        <v>0</v>
      </c>
      <c r="M44" s="142">
        <f t="shared" si="6"/>
        <v>0</v>
      </c>
      <c r="N44" s="142">
        <f t="shared" si="7"/>
        <v>0</v>
      </c>
      <c r="O44" s="59">
        <f t="shared" si="8"/>
        <v>14000</v>
      </c>
      <c r="P44" s="142">
        <f t="shared" si="9"/>
        <v>0</v>
      </c>
      <c r="Q44" s="142">
        <f t="shared" si="10"/>
        <v>0</v>
      </c>
      <c r="R44" s="142">
        <f t="shared" si="11"/>
        <v>0</v>
      </c>
      <c r="S44" s="142">
        <f t="shared" si="12"/>
        <v>0</v>
      </c>
      <c r="T44" s="142">
        <f t="shared" si="13"/>
        <v>0</v>
      </c>
      <c r="U44" s="60">
        <f t="shared" si="14"/>
        <v>0</v>
      </c>
    </row>
    <row r="45" spans="1:21" x14ac:dyDescent="0.2">
      <c r="A45" s="115"/>
      <c r="B45" s="139" t="s">
        <v>475</v>
      </c>
      <c r="C45" s="140" t="s">
        <v>94</v>
      </c>
      <c r="D45" s="141">
        <v>45392</v>
      </c>
      <c r="E45" s="141">
        <v>45482</v>
      </c>
      <c r="F45" s="57">
        <v>195.45</v>
      </c>
      <c r="G45" s="58">
        <f t="shared" si="0"/>
        <v>-540</v>
      </c>
      <c r="H45" s="142">
        <f t="shared" si="1"/>
        <v>195.45</v>
      </c>
      <c r="I45" s="142">
        <f t="shared" si="2"/>
        <v>0</v>
      </c>
      <c r="J45" s="143">
        <f t="shared" si="3"/>
        <v>0</v>
      </c>
      <c r="K45" s="143">
        <f t="shared" si="4"/>
        <v>0</v>
      </c>
      <c r="L45" s="142">
        <f t="shared" si="5"/>
        <v>0</v>
      </c>
      <c r="M45" s="142">
        <f t="shared" si="6"/>
        <v>0</v>
      </c>
      <c r="N45" s="142">
        <f t="shared" si="7"/>
        <v>0</v>
      </c>
      <c r="O45" s="59">
        <f t="shared" si="8"/>
        <v>195.45</v>
      </c>
      <c r="P45" s="142">
        <f t="shared" si="9"/>
        <v>0</v>
      </c>
      <c r="Q45" s="142">
        <f t="shared" si="10"/>
        <v>0</v>
      </c>
      <c r="R45" s="142">
        <f t="shared" si="11"/>
        <v>0</v>
      </c>
      <c r="S45" s="142">
        <f t="shared" si="12"/>
        <v>0</v>
      </c>
      <c r="T45" s="142">
        <f t="shared" si="13"/>
        <v>0</v>
      </c>
      <c r="U45" s="60">
        <f t="shared" si="14"/>
        <v>0</v>
      </c>
    </row>
    <row r="46" spans="1:21" x14ac:dyDescent="0.2">
      <c r="A46" s="115"/>
      <c r="B46" s="139" t="s">
        <v>475</v>
      </c>
      <c r="C46" s="140" t="s">
        <v>95</v>
      </c>
      <c r="D46" s="141">
        <v>45392</v>
      </c>
      <c r="E46" s="141">
        <v>45482</v>
      </c>
      <c r="F46" s="57">
        <v>14000</v>
      </c>
      <c r="G46" s="58">
        <f t="shared" si="0"/>
        <v>-540</v>
      </c>
      <c r="H46" s="142">
        <f t="shared" si="1"/>
        <v>14000</v>
      </c>
      <c r="I46" s="142">
        <f t="shared" si="2"/>
        <v>0</v>
      </c>
      <c r="J46" s="143">
        <f t="shared" si="3"/>
        <v>0</v>
      </c>
      <c r="K46" s="143">
        <f t="shared" si="4"/>
        <v>0</v>
      </c>
      <c r="L46" s="142">
        <f t="shared" si="5"/>
        <v>0</v>
      </c>
      <c r="M46" s="142">
        <f t="shared" si="6"/>
        <v>0</v>
      </c>
      <c r="N46" s="142">
        <f t="shared" si="7"/>
        <v>0</v>
      </c>
      <c r="O46" s="59">
        <f t="shared" si="8"/>
        <v>14000</v>
      </c>
      <c r="P46" s="142">
        <f t="shared" si="9"/>
        <v>0</v>
      </c>
      <c r="Q46" s="142">
        <f t="shared" si="10"/>
        <v>0</v>
      </c>
      <c r="R46" s="142">
        <f t="shared" si="11"/>
        <v>0</v>
      </c>
      <c r="S46" s="142">
        <f t="shared" si="12"/>
        <v>0</v>
      </c>
      <c r="T46" s="142">
        <f t="shared" si="13"/>
        <v>0</v>
      </c>
      <c r="U46" s="60">
        <f t="shared" si="14"/>
        <v>0</v>
      </c>
    </row>
    <row r="47" spans="1:21" x14ac:dyDescent="0.2">
      <c r="A47" s="115"/>
      <c r="B47" s="139" t="s">
        <v>475</v>
      </c>
      <c r="C47" s="140" t="s">
        <v>96</v>
      </c>
      <c r="D47" s="141">
        <v>45393</v>
      </c>
      <c r="E47" s="141">
        <v>45483</v>
      </c>
      <c r="F47" s="57">
        <v>195.45</v>
      </c>
      <c r="G47" s="58">
        <f t="shared" si="0"/>
        <v>-539</v>
      </c>
      <c r="H47" s="142">
        <f t="shared" si="1"/>
        <v>195.45</v>
      </c>
      <c r="I47" s="142">
        <f t="shared" si="2"/>
        <v>0</v>
      </c>
      <c r="J47" s="143">
        <f t="shared" si="3"/>
        <v>0</v>
      </c>
      <c r="K47" s="143">
        <f t="shared" si="4"/>
        <v>0</v>
      </c>
      <c r="L47" s="142">
        <f t="shared" si="5"/>
        <v>0</v>
      </c>
      <c r="M47" s="142">
        <f t="shared" si="6"/>
        <v>0</v>
      </c>
      <c r="N47" s="142">
        <f t="shared" si="7"/>
        <v>0</v>
      </c>
      <c r="O47" s="59">
        <f t="shared" si="8"/>
        <v>195.45</v>
      </c>
      <c r="P47" s="142">
        <f t="shared" si="9"/>
        <v>0</v>
      </c>
      <c r="Q47" s="142">
        <f t="shared" si="10"/>
        <v>0</v>
      </c>
      <c r="R47" s="142">
        <f t="shared" si="11"/>
        <v>0</v>
      </c>
      <c r="S47" s="142">
        <f t="shared" si="12"/>
        <v>0</v>
      </c>
      <c r="T47" s="142">
        <f t="shared" si="13"/>
        <v>0</v>
      </c>
      <c r="U47" s="60">
        <f t="shared" si="14"/>
        <v>0</v>
      </c>
    </row>
    <row r="48" spans="1:21" x14ac:dyDescent="0.2">
      <c r="A48" s="115"/>
      <c r="B48" s="139" t="s">
        <v>475</v>
      </c>
      <c r="C48" s="140" t="s">
        <v>97</v>
      </c>
      <c r="D48" s="141">
        <v>45461</v>
      </c>
      <c r="E48" s="141">
        <v>45551</v>
      </c>
      <c r="F48" s="57">
        <v>195.45</v>
      </c>
      <c r="G48" s="58">
        <f t="shared" si="0"/>
        <v>-471</v>
      </c>
      <c r="H48" s="142">
        <f t="shared" si="1"/>
        <v>195.45</v>
      </c>
      <c r="I48" s="142">
        <f t="shared" si="2"/>
        <v>0</v>
      </c>
      <c r="J48" s="143">
        <f t="shared" si="3"/>
        <v>0</v>
      </c>
      <c r="K48" s="143">
        <f t="shared" si="4"/>
        <v>0</v>
      </c>
      <c r="L48" s="142">
        <f t="shared" si="5"/>
        <v>0</v>
      </c>
      <c r="M48" s="142">
        <f t="shared" si="6"/>
        <v>0</v>
      </c>
      <c r="N48" s="142">
        <f t="shared" si="7"/>
        <v>0</v>
      </c>
      <c r="O48" s="59">
        <f t="shared" si="8"/>
        <v>195.45</v>
      </c>
      <c r="P48" s="142">
        <f t="shared" si="9"/>
        <v>0</v>
      </c>
      <c r="Q48" s="142">
        <f t="shared" si="10"/>
        <v>0</v>
      </c>
      <c r="R48" s="142">
        <f t="shared" si="11"/>
        <v>0</v>
      </c>
      <c r="S48" s="142">
        <f t="shared" si="12"/>
        <v>0</v>
      </c>
      <c r="T48" s="142">
        <f t="shared" si="13"/>
        <v>0</v>
      </c>
      <c r="U48" s="60">
        <f t="shared" si="14"/>
        <v>0</v>
      </c>
    </row>
    <row r="49" spans="1:21" x14ac:dyDescent="0.2">
      <c r="A49" s="115"/>
      <c r="B49" s="139" t="s">
        <v>475</v>
      </c>
      <c r="C49" s="140" t="s">
        <v>98</v>
      </c>
      <c r="D49" s="141">
        <v>45461</v>
      </c>
      <c r="E49" s="141">
        <v>45551</v>
      </c>
      <c r="F49" s="57">
        <v>195.45</v>
      </c>
      <c r="G49" s="58">
        <f t="shared" si="0"/>
        <v>-471</v>
      </c>
      <c r="H49" s="142">
        <f t="shared" si="1"/>
        <v>195.45</v>
      </c>
      <c r="I49" s="142">
        <f t="shared" si="2"/>
        <v>0</v>
      </c>
      <c r="J49" s="143">
        <f t="shared" si="3"/>
        <v>0</v>
      </c>
      <c r="K49" s="143">
        <f t="shared" si="4"/>
        <v>0</v>
      </c>
      <c r="L49" s="142">
        <f t="shared" si="5"/>
        <v>0</v>
      </c>
      <c r="M49" s="142">
        <f t="shared" si="6"/>
        <v>0</v>
      </c>
      <c r="N49" s="142">
        <f t="shared" si="7"/>
        <v>0</v>
      </c>
      <c r="O49" s="59">
        <f t="shared" si="8"/>
        <v>195.45</v>
      </c>
      <c r="P49" s="142">
        <f t="shared" si="9"/>
        <v>0</v>
      </c>
      <c r="Q49" s="142">
        <f t="shared" si="10"/>
        <v>0</v>
      </c>
      <c r="R49" s="142">
        <f t="shared" si="11"/>
        <v>0</v>
      </c>
      <c r="S49" s="142">
        <f t="shared" si="12"/>
        <v>0</v>
      </c>
      <c r="T49" s="142">
        <f t="shared" si="13"/>
        <v>0</v>
      </c>
      <c r="U49" s="60">
        <f t="shared" si="14"/>
        <v>0</v>
      </c>
    </row>
    <row r="50" spans="1:21" x14ac:dyDescent="0.2">
      <c r="A50" s="115"/>
      <c r="B50" s="139" t="s">
        <v>475</v>
      </c>
      <c r="C50" s="140" t="s">
        <v>99</v>
      </c>
      <c r="D50" s="141">
        <v>45461</v>
      </c>
      <c r="E50" s="141">
        <v>45551</v>
      </c>
      <c r="F50" s="57">
        <v>195.45</v>
      </c>
      <c r="G50" s="58">
        <f t="shared" si="0"/>
        <v>-471</v>
      </c>
      <c r="H50" s="142">
        <f t="shared" si="1"/>
        <v>195.45</v>
      </c>
      <c r="I50" s="142">
        <f t="shared" si="2"/>
        <v>0</v>
      </c>
      <c r="J50" s="143">
        <f t="shared" si="3"/>
        <v>0</v>
      </c>
      <c r="K50" s="143">
        <f t="shared" si="4"/>
        <v>0</v>
      </c>
      <c r="L50" s="142">
        <f t="shared" si="5"/>
        <v>0</v>
      </c>
      <c r="M50" s="142">
        <f t="shared" si="6"/>
        <v>0</v>
      </c>
      <c r="N50" s="142">
        <f t="shared" si="7"/>
        <v>0</v>
      </c>
      <c r="O50" s="59">
        <f t="shared" si="8"/>
        <v>195.45</v>
      </c>
      <c r="P50" s="142">
        <f t="shared" si="9"/>
        <v>0</v>
      </c>
      <c r="Q50" s="142">
        <f t="shared" si="10"/>
        <v>0</v>
      </c>
      <c r="R50" s="142">
        <f t="shared" si="11"/>
        <v>0</v>
      </c>
      <c r="S50" s="142">
        <f t="shared" si="12"/>
        <v>0</v>
      </c>
      <c r="T50" s="142">
        <f t="shared" si="13"/>
        <v>0</v>
      </c>
      <c r="U50" s="60">
        <f t="shared" si="14"/>
        <v>0</v>
      </c>
    </row>
    <row r="51" spans="1:21" x14ac:dyDescent="0.2">
      <c r="A51" s="115"/>
      <c r="B51" s="139" t="s">
        <v>475</v>
      </c>
      <c r="C51" s="140" t="s">
        <v>100</v>
      </c>
      <c r="D51" s="141">
        <v>45497</v>
      </c>
      <c r="E51" s="141">
        <v>45587</v>
      </c>
      <c r="F51" s="57">
        <v>14000</v>
      </c>
      <c r="G51" s="58">
        <f t="shared" si="0"/>
        <v>-435</v>
      </c>
      <c r="H51" s="142">
        <f t="shared" si="1"/>
        <v>14000</v>
      </c>
      <c r="I51" s="142">
        <f t="shared" si="2"/>
        <v>0</v>
      </c>
      <c r="J51" s="143">
        <f t="shared" si="3"/>
        <v>0</v>
      </c>
      <c r="K51" s="143">
        <f t="shared" si="4"/>
        <v>0</v>
      </c>
      <c r="L51" s="142">
        <f t="shared" si="5"/>
        <v>0</v>
      </c>
      <c r="M51" s="142">
        <f t="shared" si="6"/>
        <v>0</v>
      </c>
      <c r="N51" s="142">
        <f t="shared" si="7"/>
        <v>0</v>
      </c>
      <c r="O51" s="59">
        <f t="shared" si="8"/>
        <v>14000</v>
      </c>
      <c r="P51" s="142">
        <f t="shared" si="9"/>
        <v>0</v>
      </c>
      <c r="Q51" s="142">
        <f t="shared" si="10"/>
        <v>0</v>
      </c>
      <c r="R51" s="142">
        <f t="shared" si="11"/>
        <v>0</v>
      </c>
      <c r="S51" s="142">
        <f t="shared" si="12"/>
        <v>0</v>
      </c>
      <c r="T51" s="142">
        <f t="shared" si="13"/>
        <v>0</v>
      </c>
      <c r="U51" s="60">
        <f t="shared" si="14"/>
        <v>0</v>
      </c>
    </row>
    <row r="52" spans="1:21" x14ac:dyDescent="0.2">
      <c r="A52" s="115"/>
      <c r="B52" s="139" t="s">
        <v>475</v>
      </c>
      <c r="C52" s="140" t="s">
        <v>308</v>
      </c>
      <c r="D52" s="141">
        <v>45539</v>
      </c>
      <c r="E52" s="141">
        <v>45629</v>
      </c>
      <c r="F52" s="57">
        <v>14000</v>
      </c>
      <c r="G52" s="58">
        <f t="shared" si="0"/>
        <v>-393</v>
      </c>
      <c r="H52" s="142">
        <f t="shared" si="1"/>
        <v>14000</v>
      </c>
      <c r="I52" s="142">
        <f t="shared" si="2"/>
        <v>0</v>
      </c>
      <c r="J52" s="143">
        <f t="shared" si="3"/>
        <v>0</v>
      </c>
      <c r="K52" s="143">
        <f t="shared" si="4"/>
        <v>0</v>
      </c>
      <c r="L52" s="142">
        <f t="shared" si="5"/>
        <v>0</v>
      </c>
      <c r="M52" s="142">
        <f t="shared" si="6"/>
        <v>0</v>
      </c>
      <c r="N52" s="142">
        <f t="shared" si="7"/>
        <v>0</v>
      </c>
      <c r="O52" s="59">
        <f t="shared" si="8"/>
        <v>14000</v>
      </c>
      <c r="P52" s="142">
        <f t="shared" si="9"/>
        <v>0</v>
      </c>
      <c r="Q52" s="142">
        <f t="shared" si="10"/>
        <v>0</v>
      </c>
      <c r="R52" s="142">
        <f t="shared" si="11"/>
        <v>0</v>
      </c>
      <c r="S52" s="142">
        <f t="shared" si="12"/>
        <v>0</v>
      </c>
      <c r="T52" s="142">
        <f t="shared" si="13"/>
        <v>0</v>
      </c>
      <c r="U52" s="60">
        <f t="shared" si="14"/>
        <v>0</v>
      </c>
    </row>
    <row r="53" spans="1:21" x14ac:dyDescent="0.2">
      <c r="A53" s="115"/>
      <c r="B53" s="139" t="s">
        <v>475</v>
      </c>
      <c r="C53" s="140" t="s">
        <v>310</v>
      </c>
      <c r="D53" s="141">
        <v>45562</v>
      </c>
      <c r="E53" s="141">
        <v>45652</v>
      </c>
      <c r="F53" s="57">
        <v>55467.43</v>
      </c>
      <c r="G53" s="58">
        <f t="shared" si="0"/>
        <v>-370</v>
      </c>
      <c r="H53" s="142">
        <f t="shared" si="1"/>
        <v>55467.43</v>
      </c>
      <c r="I53" s="142">
        <f t="shared" si="2"/>
        <v>0</v>
      </c>
      <c r="J53" s="143">
        <f t="shared" si="3"/>
        <v>0</v>
      </c>
      <c r="K53" s="143">
        <f t="shared" si="4"/>
        <v>0</v>
      </c>
      <c r="L53" s="142">
        <f t="shared" si="5"/>
        <v>0</v>
      </c>
      <c r="M53" s="142">
        <f t="shared" si="6"/>
        <v>0</v>
      </c>
      <c r="N53" s="142">
        <f t="shared" si="7"/>
        <v>0</v>
      </c>
      <c r="O53" s="59">
        <f t="shared" si="8"/>
        <v>55467.43</v>
      </c>
      <c r="P53" s="142">
        <f t="shared" si="9"/>
        <v>0</v>
      </c>
      <c r="Q53" s="142">
        <f t="shared" si="10"/>
        <v>0</v>
      </c>
      <c r="R53" s="142">
        <f t="shared" si="11"/>
        <v>0</v>
      </c>
      <c r="S53" s="142">
        <f t="shared" si="12"/>
        <v>0</v>
      </c>
      <c r="T53" s="142">
        <f t="shared" si="13"/>
        <v>0</v>
      </c>
      <c r="U53" s="60">
        <f t="shared" si="14"/>
        <v>0</v>
      </c>
    </row>
    <row r="54" spans="1:21" x14ac:dyDescent="0.2">
      <c r="A54" s="115"/>
      <c r="B54" s="139" t="s">
        <v>475</v>
      </c>
      <c r="C54" s="140" t="s">
        <v>311</v>
      </c>
      <c r="D54" s="141">
        <v>45579</v>
      </c>
      <c r="E54" s="141">
        <v>45669</v>
      </c>
      <c r="F54" s="57">
        <v>14000</v>
      </c>
      <c r="G54" s="58">
        <f t="shared" si="0"/>
        <v>-353</v>
      </c>
      <c r="H54" s="142">
        <f t="shared" si="1"/>
        <v>14000</v>
      </c>
      <c r="I54" s="142">
        <f t="shared" si="2"/>
        <v>0</v>
      </c>
      <c r="J54" s="143">
        <f t="shared" si="3"/>
        <v>0</v>
      </c>
      <c r="K54" s="143">
        <f t="shared" si="4"/>
        <v>0</v>
      </c>
      <c r="L54" s="142">
        <f t="shared" si="5"/>
        <v>0</v>
      </c>
      <c r="M54" s="142">
        <f t="shared" si="6"/>
        <v>0</v>
      </c>
      <c r="N54" s="142">
        <f t="shared" si="7"/>
        <v>0</v>
      </c>
      <c r="O54" s="59">
        <f t="shared" si="8"/>
        <v>14000</v>
      </c>
      <c r="P54" s="142">
        <f t="shared" si="9"/>
        <v>0</v>
      </c>
      <c r="Q54" s="142">
        <f t="shared" si="10"/>
        <v>0</v>
      </c>
      <c r="R54" s="142">
        <f t="shared" si="11"/>
        <v>0</v>
      </c>
      <c r="S54" s="142">
        <f t="shared" si="12"/>
        <v>0</v>
      </c>
      <c r="T54" s="142">
        <f t="shared" si="13"/>
        <v>0</v>
      </c>
      <c r="U54" s="60">
        <f t="shared" si="14"/>
        <v>0</v>
      </c>
    </row>
    <row r="55" spans="1:21" x14ac:dyDescent="0.2">
      <c r="A55" s="115"/>
      <c r="B55" s="139" t="s">
        <v>475</v>
      </c>
      <c r="C55" s="140" t="s">
        <v>516</v>
      </c>
      <c r="D55" s="141">
        <v>45845</v>
      </c>
      <c r="E55" s="141">
        <v>45935</v>
      </c>
      <c r="F55" s="57">
        <v>11200</v>
      </c>
      <c r="G55" s="58">
        <f t="shared" si="0"/>
        <v>-87</v>
      </c>
      <c r="H55" s="142">
        <f t="shared" si="1"/>
        <v>0</v>
      </c>
      <c r="I55" s="142">
        <f t="shared" si="2"/>
        <v>0</v>
      </c>
      <c r="J55" s="143">
        <f t="shared" si="3"/>
        <v>0</v>
      </c>
      <c r="K55" s="143">
        <f t="shared" si="4"/>
        <v>0</v>
      </c>
      <c r="L55" s="142">
        <f t="shared" si="5"/>
        <v>11200</v>
      </c>
      <c r="M55" s="142">
        <f t="shared" si="6"/>
        <v>0</v>
      </c>
      <c r="N55" s="142">
        <f t="shared" si="7"/>
        <v>0</v>
      </c>
      <c r="O55" s="59">
        <f t="shared" si="8"/>
        <v>11200</v>
      </c>
      <c r="P55" s="142">
        <f t="shared" si="9"/>
        <v>0</v>
      </c>
      <c r="Q55" s="142">
        <f t="shared" si="10"/>
        <v>0</v>
      </c>
      <c r="R55" s="142">
        <f t="shared" si="11"/>
        <v>0</v>
      </c>
      <c r="S55" s="142">
        <f t="shared" si="12"/>
        <v>0</v>
      </c>
      <c r="T55" s="142">
        <f t="shared" si="13"/>
        <v>0</v>
      </c>
      <c r="U55" s="60">
        <f t="shared" si="14"/>
        <v>0</v>
      </c>
    </row>
    <row r="56" spans="1:21" x14ac:dyDescent="0.2">
      <c r="A56" s="115"/>
      <c r="B56" s="139" t="s">
        <v>791</v>
      </c>
      <c r="C56" s="140" t="s">
        <v>792</v>
      </c>
      <c r="D56" s="141">
        <v>45961</v>
      </c>
      <c r="E56" s="141">
        <v>45991</v>
      </c>
      <c r="F56" s="57">
        <v>18415</v>
      </c>
      <c r="G56" s="58">
        <f t="shared" si="0"/>
        <v>-31</v>
      </c>
      <c r="H56" s="142">
        <f t="shared" si="1"/>
        <v>0</v>
      </c>
      <c r="I56" s="142">
        <f t="shared" si="2"/>
        <v>0</v>
      </c>
      <c r="J56" s="143">
        <f t="shared" si="3"/>
        <v>0</v>
      </c>
      <c r="K56" s="143">
        <f t="shared" si="4"/>
        <v>0</v>
      </c>
      <c r="L56" s="142">
        <f t="shared" si="5"/>
        <v>0</v>
      </c>
      <c r="M56" s="142">
        <f t="shared" si="6"/>
        <v>18415</v>
      </c>
      <c r="N56" s="142">
        <f t="shared" si="7"/>
        <v>0</v>
      </c>
      <c r="O56" s="59">
        <f t="shared" si="8"/>
        <v>18415</v>
      </c>
      <c r="P56" s="142">
        <f t="shared" si="9"/>
        <v>0</v>
      </c>
      <c r="Q56" s="142">
        <f t="shared" si="10"/>
        <v>0</v>
      </c>
      <c r="R56" s="142">
        <f t="shared" si="11"/>
        <v>0</v>
      </c>
      <c r="S56" s="142">
        <f t="shared" si="12"/>
        <v>0</v>
      </c>
      <c r="T56" s="142">
        <f t="shared" si="13"/>
        <v>0</v>
      </c>
      <c r="U56" s="60">
        <f t="shared" si="14"/>
        <v>0</v>
      </c>
    </row>
    <row r="57" spans="1:21" x14ac:dyDescent="0.2">
      <c r="A57" s="115"/>
      <c r="B57" s="139" t="s">
        <v>791</v>
      </c>
      <c r="C57" s="140" t="s">
        <v>792</v>
      </c>
      <c r="D57" s="141">
        <v>45961</v>
      </c>
      <c r="E57" s="141">
        <v>46021</v>
      </c>
      <c r="F57" s="57">
        <v>18415</v>
      </c>
      <c r="G57" s="58">
        <f t="shared" si="0"/>
        <v>-1</v>
      </c>
      <c r="H57" s="142">
        <f t="shared" si="1"/>
        <v>0</v>
      </c>
      <c r="I57" s="142">
        <f t="shared" si="2"/>
        <v>0</v>
      </c>
      <c r="J57" s="143">
        <f t="shared" si="3"/>
        <v>0</v>
      </c>
      <c r="K57" s="143">
        <f t="shared" si="4"/>
        <v>0</v>
      </c>
      <c r="L57" s="142">
        <f t="shared" si="5"/>
        <v>0</v>
      </c>
      <c r="M57" s="142">
        <f t="shared" si="6"/>
        <v>0</v>
      </c>
      <c r="N57" s="142">
        <f t="shared" si="7"/>
        <v>18415</v>
      </c>
      <c r="O57" s="59">
        <f t="shared" si="8"/>
        <v>18415</v>
      </c>
      <c r="P57" s="142">
        <f t="shared" si="9"/>
        <v>0</v>
      </c>
      <c r="Q57" s="142">
        <f t="shared" si="10"/>
        <v>0</v>
      </c>
      <c r="R57" s="142">
        <f t="shared" si="11"/>
        <v>0</v>
      </c>
      <c r="S57" s="142">
        <f t="shared" si="12"/>
        <v>0</v>
      </c>
      <c r="T57" s="142">
        <f t="shared" si="13"/>
        <v>0</v>
      </c>
      <c r="U57" s="60">
        <f t="shared" si="14"/>
        <v>0</v>
      </c>
    </row>
    <row r="58" spans="1:21" x14ac:dyDescent="0.2">
      <c r="A58" s="115"/>
      <c r="B58" s="139" t="s">
        <v>791</v>
      </c>
      <c r="C58" s="140" t="s">
        <v>792</v>
      </c>
      <c r="D58" s="141">
        <v>45961</v>
      </c>
      <c r="E58" s="141">
        <v>46051</v>
      </c>
      <c r="F58" s="57">
        <v>18415</v>
      </c>
      <c r="G58" s="58">
        <f t="shared" si="0"/>
        <v>29</v>
      </c>
      <c r="H58" s="142">
        <f t="shared" si="1"/>
        <v>0</v>
      </c>
      <c r="I58" s="142">
        <f t="shared" si="2"/>
        <v>0</v>
      </c>
      <c r="J58" s="143">
        <f t="shared" si="3"/>
        <v>0</v>
      </c>
      <c r="K58" s="143">
        <f t="shared" si="4"/>
        <v>0</v>
      </c>
      <c r="L58" s="142">
        <f t="shared" si="5"/>
        <v>0</v>
      </c>
      <c r="M58" s="142">
        <f t="shared" si="6"/>
        <v>0</v>
      </c>
      <c r="N58" s="142">
        <f t="shared" si="7"/>
        <v>0</v>
      </c>
      <c r="O58" s="59">
        <f t="shared" si="8"/>
        <v>0</v>
      </c>
      <c r="P58" s="142">
        <f t="shared" si="9"/>
        <v>18415</v>
      </c>
      <c r="Q58" s="142">
        <f t="shared" si="10"/>
        <v>0</v>
      </c>
      <c r="R58" s="142">
        <f t="shared" si="11"/>
        <v>0</v>
      </c>
      <c r="S58" s="142">
        <f t="shared" si="12"/>
        <v>0</v>
      </c>
      <c r="T58" s="142">
        <f t="shared" si="13"/>
        <v>0</v>
      </c>
      <c r="U58" s="60">
        <f t="shared" si="14"/>
        <v>18415</v>
      </c>
    </row>
    <row r="59" spans="1:21" x14ac:dyDescent="0.2">
      <c r="A59" s="115"/>
      <c r="B59" s="139" t="s">
        <v>791</v>
      </c>
      <c r="C59" s="140" t="s">
        <v>792</v>
      </c>
      <c r="D59" s="141">
        <v>45961</v>
      </c>
      <c r="E59" s="141">
        <v>46081</v>
      </c>
      <c r="F59" s="57">
        <v>18415</v>
      </c>
      <c r="G59" s="58">
        <f t="shared" si="0"/>
        <v>59</v>
      </c>
      <c r="H59" s="142">
        <f t="shared" si="1"/>
        <v>0</v>
      </c>
      <c r="I59" s="142">
        <f t="shared" si="2"/>
        <v>0</v>
      </c>
      <c r="J59" s="143">
        <f t="shared" si="3"/>
        <v>0</v>
      </c>
      <c r="K59" s="143">
        <f t="shared" si="4"/>
        <v>0</v>
      </c>
      <c r="L59" s="142">
        <f t="shared" si="5"/>
        <v>0</v>
      </c>
      <c r="M59" s="142">
        <f t="shared" si="6"/>
        <v>0</v>
      </c>
      <c r="N59" s="142">
        <f t="shared" si="7"/>
        <v>0</v>
      </c>
      <c r="O59" s="59">
        <f t="shared" si="8"/>
        <v>0</v>
      </c>
      <c r="P59" s="142">
        <f t="shared" si="9"/>
        <v>0</v>
      </c>
      <c r="Q59" s="142">
        <f t="shared" si="10"/>
        <v>18415</v>
      </c>
      <c r="R59" s="142">
        <f t="shared" si="11"/>
        <v>0</v>
      </c>
      <c r="S59" s="142">
        <f t="shared" si="12"/>
        <v>0</v>
      </c>
      <c r="T59" s="142">
        <f t="shared" si="13"/>
        <v>0</v>
      </c>
      <c r="U59" s="60">
        <f t="shared" si="14"/>
        <v>18415</v>
      </c>
    </row>
    <row r="60" spans="1:21" x14ac:dyDescent="0.2">
      <c r="A60" s="115"/>
      <c r="B60" s="139" t="s">
        <v>480</v>
      </c>
      <c r="C60" s="140" t="s">
        <v>102</v>
      </c>
      <c r="D60" s="141">
        <v>45229</v>
      </c>
      <c r="E60" s="141">
        <v>45240</v>
      </c>
      <c r="F60" s="57">
        <v>39000</v>
      </c>
      <c r="G60" s="58">
        <f t="shared" si="0"/>
        <v>-782</v>
      </c>
      <c r="H60" s="142">
        <f t="shared" si="1"/>
        <v>39000</v>
      </c>
      <c r="I60" s="142">
        <f t="shared" si="2"/>
        <v>0</v>
      </c>
      <c r="J60" s="143">
        <f t="shared" si="3"/>
        <v>0</v>
      </c>
      <c r="K60" s="143">
        <f t="shared" si="4"/>
        <v>0</v>
      </c>
      <c r="L60" s="142">
        <f t="shared" si="5"/>
        <v>0</v>
      </c>
      <c r="M60" s="142">
        <f t="shared" si="6"/>
        <v>0</v>
      </c>
      <c r="N60" s="142">
        <f t="shared" si="7"/>
        <v>0</v>
      </c>
      <c r="O60" s="59">
        <f t="shared" si="8"/>
        <v>39000</v>
      </c>
      <c r="P60" s="142">
        <f t="shared" si="9"/>
        <v>0</v>
      </c>
      <c r="Q60" s="142">
        <f t="shared" si="10"/>
        <v>0</v>
      </c>
      <c r="R60" s="142">
        <f t="shared" si="11"/>
        <v>0</v>
      </c>
      <c r="S60" s="142">
        <f t="shared" si="12"/>
        <v>0</v>
      </c>
      <c r="T60" s="142">
        <f t="shared" si="13"/>
        <v>0</v>
      </c>
      <c r="U60" s="60">
        <f t="shared" si="14"/>
        <v>0</v>
      </c>
    </row>
    <row r="61" spans="1:21" x14ac:dyDescent="0.2">
      <c r="A61" s="115"/>
      <c r="B61" s="139" t="s">
        <v>480</v>
      </c>
      <c r="C61" s="140" t="s">
        <v>102</v>
      </c>
      <c r="D61" s="141">
        <v>45229</v>
      </c>
      <c r="E61" s="141">
        <v>45270</v>
      </c>
      <c r="F61" s="57">
        <v>39000</v>
      </c>
      <c r="G61" s="58">
        <f t="shared" si="0"/>
        <v>-752</v>
      </c>
      <c r="H61" s="142">
        <f t="shared" si="1"/>
        <v>39000</v>
      </c>
      <c r="I61" s="142">
        <f t="shared" si="2"/>
        <v>0</v>
      </c>
      <c r="J61" s="143">
        <f t="shared" si="3"/>
        <v>0</v>
      </c>
      <c r="K61" s="143">
        <f t="shared" si="4"/>
        <v>0</v>
      </c>
      <c r="L61" s="142">
        <f t="shared" si="5"/>
        <v>0</v>
      </c>
      <c r="M61" s="142">
        <f t="shared" si="6"/>
        <v>0</v>
      </c>
      <c r="N61" s="142">
        <f t="shared" si="7"/>
        <v>0</v>
      </c>
      <c r="O61" s="59">
        <f t="shared" si="8"/>
        <v>39000</v>
      </c>
      <c r="P61" s="142">
        <f t="shared" si="9"/>
        <v>0</v>
      </c>
      <c r="Q61" s="142">
        <f t="shared" si="10"/>
        <v>0</v>
      </c>
      <c r="R61" s="142">
        <f t="shared" si="11"/>
        <v>0</v>
      </c>
      <c r="S61" s="142">
        <f t="shared" si="12"/>
        <v>0</v>
      </c>
      <c r="T61" s="142">
        <f t="shared" si="13"/>
        <v>0</v>
      </c>
      <c r="U61" s="60">
        <f t="shared" si="14"/>
        <v>0</v>
      </c>
    </row>
    <row r="62" spans="1:21" x14ac:dyDescent="0.2">
      <c r="A62" s="115"/>
      <c r="B62" s="139" t="s">
        <v>481</v>
      </c>
      <c r="C62" s="140" t="s">
        <v>103</v>
      </c>
      <c r="D62" s="141">
        <v>45134</v>
      </c>
      <c r="E62" s="141">
        <v>45209</v>
      </c>
      <c r="F62" s="57">
        <v>38990</v>
      </c>
      <c r="G62" s="58">
        <f t="shared" si="0"/>
        <v>-813</v>
      </c>
      <c r="H62" s="142">
        <f t="shared" si="1"/>
        <v>38990</v>
      </c>
      <c r="I62" s="142">
        <f t="shared" si="2"/>
        <v>0</v>
      </c>
      <c r="J62" s="143">
        <f t="shared" si="3"/>
        <v>0</v>
      </c>
      <c r="K62" s="143">
        <f t="shared" si="4"/>
        <v>0</v>
      </c>
      <c r="L62" s="142">
        <f t="shared" si="5"/>
        <v>0</v>
      </c>
      <c r="M62" s="142">
        <f t="shared" si="6"/>
        <v>0</v>
      </c>
      <c r="N62" s="142">
        <f t="shared" si="7"/>
        <v>0</v>
      </c>
      <c r="O62" s="59">
        <f t="shared" si="8"/>
        <v>38990</v>
      </c>
      <c r="P62" s="142">
        <f t="shared" si="9"/>
        <v>0</v>
      </c>
      <c r="Q62" s="142">
        <f t="shared" si="10"/>
        <v>0</v>
      </c>
      <c r="R62" s="142">
        <f t="shared" si="11"/>
        <v>0</v>
      </c>
      <c r="S62" s="142">
        <f t="shared" si="12"/>
        <v>0</v>
      </c>
      <c r="T62" s="142">
        <f t="shared" si="13"/>
        <v>0</v>
      </c>
      <c r="U62" s="60">
        <f t="shared" si="14"/>
        <v>0</v>
      </c>
    </row>
    <row r="63" spans="1:21" x14ac:dyDescent="0.2">
      <c r="A63" s="115"/>
      <c r="B63" s="139" t="s">
        <v>481</v>
      </c>
      <c r="C63" s="140" t="s">
        <v>104</v>
      </c>
      <c r="D63" s="141">
        <v>45127</v>
      </c>
      <c r="E63" s="141">
        <v>45217</v>
      </c>
      <c r="F63" s="57">
        <v>20150</v>
      </c>
      <c r="G63" s="58">
        <f t="shared" si="0"/>
        <v>-805</v>
      </c>
      <c r="H63" s="142">
        <f t="shared" si="1"/>
        <v>20150</v>
      </c>
      <c r="I63" s="142">
        <f t="shared" si="2"/>
        <v>0</v>
      </c>
      <c r="J63" s="143">
        <f t="shared" si="3"/>
        <v>0</v>
      </c>
      <c r="K63" s="143">
        <f t="shared" si="4"/>
        <v>0</v>
      </c>
      <c r="L63" s="142">
        <f t="shared" si="5"/>
        <v>0</v>
      </c>
      <c r="M63" s="142">
        <f t="shared" si="6"/>
        <v>0</v>
      </c>
      <c r="N63" s="142">
        <f t="shared" si="7"/>
        <v>0</v>
      </c>
      <c r="O63" s="59">
        <f t="shared" si="8"/>
        <v>20150</v>
      </c>
      <c r="P63" s="142">
        <f t="shared" si="9"/>
        <v>0</v>
      </c>
      <c r="Q63" s="142">
        <f t="shared" si="10"/>
        <v>0</v>
      </c>
      <c r="R63" s="142">
        <f t="shared" si="11"/>
        <v>0</v>
      </c>
      <c r="S63" s="142">
        <f t="shared" si="12"/>
        <v>0</v>
      </c>
      <c r="T63" s="142">
        <f t="shared" si="13"/>
        <v>0</v>
      </c>
      <c r="U63" s="60">
        <f t="shared" si="14"/>
        <v>0</v>
      </c>
    </row>
    <row r="64" spans="1:21" x14ac:dyDescent="0.2">
      <c r="A64" s="115"/>
      <c r="B64" s="139" t="s">
        <v>481</v>
      </c>
      <c r="C64" s="140" t="s">
        <v>105</v>
      </c>
      <c r="D64" s="141">
        <v>45436</v>
      </c>
      <c r="E64" s="141">
        <v>45491</v>
      </c>
      <c r="F64" s="57">
        <v>43925</v>
      </c>
      <c r="G64" s="58">
        <f t="shared" si="0"/>
        <v>-531</v>
      </c>
      <c r="H64" s="142">
        <f t="shared" si="1"/>
        <v>43925</v>
      </c>
      <c r="I64" s="142">
        <f t="shared" si="2"/>
        <v>0</v>
      </c>
      <c r="J64" s="143">
        <f t="shared" si="3"/>
        <v>0</v>
      </c>
      <c r="K64" s="143">
        <f t="shared" si="4"/>
        <v>0</v>
      </c>
      <c r="L64" s="142">
        <f t="shared" si="5"/>
        <v>0</v>
      </c>
      <c r="M64" s="142">
        <f t="shared" si="6"/>
        <v>0</v>
      </c>
      <c r="N64" s="142">
        <f t="shared" si="7"/>
        <v>0</v>
      </c>
      <c r="O64" s="59">
        <f t="shared" si="8"/>
        <v>43925</v>
      </c>
      <c r="P64" s="142">
        <f t="shared" si="9"/>
        <v>0</v>
      </c>
      <c r="Q64" s="142">
        <f t="shared" si="10"/>
        <v>0</v>
      </c>
      <c r="R64" s="142">
        <f t="shared" si="11"/>
        <v>0</v>
      </c>
      <c r="S64" s="142">
        <f t="shared" si="12"/>
        <v>0</v>
      </c>
      <c r="T64" s="142">
        <f t="shared" si="13"/>
        <v>0</v>
      </c>
      <c r="U64" s="60">
        <f t="shared" si="14"/>
        <v>0</v>
      </c>
    </row>
    <row r="65" spans="1:21" x14ac:dyDescent="0.2">
      <c r="A65" s="115"/>
      <c r="B65" s="139" t="s">
        <v>481</v>
      </c>
      <c r="C65" s="140" t="s">
        <v>105</v>
      </c>
      <c r="D65" s="141">
        <v>45436</v>
      </c>
      <c r="E65" s="141">
        <v>45496</v>
      </c>
      <c r="F65" s="57">
        <v>43925</v>
      </c>
      <c r="G65" s="58">
        <f t="shared" si="0"/>
        <v>-526</v>
      </c>
      <c r="H65" s="142">
        <f t="shared" si="1"/>
        <v>43925</v>
      </c>
      <c r="I65" s="142">
        <f t="shared" si="2"/>
        <v>0</v>
      </c>
      <c r="J65" s="143">
        <f t="shared" si="3"/>
        <v>0</v>
      </c>
      <c r="K65" s="143">
        <f t="shared" si="4"/>
        <v>0</v>
      </c>
      <c r="L65" s="142">
        <f t="shared" si="5"/>
        <v>0</v>
      </c>
      <c r="M65" s="142">
        <f t="shared" si="6"/>
        <v>0</v>
      </c>
      <c r="N65" s="142">
        <f t="shared" si="7"/>
        <v>0</v>
      </c>
      <c r="O65" s="59">
        <f t="shared" si="8"/>
        <v>43925</v>
      </c>
      <c r="P65" s="142">
        <f t="shared" si="9"/>
        <v>0</v>
      </c>
      <c r="Q65" s="142">
        <f t="shared" si="10"/>
        <v>0</v>
      </c>
      <c r="R65" s="142">
        <f t="shared" si="11"/>
        <v>0</v>
      </c>
      <c r="S65" s="142">
        <f t="shared" si="12"/>
        <v>0</v>
      </c>
      <c r="T65" s="142">
        <f t="shared" si="13"/>
        <v>0</v>
      </c>
      <c r="U65" s="60">
        <f t="shared" si="14"/>
        <v>0</v>
      </c>
    </row>
    <row r="66" spans="1:21" x14ac:dyDescent="0.2">
      <c r="A66" s="115"/>
      <c r="B66" s="139" t="s">
        <v>481</v>
      </c>
      <c r="C66" s="140" t="s">
        <v>105</v>
      </c>
      <c r="D66" s="141">
        <v>45436</v>
      </c>
      <c r="E66" s="141">
        <v>45526</v>
      </c>
      <c r="F66" s="57">
        <v>43925</v>
      </c>
      <c r="G66" s="58">
        <f t="shared" si="0"/>
        <v>-496</v>
      </c>
      <c r="H66" s="142">
        <f t="shared" si="1"/>
        <v>43925</v>
      </c>
      <c r="I66" s="142">
        <f t="shared" si="2"/>
        <v>0</v>
      </c>
      <c r="J66" s="143">
        <f t="shared" si="3"/>
        <v>0</v>
      </c>
      <c r="K66" s="143">
        <f t="shared" si="4"/>
        <v>0</v>
      </c>
      <c r="L66" s="142">
        <f t="shared" si="5"/>
        <v>0</v>
      </c>
      <c r="M66" s="142">
        <f t="shared" si="6"/>
        <v>0</v>
      </c>
      <c r="N66" s="142">
        <f t="shared" si="7"/>
        <v>0</v>
      </c>
      <c r="O66" s="59">
        <f t="shared" si="8"/>
        <v>43925</v>
      </c>
      <c r="P66" s="142">
        <f t="shared" si="9"/>
        <v>0</v>
      </c>
      <c r="Q66" s="142">
        <f t="shared" si="10"/>
        <v>0</v>
      </c>
      <c r="R66" s="142">
        <f t="shared" si="11"/>
        <v>0</v>
      </c>
      <c r="S66" s="142">
        <f t="shared" si="12"/>
        <v>0</v>
      </c>
      <c r="T66" s="142">
        <f t="shared" si="13"/>
        <v>0</v>
      </c>
      <c r="U66" s="60">
        <f t="shared" si="14"/>
        <v>0</v>
      </c>
    </row>
    <row r="67" spans="1:21" x14ac:dyDescent="0.2">
      <c r="A67" s="115"/>
      <c r="B67" s="139" t="s">
        <v>481</v>
      </c>
      <c r="C67" s="140" t="s">
        <v>105</v>
      </c>
      <c r="D67" s="141">
        <v>45436</v>
      </c>
      <c r="E67" s="141">
        <v>45558</v>
      </c>
      <c r="F67" s="57">
        <v>43925</v>
      </c>
      <c r="G67" s="58">
        <f t="shared" si="0"/>
        <v>-464</v>
      </c>
      <c r="H67" s="142">
        <f t="shared" si="1"/>
        <v>43925</v>
      </c>
      <c r="I67" s="142">
        <f t="shared" si="2"/>
        <v>0</v>
      </c>
      <c r="J67" s="143">
        <f t="shared" si="3"/>
        <v>0</v>
      </c>
      <c r="K67" s="143">
        <f t="shared" si="4"/>
        <v>0</v>
      </c>
      <c r="L67" s="142">
        <f t="shared" si="5"/>
        <v>0</v>
      </c>
      <c r="M67" s="142">
        <f t="shared" si="6"/>
        <v>0</v>
      </c>
      <c r="N67" s="142">
        <f t="shared" si="7"/>
        <v>0</v>
      </c>
      <c r="O67" s="59">
        <f t="shared" si="8"/>
        <v>43925</v>
      </c>
      <c r="P67" s="142">
        <f t="shared" si="9"/>
        <v>0</v>
      </c>
      <c r="Q67" s="142">
        <f t="shared" si="10"/>
        <v>0</v>
      </c>
      <c r="R67" s="142">
        <f t="shared" si="11"/>
        <v>0</v>
      </c>
      <c r="S67" s="142">
        <f t="shared" si="12"/>
        <v>0</v>
      </c>
      <c r="T67" s="142">
        <f t="shared" si="13"/>
        <v>0</v>
      </c>
      <c r="U67" s="60">
        <f t="shared" si="14"/>
        <v>0</v>
      </c>
    </row>
    <row r="68" spans="1:21" x14ac:dyDescent="0.2">
      <c r="A68" s="115"/>
      <c r="B68" s="139" t="s">
        <v>565</v>
      </c>
      <c r="C68" s="140" t="s">
        <v>824</v>
      </c>
      <c r="D68" s="141">
        <v>45960</v>
      </c>
      <c r="E68" s="141">
        <v>46020</v>
      </c>
      <c r="F68" s="57">
        <v>39860</v>
      </c>
      <c r="G68" s="58">
        <f t="shared" si="0"/>
        <v>-2</v>
      </c>
      <c r="H68" s="142">
        <f t="shared" si="1"/>
        <v>0</v>
      </c>
      <c r="I68" s="142">
        <f t="shared" si="2"/>
        <v>0</v>
      </c>
      <c r="J68" s="143">
        <f t="shared" si="3"/>
        <v>0</v>
      </c>
      <c r="K68" s="143">
        <f t="shared" si="4"/>
        <v>0</v>
      </c>
      <c r="L68" s="142">
        <f t="shared" si="5"/>
        <v>0</v>
      </c>
      <c r="M68" s="142">
        <f t="shared" si="6"/>
        <v>0</v>
      </c>
      <c r="N68" s="142">
        <f t="shared" si="7"/>
        <v>39860</v>
      </c>
      <c r="O68" s="59">
        <f t="shared" si="8"/>
        <v>39860</v>
      </c>
      <c r="P68" s="142">
        <f t="shared" si="9"/>
        <v>0</v>
      </c>
      <c r="Q68" s="142">
        <f t="shared" si="10"/>
        <v>0</v>
      </c>
      <c r="R68" s="142">
        <f t="shared" si="11"/>
        <v>0</v>
      </c>
      <c r="S68" s="142">
        <f t="shared" si="12"/>
        <v>0</v>
      </c>
      <c r="T68" s="142">
        <f t="shared" si="13"/>
        <v>0</v>
      </c>
      <c r="U68" s="60">
        <f t="shared" si="14"/>
        <v>0</v>
      </c>
    </row>
    <row r="69" spans="1:21" x14ac:dyDescent="0.2">
      <c r="A69" s="115"/>
      <c r="B69" s="139" t="s">
        <v>925</v>
      </c>
      <c r="C69" s="140" t="s">
        <v>926</v>
      </c>
      <c r="D69" s="141">
        <v>46014</v>
      </c>
      <c r="E69" s="141">
        <v>46104</v>
      </c>
      <c r="F69" s="57">
        <v>38060</v>
      </c>
      <c r="G69" s="58">
        <f t="shared" si="0"/>
        <v>82</v>
      </c>
      <c r="H69" s="142">
        <f t="shared" si="1"/>
        <v>0</v>
      </c>
      <c r="I69" s="142">
        <f t="shared" si="2"/>
        <v>0</v>
      </c>
      <c r="J69" s="143">
        <f t="shared" si="3"/>
        <v>0</v>
      </c>
      <c r="K69" s="143">
        <f t="shared" si="4"/>
        <v>0</v>
      </c>
      <c r="L69" s="142">
        <f t="shared" si="5"/>
        <v>0</v>
      </c>
      <c r="M69" s="142">
        <f t="shared" si="6"/>
        <v>0</v>
      </c>
      <c r="N69" s="142">
        <f t="shared" si="7"/>
        <v>0</v>
      </c>
      <c r="O69" s="59">
        <f t="shared" si="8"/>
        <v>0</v>
      </c>
      <c r="P69" s="142">
        <f t="shared" si="9"/>
        <v>0</v>
      </c>
      <c r="Q69" s="142">
        <f t="shared" si="10"/>
        <v>0</v>
      </c>
      <c r="R69" s="142">
        <f t="shared" si="11"/>
        <v>38060</v>
      </c>
      <c r="S69" s="142">
        <f t="shared" si="12"/>
        <v>0</v>
      </c>
      <c r="T69" s="142">
        <f t="shared" si="13"/>
        <v>0</v>
      </c>
      <c r="U69" s="60">
        <f t="shared" si="14"/>
        <v>38060</v>
      </c>
    </row>
    <row r="70" spans="1:21" x14ac:dyDescent="0.2">
      <c r="A70" s="115"/>
      <c r="B70" s="139" t="s">
        <v>482</v>
      </c>
      <c r="C70" s="140" t="s">
        <v>483</v>
      </c>
      <c r="D70" s="141">
        <v>44676</v>
      </c>
      <c r="E70" s="141">
        <v>44701</v>
      </c>
      <c r="F70" s="57">
        <v>108761.94</v>
      </c>
      <c r="G70" s="58">
        <f t="shared" si="0"/>
        <v>-1321</v>
      </c>
      <c r="H70" s="142">
        <f t="shared" si="1"/>
        <v>108761.94</v>
      </c>
      <c r="I70" s="142">
        <f t="shared" si="2"/>
        <v>0</v>
      </c>
      <c r="J70" s="143">
        <f t="shared" si="3"/>
        <v>0</v>
      </c>
      <c r="K70" s="143">
        <f t="shared" si="4"/>
        <v>0</v>
      </c>
      <c r="L70" s="142">
        <f t="shared" si="5"/>
        <v>0</v>
      </c>
      <c r="M70" s="142">
        <f t="shared" si="6"/>
        <v>0</v>
      </c>
      <c r="N70" s="142">
        <f t="shared" si="7"/>
        <v>0</v>
      </c>
      <c r="O70" s="59">
        <f t="shared" si="8"/>
        <v>108761.94</v>
      </c>
      <c r="P70" s="142">
        <f t="shared" si="9"/>
        <v>0</v>
      </c>
      <c r="Q70" s="142">
        <f t="shared" si="10"/>
        <v>0</v>
      </c>
      <c r="R70" s="142">
        <f t="shared" si="11"/>
        <v>0</v>
      </c>
      <c r="S70" s="142">
        <f t="shared" si="12"/>
        <v>0</v>
      </c>
      <c r="T70" s="142">
        <f t="shared" si="13"/>
        <v>0</v>
      </c>
      <c r="U70" s="60">
        <f t="shared" si="14"/>
        <v>0</v>
      </c>
    </row>
    <row r="71" spans="1:21" x14ac:dyDescent="0.2">
      <c r="A71" s="115"/>
      <c r="B71" s="139" t="s">
        <v>482</v>
      </c>
      <c r="C71" s="140" t="s">
        <v>484</v>
      </c>
      <c r="D71" s="141">
        <v>44676</v>
      </c>
      <c r="E71" s="141">
        <v>44732</v>
      </c>
      <c r="F71" s="57">
        <v>108761.94</v>
      </c>
      <c r="G71" s="58">
        <f t="shared" ref="G71:G134" si="15">E71-$H$3</f>
        <v>-1290</v>
      </c>
      <c r="H71" s="142">
        <f t="shared" ref="H71:H134" si="16">IF(AND($G71&gt;=-8000,$G71&lt;=-181),$F71,0)</f>
        <v>108761.94</v>
      </c>
      <c r="I71" s="142">
        <f t="shared" ref="I71:I134" si="17">IF(AND($G71&gt;=-180,$G71&lt;=-151),$F71,0)</f>
        <v>0</v>
      </c>
      <c r="J71" s="143">
        <f t="shared" ref="J71:J134" si="18">IF(AND($G71&gt;=-150,$G71&lt;=-121),$F71,0)</f>
        <v>0</v>
      </c>
      <c r="K71" s="143">
        <f t="shared" ref="K71:K134" si="19">IF(AND($G71&gt;=-120,$G71&lt;=-91),$F71,0)</f>
        <v>0</v>
      </c>
      <c r="L71" s="142">
        <f t="shared" ref="L71:L134" si="20">IF(AND($G71&gt;=-90,$G71&lt;=-61),$F71,0)</f>
        <v>0</v>
      </c>
      <c r="M71" s="142">
        <f t="shared" ref="M71:M134" si="21">IF(AND($G71&gt;=-60,$G71&lt;=-31),$F71,0)</f>
        <v>0</v>
      </c>
      <c r="N71" s="142">
        <f t="shared" ref="N71:N134" si="22">IF(AND($G71&gt;=-30,$G71&lt;=-1),$F71,0)</f>
        <v>0</v>
      </c>
      <c r="O71" s="59">
        <f t="shared" ref="O71:O134" si="23">SUM(H71:N71)</f>
        <v>108761.94</v>
      </c>
      <c r="P71" s="142">
        <f t="shared" ref="P71:P134" si="24">IF(AND($G71&lt;=30,$G71&gt;=0),$F71,0)</f>
        <v>0</v>
      </c>
      <c r="Q71" s="142">
        <f t="shared" ref="Q71:Q134" si="25">IF(AND($G71&lt;=60,$G71&gt;=31),$F71,0)</f>
        <v>0</v>
      </c>
      <c r="R71" s="142">
        <f t="shared" ref="R71:R134" si="26">IF(AND($G71&lt;=90,$G71&gt;=61),$F71,0)</f>
        <v>0</v>
      </c>
      <c r="S71" s="142">
        <f t="shared" ref="S71:S134" si="27">IF(AND($G71&lt;=120,$G71&gt;=91),$F71,0)</f>
        <v>0</v>
      </c>
      <c r="T71" s="142">
        <f t="shared" ref="T71:T134" si="28">IF(G71&gt;=121,F71,0)</f>
        <v>0</v>
      </c>
      <c r="U71" s="60">
        <f t="shared" ref="U71:U134" si="29">SUM(P71:T71)</f>
        <v>0</v>
      </c>
    </row>
    <row r="72" spans="1:21" x14ac:dyDescent="0.2">
      <c r="A72" s="115"/>
      <c r="B72" s="139" t="s">
        <v>482</v>
      </c>
      <c r="C72" s="140" t="s">
        <v>485</v>
      </c>
      <c r="D72" s="141">
        <v>44750</v>
      </c>
      <c r="E72" s="141">
        <v>44814</v>
      </c>
      <c r="F72" s="57">
        <v>121396.75</v>
      </c>
      <c r="G72" s="58">
        <f t="shared" si="15"/>
        <v>-1208</v>
      </c>
      <c r="H72" s="142">
        <f t="shared" si="16"/>
        <v>121396.75</v>
      </c>
      <c r="I72" s="142">
        <f t="shared" si="17"/>
        <v>0</v>
      </c>
      <c r="J72" s="143">
        <f t="shared" si="18"/>
        <v>0</v>
      </c>
      <c r="K72" s="143">
        <f t="shared" si="19"/>
        <v>0</v>
      </c>
      <c r="L72" s="142">
        <f t="shared" si="20"/>
        <v>0</v>
      </c>
      <c r="M72" s="142">
        <f t="shared" si="21"/>
        <v>0</v>
      </c>
      <c r="N72" s="142">
        <f t="shared" si="22"/>
        <v>0</v>
      </c>
      <c r="O72" s="59">
        <f t="shared" si="23"/>
        <v>121396.75</v>
      </c>
      <c r="P72" s="142">
        <f t="shared" si="24"/>
        <v>0</v>
      </c>
      <c r="Q72" s="142">
        <f t="shared" si="25"/>
        <v>0</v>
      </c>
      <c r="R72" s="142">
        <f t="shared" si="26"/>
        <v>0</v>
      </c>
      <c r="S72" s="142">
        <f t="shared" si="27"/>
        <v>0</v>
      </c>
      <c r="T72" s="142">
        <f t="shared" si="28"/>
        <v>0</v>
      </c>
      <c r="U72" s="60">
        <f t="shared" si="29"/>
        <v>0</v>
      </c>
    </row>
    <row r="73" spans="1:21" x14ac:dyDescent="0.2">
      <c r="A73" s="115"/>
      <c r="B73" s="139" t="s">
        <v>482</v>
      </c>
      <c r="C73" s="140" t="s">
        <v>387</v>
      </c>
      <c r="D73" s="141">
        <v>44841</v>
      </c>
      <c r="E73" s="141">
        <v>44954</v>
      </c>
      <c r="F73" s="57">
        <v>70000</v>
      </c>
      <c r="G73" s="58">
        <f t="shared" si="15"/>
        <v>-1068</v>
      </c>
      <c r="H73" s="142">
        <f t="shared" si="16"/>
        <v>70000</v>
      </c>
      <c r="I73" s="142">
        <f t="shared" si="17"/>
        <v>0</v>
      </c>
      <c r="J73" s="143">
        <f t="shared" si="18"/>
        <v>0</v>
      </c>
      <c r="K73" s="143">
        <f t="shared" si="19"/>
        <v>0</v>
      </c>
      <c r="L73" s="142">
        <f t="shared" si="20"/>
        <v>0</v>
      </c>
      <c r="M73" s="142">
        <f t="shared" si="21"/>
        <v>0</v>
      </c>
      <c r="N73" s="142">
        <f t="shared" si="22"/>
        <v>0</v>
      </c>
      <c r="O73" s="59">
        <f t="shared" si="23"/>
        <v>70000</v>
      </c>
      <c r="P73" s="142">
        <f t="shared" si="24"/>
        <v>0</v>
      </c>
      <c r="Q73" s="142">
        <f t="shared" si="25"/>
        <v>0</v>
      </c>
      <c r="R73" s="142">
        <f t="shared" si="26"/>
        <v>0</v>
      </c>
      <c r="S73" s="142">
        <f t="shared" si="27"/>
        <v>0</v>
      </c>
      <c r="T73" s="142">
        <f t="shared" si="28"/>
        <v>0</v>
      </c>
      <c r="U73" s="60">
        <f t="shared" si="29"/>
        <v>0</v>
      </c>
    </row>
    <row r="74" spans="1:21" x14ac:dyDescent="0.2">
      <c r="A74" s="115"/>
      <c r="B74" s="139" t="s">
        <v>486</v>
      </c>
      <c r="C74" s="140" t="s">
        <v>487</v>
      </c>
      <c r="D74" s="141">
        <v>45078</v>
      </c>
      <c r="E74" s="141">
        <v>45122</v>
      </c>
      <c r="F74" s="57">
        <v>71100</v>
      </c>
      <c r="G74" s="58">
        <f t="shared" si="15"/>
        <v>-900</v>
      </c>
      <c r="H74" s="142">
        <f t="shared" si="16"/>
        <v>71100</v>
      </c>
      <c r="I74" s="142">
        <f t="shared" si="17"/>
        <v>0</v>
      </c>
      <c r="J74" s="143">
        <f t="shared" si="18"/>
        <v>0</v>
      </c>
      <c r="K74" s="143">
        <f t="shared" si="19"/>
        <v>0</v>
      </c>
      <c r="L74" s="142">
        <f t="shared" si="20"/>
        <v>0</v>
      </c>
      <c r="M74" s="142">
        <f t="shared" si="21"/>
        <v>0</v>
      </c>
      <c r="N74" s="142">
        <f t="shared" si="22"/>
        <v>0</v>
      </c>
      <c r="O74" s="59">
        <f t="shared" si="23"/>
        <v>71100</v>
      </c>
      <c r="P74" s="142">
        <f t="shared" si="24"/>
        <v>0</v>
      </c>
      <c r="Q74" s="142">
        <f t="shared" si="25"/>
        <v>0</v>
      </c>
      <c r="R74" s="142">
        <f t="shared" si="26"/>
        <v>0</v>
      </c>
      <c r="S74" s="142">
        <f t="shared" si="27"/>
        <v>0</v>
      </c>
      <c r="T74" s="142">
        <f t="shared" si="28"/>
        <v>0</v>
      </c>
      <c r="U74" s="60">
        <f t="shared" si="29"/>
        <v>0</v>
      </c>
    </row>
    <row r="75" spans="1:21" x14ac:dyDescent="0.2">
      <c r="A75" s="115"/>
      <c r="B75" s="139" t="s">
        <v>927</v>
      </c>
      <c r="C75" s="140" t="s">
        <v>928</v>
      </c>
      <c r="D75" s="141">
        <v>46000</v>
      </c>
      <c r="E75" s="141">
        <v>46030</v>
      </c>
      <c r="F75" s="57">
        <v>1845</v>
      </c>
      <c r="G75" s="58">
        <f t="shared" si="15"/>
        <v>8</v>
      </c>
      <c r="H75" s="142">
        <f t="shared" si="16"/>
        <v>0</v>
      </c>
      <c r="I75" s="142">
        <f t="shared" si="17"/>
        <v>0</v>
      </c>
      <c r="J75" s="143">
        <f t="shared" si="18"/>
        <v>0</v>
      </c>
      <c r="K75" s="143">
        <f t="shared" si="19"/>
        <v>0</v>
      </c>
      <c r="L75" s="142">
        <f t="shared" si="20"/>
        <v>0</v>
      </c>
      <c r="M75" s="142">
        <f t="shared" si="21"/>
        <v>0</v>
      </c>
      <c r="N75" s="142">
        <f t="shared" si="22"/>
        <v>0</v>
      </c>
      <c r="O75" s="59">
        <f t="shared" si="23"/>
        <v>0</v>
      </c>
      <c r="P75" s="142">
        <f t="shared" si="24"/>
        <v>1845</v>
      </c>
      <c r="Q75" s="142">
        <f t="shared" si="25"/>
        <v>0</v>
      </c>
      <c r="R75" s="142">
        <f t="shared" si="26"/>
        <v>0</v>
      </c>
      <c r="S75" s="142">
        <f t="shared" si="27"/>
        <v>0</v>
      </c>
      <c r="T75" s="142">
        <f t="shared" si="28"/>
        <v>0</v>
      </c>
      <c r="U75" s="60">
        <f t="shared" si="29"/>
        <v>1845</v>
      </c>
    </row>
    <row r="76" spans="1:21" x14ac:dyDescent="0.2">
      <c r="A76" s="115"/>
      <c r="B76" s="139" t="s">
        <v>56</v>
      </c>
      <c r="C76" s="140" t="s">
        <v>124</v>
      </c>
      <c r="D76" s="141">
        <v>41193</v>
      </c>
      <c r="E76" s="141">
        <v>41253</v>
      </c>
      <c r="F76" s="57">
        <v>11425</v>
      </c>
      <c r="G76" s="58">
        <f t="shared" si="15"/>
        <v>-4769</v>
      </c>
      <c r="H76" s="142">
        <f t="shared" si="16"/>
        <v>11425</v>
      </c>
      <c r="I76" s="142">
        <f t="shared" si="17"/>
        <v>0</v>
      </c>
      <c r="J76" s="143">
        <f t="shared" si="18"/>
        <v>0</v>
      </c>
      <c r="K76" s="143">
        <f t="shared" si="19"/>
        <v>0</v>
      </c>
      <c r="L76" s="142">
        <f t="shared" si="20"/>
        <v>0</v>
      </c>
      <c r="M76" s="142">
        <f t="shared" si="21"/>
        <v>0</v>
      </c>
      <c r="N76" s="142">
        <f t="shared" si="22"/>
        <v>0</v>
      </c>
      <c r="O76" s="59">
        <f t="shared" si="23"/>
        <v>11425</v>
      </c>
      <c r="P76" s="142">
        <f t="shared" si="24"/>
        <v>0</v>
      </c>
      <c r="Q76" s="142">
        <f t="shared" si="25"/>
        <v>0</v>
      </c>
      <c r="R76" s="142">
        <f t="shared" si="26"/>
        <v>0</v>
      </c>
      <c r="S76" s="142">
        <f t="shared" si="27"/>
        <v>0</v>
      </c>
      <c r="T76" s="142">
        <f t="shared" si="28"/>
        <v>0</v>
      </c>
      <c r="U76" s="60">
        <f t="shared" si="29"/>
        <v>0</v>
      </c>
    </row>
    <row r="77" spans="1:21" x14ac:dyDescent="0.2">
      <c r="A77" s="115"/>
      <c r="B77" s="139" t="s">
        <v>56</v>
      </c>
      <c r="C77" s="140" t="s">
        <v>125</v>
      </c>
      <c r="D77" s="141">
        <v>41260</v>
      </c>
      <c r="E77" s="141">
        <v>41260</v>
      </c>
      <c r="F77" s="57">
        <v>5887.5</v>
      </c>
      <c r="G77" s="58">
        <f t="shared" si="15"/>
        <v>-4762</v>
      </c>
      <c r="H77" s="142">
        <f t="shared" si="16"/>
        <v>5887.5</v>
      </c>
      <c r="I77" s="142">
        <f t="shared" si="17"/>
        <v>0</v>
      </c>
      <c r="J77" s="143">
        <f t="shared" si="18"/>
        <v>0</v>
      </c>
      <c r="K77" s="143">
        <f t="shared" si="19"/>
        <v>0</v>
      </c>
      <c r="L77" s="142">
        <f t="shared" si="20"/>
        <v>0</v>
      </c>
      <c r="M77" s="142">
        <f t="shared" si="21"/>
        <v>0</v>
      </c>
      <c r="N77" s="142">
        <f t="shared" si="22"/>
        <v>0</v>
      </c>
      <c r="O77" s="59">
        <f t="shared" si="23"/>
        <v>5887.5</v>
      </c>
      <c r="P77" s="142">
        <f t="shared" si="24"/>
        <v>0</v>
      </c>
      <c r="Q77" s="142">
        <f t="shared" si="25"/>
        <v>0</v>
      </c>
      <c r="R77" s="142">
        <f t="shared" si="26"/>
        <v>0</v>
      </c>
      <c r="S77" s="142">
        <f t="shared" si="27"/>
        <v>0</v>
      </c>
      <c r="T77" s="142">
        <f t="shared" si="28"/>
        <v>0</v>
      </c>
      <c r="U77" s="60">
        <f t="shared" si="29"/>
        <v>0</v>
      </c>
    </row>
    <row r="78" spans="1:21" x14ac:dyDescent="0.2">
      <c r="A78" s="115"/>
      <c r="B78" s="139" t="s">
        <v>56</v>
      </c>
      <c r="C78" s="140" t="s">
        <v>126</v>
      </c>
      <c r="D78" s="141">
        <v>41201</v>
      </c>
      <c r="E78" s="141">
        <v>41261</v>
      </c>
      <c r="F78" s="57">
        <v>350</v>
      </c>
      <c r="G78" s="58">
        <f t="shared" si="15"/>
        <v>-4761</v>
      </c>
      <c r="H78" s="142">
        <f t="shared" si="16"/>
        <v>350</v>
      </c>
      <c r="I78" s="142">
        <f t="shared" si="17"/>
        <v>0</v>
      </c>
      <c r="J78" s="143">
        <f t="shared" si="18"/>
        <v>0</v>
      </c>
      <c r="K78" s="143">
        <f t="shared" si="19"/>
        <v>0</v>
      </c>
      <c r="L78" s="142">
        <f t="shared" si="20"/>
        <v>0</v>
      </c>
      <c r="M78" s="142">
        <f t="shared" si="21"/>
        <v>0</v>
      </c>
      <c r="N78" s="142">
        <f t="shared" si="22"/>
        <v>0</v>
      </c>
      <c r="O78" s="59">
        <f t="shared" si="23"/>
        <v>350</v>
      </c>
      <c r="P78" s="142">
        <f t="shared" si="24"/>
        <v>0</v>
      </c>
      <c r="Q78" s="142">
        <f t="shared" si="25"/>
        <v>0</v>
      </c>
      <c r="R78" s="142">
        <f t="shared" si="26"/>
        <v>0</v>
      </c>
      <c r="S78" s="142">
        <f t="shared" si="27"/>
        <v>0</v>
      </c>
      <c r="T78" s="142">
        <f t="shared" si="28"/>
        <v>0</v>
      </c>
      <c r="U78" s="60">
        <f t="shared" si="29"/>
        <v>0</v>
      </c>
    </row>
    <row r="79" spans="1:21" x14ac:dyDescent="0.2">
      <c r="A79" s="115"/>
      <c r="B79" s="139" t="s">
        <v>56</v>
      </c>
      <c r="C79" s="140" t="s">
        <v>127</v>
      </c>
      <c r="D79" s="141">
        <v>41207</v>
      </c>
      <c r="E79" s="141">
        <v>41267</v>
      </c>
      <c r="F79" s="57">
        <v>769.76</v>
      </c>
      <c r="G79" s="58">
        <f t="shared" si="15"/>
        <v>-4755</v>
      </c>
      <c r="H79" s="142">
        <f t="shared" si="16"/>
        <v>769.76</v>
      </c>
      <c r="I79" s="142">
        <f t="shared" si="17"/>
        <v>0</v>
      </c>
      <c r="J79" s="143">
        <f t="shared" si="18"/>
        <v>0</v>
      </c>
      <c r="K79" s="143">
        <f t="shared" si="19"/>
        <v>0</v>
      </c>
      <c r="L79" s="142">
        <f t="shared" si="20"/>
        <v>0</v>
      </c>
      <c r="M79" s="142">
        <f t="shared" si="21"/>
        <v>0</v>
      </c>
      <c r="N79" s="142">
        <f t="shared" si="22"/>
        <v>0</v>
      </c>
      <c r="O79" s="59">
        <f t="shared" si="23"/>
        <v>769.76</v>
      </c>
      <c r="P79" s="142">
        <f t="shared" si="24"/>
        <v>0</v>
      </c>
      <c r="Q79" s="142">
        <f t="shared" si="25"/>
        <v>0</v>
      </c>
      <c r="R79" s="142">
        <f t="shared" si="26"/>
        <v>0</v>
      </c>
      <c r="S79" s="142">
        <f t="shared" si="27"/>
        <v>0</v>
      </c>
      <c r="T79" s="142">
        <f t="shared" si="28"/>
        <v>0</v>
      </c>
      <c r="U79" s="60">
        <f t="shared" si="29"/>
        <v>0</v>
      </c>
    </row>
    <row r="80" spans="1:21" x14ac:dyDescent="0.2">
      <c r="A80" s="115"/>
      <c r="B80" s="139" t="s">
        <v>56</v>
      </c>
      <c r="C80" s="140" t="s">
        <v>106</v>
      </c>
      <c r="D80" s="141">
        <v>41193</v>
      </c>
      <c r="E80" s="141">
        <v>41283</v>
      </c>
      <c r="F80" s="57">
        <v>11425</v>
      </c>
      <c r="G80" s="58">
        <f t="shared" si="15"/>
        <v>-4739</v>
      </c>
      <c r="H80" s="142">
        <f t="shared" si="16"/>
        <v>11425</v>
      </c>
      <c r="I80" s="142">
        <f t="shared" si="17"/>
        <v>0</v>
      </c>
      <c r="J80" s="143">
        <f t="shared" si="18"/>
        <v>0</v>
      </c>
      <c r="K80" s="143">
        <f t="shared" si="19"/>
        <v>0</v>
      </c>
      <c r="L80" s="142">
        <f t="shared" si="20"/>
        <v>0</v>
      </c>
      <c r="M80" s="142">
        <f t="shared" si="21"/>
        <v>0</v>
      </c>
      <c r="N80" s="142">
        <f t="shared" si="22"/>
        <v>0</v>
      </c>
      <c r="O80" s="59">
        <f t="shared" si="23"/>
        <v>11425</v>
      </c>
      <c r="P80" s="142">
        <f t="shared" si="24"/>
        <v>0</v>
      </c>
      <c r="Q80" s="142">
        <f t="shared" si="25"/>
        <v>0</v>
      </c>
      <c r="R80" s="142">
        <f t="shared" si="26"/>
        <v>0</v>
      </c>
      <c r="S80" s="142">
        <f t="shared" si="27"/>
        <v>0</v>
      </c>
      <c r="T80" s="142">
        <f t="shared" si="28"/>
        <v>0</v>
      </c>
      <c r="U80" s="60">
        <f t="shared" si="29"/>
        <v>0</v>
      </c>
    </row>
    <row r="81" spans="1:21" x14ac:dyDescent="0.2">
      <c r="A81" s="115"/>
      <c r="B81" s="139" t="s">
        <v>56</v>
      </c>
      <c r="C81" s="140" t="s">
        <v>107</v>
      </c>
      <c r="D81" s="141">
        <v>41193</v>
      </c>
      <c r="E81" s="141">
        <v>41313</v>
      </c>
      <c r="F81" s="57">
        <v>11425</v>
      </c>
      <c r="G81" s="58">
        <f t="shared" si="15"/>
        <v>-4709</v>
      </c>
      <c r="H81" s="142">
        <f t="shared" si="16"/>
        <v>11425</v>
      </c>
      <c r="I81" s="142">
        <f t="shared" si="17"/>
        <v>0</v>
      </c>
      <c r="J81" s="143">
        <f t="shared" si="18"/>
        <v>0</v>
      </c>
      <c r="K81" s="143">
        <f t="shared" si="19"/>
        <v>0</v>
      </c>
      <c r="L81" s="142">
        <f t="shared" si="20"/>
        <v>0</v>
      </c>
      <c r="M81" s="142">
        <f t="shared" si="21"/>
        <v>0</v>
      </c>
      <c r="N81" s="142">
        <f t="shared" si="22"/>
        <v>0</v>
      </c>
      <c r="O81" s="59">
        <f t="shared" si="23"/>
        <v>11425</v>
      </c>
      <c r="P81" s="142">
        <f t="shared" si="24"/>
        <v>0</v>
      </c>
      <c r="Q81" s="142">
        <f t="shared" si="25"/>
        <v>0</v>
      </c>
      <c r="R81" s="142">
        <f t="shared" si="26"/>
        <v>0</v>
      </c>
      <c r="S81" s="142">
        <f t="shared" si="27"/>
        <v>0</v>
      </c>
      <c r="T81" s="142">
        <f t="shared" si="28"/>
        <v>0</v>
      </c>
      <c r="U81" s="60">
        <f t="shared" si="29"/>
        <v>0</v>
      </c>
    </row>
    <row r="82" spans="1:21" x14ac:dyDescent="0.2">
      <c r="A82" s="115"/>
      <c r="B82" s="139" t="s">
        <v>56</v>
      </c>
      <c r="C82" s="140" t="s">
        <v>108</v>
      </c>
      <c r="D82" s="141">
        <v>41201</v>
      </c>
      <c r="E82" s="141">
        <v>41321</v>
      </c>
      <c r="F82" s="57">
        <v>350</v>
      </c>
      <c r="G82" s="58">
        <f t="shared" si="15"/>
        <v>-4701</v>
      </c>
      <c r="H82" s="142">
        <f t="shared" si="16"/>
        <v>350</v>
      </c>
      <c r="I82" s="142">
        <f t="shared" si="17"/>
        <v>0</v>
      </c>
      <c r="J82" s="143">
        <f t="shared" si="18"/>
        <v>0</v>
      </c>
      <c r="K82" s="143">
        <f t="shared" si="19"/>
        <v>0</v>
      </c>
      <c r="L82" s="142">
        <f t="shared" si="20"/>
        <v>0</v>
      </c>
      <c r="M82" s="142">
        <f t="shared" si="21"/>
        <v>0</v>
      </c>
      <c r="N82" s="142">
        <f t="shared" si="22"/>
        <v>0</v>
      </c>
      <c r="O82" s="59">
        <f t="shared" si="23"/>
        <v>350</v>
      </c>
      <c r="P82" s="142">
        <f t="shared" si="24"/>
        <v>0</v>
      </c>
      <c r="Q82" s="142">
        <f t="shared" si="25"/>
        <v>0</v>
      </c>
      <c r="R82" s="142">
        <f t="shared" si="26"/>
        <v>0</v>
      </c>
      <c r="S82" s="142">
        <f t="shared" si="27"/>
        <v>0</v>
      </c>
      <c r="T82" s="142">
        <f t="shared" si="28"/>
        <v>0</v>
      </c>
      <c r="U82" s="60">
        <f t="shared" si="29"/>
        <v>0</v>
      </c>
    </row>
    <row r="83" spans="1:21" x14ac:dyDescent="0.2">
      <c r="A83" s="115"/>
      <c r="B83" s="139" t="s">
        <v>56</v>
      </c>
      <c r="C83" s="140" t="s">
        <v>109</v>
      </c>
      <c r="D83" s="141">
        <v>41207</v>
      </c>
      <c r="E83" s="141">
        <v>41327</v>
      </c>
      <c r="F83" s="57">
        <v>769.75</v>
      </c>
      <c r="G83" s="58">
        <f t="shared" si="15"/>
        <v>-4695</v>
      </c>
      <c r="H83" s="142">
        <f t="shared" si="16"/>
        <v>769.75</v>
      </c>
      <c r="I83" s="142">
        <f t="shared" si="17"/>
        <v>0</v>
      </c>
      <c r="J83" s="143">
        <f t="shared" si="18"/>
        <v>0</v>
      </c>
      <c r="K83" s="143">
        <f t="shared" si="19"/>
        <v>0</v>
      </c>
      <c r="L83" s="142">
        <f t="shared" si="20"/>
        <v>0</v>
      </c>
      <c r="M83" s="142">
        <f t="shared" si="21"/>
        <v>0</v>
      </c>
      <c r="N83" s="142">
        <f t="shared" si="22"/>
        <v>0</v>
      </c>
      <c r="O83" s="59">
        <f t="shared" si="23"/>
        <v>769.75</v>
      </c>
      <c r="P83" s="142">
        <f t="shared" si="24"/>
        <v>0</v>
      </c>
      <c r="Q83" s="142">
        <f t="shared" si="25"/>
        <v>0</v>
      </c>
      <c r="R83" s="142">
        <f t="shared" si="26"/>
        <v>0</v>
      </c>
      <c r="S83" s="142">
        <f t="shared" si="27"/>
        <v>0</v>
      </c>
      <c r="T83" s="142">
        <f t="shared" si="28"/>
        <v>0</v>
      </c>
      <c r="U83" s="60">
        <f t="shared" si="29"/>
        <v>0</v>
      </c>
    </row>
    <row r="84" spans="1:21" x14ac:dyDescent="0.2">
      <c r="A84" s="115"/>
      <c r="B84" s="139" t="s">
        <v>56</v>
      </c>
      <c r="C84" s="140" t="s">
        <v>110</v>
      </c>
      <c r="D84" s="141">
        <v>41191</v>
      </c>
      <c r="E84" s="141">
        <v>41341</v>
      </c>
      <c r="F84" s="57">
        <v>1500</v>
      </c>
      <c r="G84" s="58">
        <f t="shared" si="15"/>
        <v>-4681</v>
      </c>
      <c r="H84" s="142">
        <f t="shared" si="16"/>
        <v>1500</v>
      </c>
      <c r="I84" s="142">
        <f t="shared" si="17"/>
        <v>0</v>
      </c>
      <c r="J84" s="143">
        <f t="shared" si="18"/>
        <v>0</v>
      </c>
      <c r="K84" s="143">
        <f t="shared" si="19"/>
        <v>0</v>
      </c>
      <c r="L84" s="142">
        <f t="shared" si="20"/>
        <v>0</v>
      </c>
      <c r="M84" s="142">
        <f t="shared" si="21"/>
        <v>0</v>
      </c>
      <c r="N84" s="142">
        <f t="shared" si="22"/>
        <v>0</v>
      </c>
      <c r="O84" s="59">
        <f t="shared" si="23"/>
        <v>1500</v>
      </c>
      <c r="P84" s="142">
        <f t="shared" si="24"/>
        <v>0</v>
      </c>
      <c r="Q84" s="142">
        <f t="shared" si="25"/>
        <v>0</v>
      </c>
      <c r="R84" s="142">
        <f t="shared" si="26"/>
        <v>0</v>
      </c>
      <c r="S84" s="142">
        <f t="shared" si="27"/>
        <v>0</v>
      </c>
      <c r="T84" s="142">
        <f t="shared" si="28"/>
        <v>0</v>
      </c>
      <c r="U84" s="60">
        <f t="shared" si="29"/>
        <v>0</v>
      </c>
    </row>
    <row r="85" spans="1:21" x14ac:dyDescent="0.2">
      <c r="A85" s="115"/>
      <c r="B85" s="139" t="s">
        <v>56</v>
      </c>
      <c r="C85" s="140" t="s">
        <v>111</v>
      </c>
      <c r="D85" s="141">
        <v>41193</v>
      </c>
      <c r="E85" s="141">
        <v>41343</v>
      </c>
      <c r="F85" s="57">
        <v>11425</v>
      </c>
      <c r="G85" s="58">
        <f t="shared" si="15"/>
        <v>-4679</v>
      </c>
      <c r="H85" s="142">
        <f t="shared" si="16"/>
        <v>11425</v>
      </c>
      <c r="I85" s="142">
        <f t="shared" si="17"/>
        <v>0</v>
      </c>
      <c r="J85" s="143">
        <f t="shared" si="18"/>
        <v>0</v>
      </c>
      <c r="K85" s="143">
        <f t="shared" si="19"/>
        <v>0</v>
      </c>
      <c r="L85" s="142">
        <f t="shared" si="20"/>
        <v>0</v>
      </c>
      <c r="M85" s="142">
        <f t="shared" si="21"/>
        <v>0</v>
      </c>
      <c r="N85" s="142">
        <f t="shared" si="22"/>
        <v>0</v>
      </c>
      <c r="O85" s="59">
        <f t="shared" si="23"/>
        <v>11425</v>
      </c>
      <c r="P85" s="142">
        <f t="shared" si="24"/>
        <v>0</v>
      </c>
      <c r="Q85" s="142">
        <f t="shared" si="25"/>
        <v>0</v>
      </c>
      <c r="R85" s="142">
        <f t="shared" si="26"/>
        <v>0</v>
      </c>
      <c r="S85" s="142">
        <f t="shared" si="27"/>
        <v>0</v>
      </c>
      <c r="T85" s="142">
        <f t="shared" si="28"/>
        <v>0</v>
      </c>
      <c r="U85" s="60">
        <f t="shared" si="29"/>
        <v>0</v>
      </c>
    </row>
    <row r="86" spans="1:21" x14ac:dyDescent="0.2">
      <c r="A86" s="115"/>
      <c r="B86" s="139" t="s">
        <v>56</v>
      </c>
      <c r="C86" s="140" t="s">
        <v>112</v>
      </c>
      <c r="D86" s="141">
        <v>41201</v>
      </c>
      <c r="E86" s="141">
        <v>41351</v>
      </c>
      <c r="F86" s="57">
        <v>350</v>
      </c>
      <c r="G86" s="58">
        <f t="shared" si="15"/>
        <v>-4671</v>
      </c>
      <c r="H86" s="142">
        <f t="shared" si="16"/>
        <v>350</v>
      </c>
      <c r="I86" s="142">
        <f t="shared" si="17"/>
        <v>0</v>
      </c>
      <c r="J86" s="143">
        <f t="shared" si="18"/>
        <v>0</v>
      </c>
      <c r="K86" s="143">
        <f t="shared" si="19"/>
        <v>0</v>
      </c>
      <c r="L86" s="142">
        <f t="shared" si="20"/>
        <v>0</v>
      </c>
      <c r="M86" s="142">
        <f t="shared" si="21"/>
        <v>0</v>
      </c>
      <c r="N86" s="142">
        <f t="shared" si="22"/>
        <v>0</v>
      </c>
      <c r="O86" s="59">
        <f t="shared" si="23"/>
        <v>350</v>
      </c>
      <c r="P86" s="142">
        <f t="shared" si="24"/>
        <v>0</v>
      </c>
      <c r="Q86" s="142">
        <f t="shared" si="25"/>
        <v>0</v>
      </c>
      <c r="R86" s="142">
        <f t="shared" si="26"/>
        <v>0</v>
      </c>
      <c r="S86" s="142">
        <f t="shared" si="27"/>
        <v>0</v>
      </c>
      <c r="T86" s="142">
        <f t="shared" si="28"/>
        <v>0</v>
      </c>
      <c r="U86" s="60">
        <f t="shared" si="29"/>
        <v>0</v>
      </c>
    </row>
    <row r="87" spans="1:21" x14ac:dyDescent="0.2">
      <c r="A87" s="115"/>
      <c r="B87" s="139" t="s">
        <v>56</v>
      </c>
      <c r="C87" s="140" t="s">
        <v>113</v>
      </c>
      <c r="D87" s="141">
        <v>41207</v>
      </c>
      <c r="E87" s="141">
        <v>41357</v>
      </c>
      <c r="F87" s="57">
        <v>769.75</v>
      </c>
      <c r="G87" s="58">
        <f t="shared" si="15"/>
        <v>-4665</v>
      </c>
      <c r="H87" s="142">
        <f t="shared" si="16"/>
        <v>769.75</v>
      </c>
      <c r="I87" s="142">
        <f t="shared" si="17"/>
        <v>0</v>
      </c>
      <c r="J87" s="143">
        <f t="shared" si="18"/>
        <v>0</v>
      </c>
      <c r="K87" s="143">
        <f t="shared" si="19"/>
        <v>0</v>
      </c>
      <c r="L87" s="142">
        <f t="shared" si="20"/>
        <v>0</v>
      </c>
      <c r="M87" s="142">
        <f t="shared" si="21"/>
        <v>0</v>
      </c>
      <c r="N87" s="142">
        <f t="shared" si="22"/>
        <v>0</v>
      </c>
      <c r="O87" s="59">
        <f t="shared" si="23"/>
        <v>769.75</v>
      </c>
      <c r="P87" s="142">
        <f t="shared" si="24"/>
        <v>0</v>
      </c>
      <c r="Q87" s="142">
        <f t="shared" si="25"/>
        <v>0</v>
      </c>
      <c r="R87" s="142">
        <f t="shared" si="26"/>
        <v>0</v>
      </c>
      <c r="S87" s="142">
        <f t="shared" si="27"/>
        <v>0</v>
      </c>
      <c r="T87" s="142">
        <f t="shared" si="28"/>
        <v>0</v>
      </c>
      <c r="U87" s="60">
        <f t="shared" si="29"/>
        <v>0</v>
      </c>
    </row>
    <row r="88" spans="1:21" x14ac:dyDescent="0.2">
      <c r="A88" s="115"/>
      <c r="B88" s="139" t="s">
        <v>56</v>
      </c>
      <c r="C88" s="140" t="s">
        <v>114</v>
      </c>
      <c r="D88" s="141">
        <v>41152</v>
      </c>
      <c r="E88" s="141">
        <v>41365</v>
      </c>
      <c r="F88" s="57">
        <v>17887.5</v>
      </c>
      <c r="G88" s="58">
        <f t="shared" si="15"/>
        <v>-4657</v>
      </c>
      <c r="H88" s="142">
        <f t="shared" si="16"/>
        <v>17887.5</v>
      </c>
      <c r="I88" s="142">
        <f t="shared" si="17"/>
        <v>0</v>
      </c>
      <c r="J88" s="143">
        <f t="shared" si="18"/>
        <v>0</v>
      </c>
      <c r="K88" s="143">
        <f t="shared" si="19"/>
        <v>0</v>
      </c>
      <c r="L88" s="142">
        <f t="shared" si="20"/>
        <v>0</v>
      </c>
      <c r="M88" s="142">
        <f t="shared" si="21"/>
        <v>0</v>
      </c>
      <c r="N88" s="142">
        <f t="shared" si="22"/>
        <v>0</v>
      </c>
      <c r="O88" s="59">
        <f t="shared" si="23"/>
        <v>17887.5</v>
      </c>
      <c r="P88" s="142">
        <f t="shared" si="24"/>
        <v>0</v>
      </c>
      <c r="Q88" s="142">
        <f t="shared" si="25"/>
        <v>0</v>
      </c>
      <c r="R88" s="142">
        <f t="shared" si="26"/>
        <v>0</v>
      </c>
      <c r="S88" s="142">
        <f t="shared" si="27"/>
        <v>0</v>
      </c>
      <c r="T88" s="142">
        <f t="shared" si="28"/>
        <v>0</v>
      </c>
      <c r="U88" s="60">
        <f t="shared" si="29"/>
        <v>0</v>
      </c>
    </row>
    <row r="89" spans="1:21" x14ac:dyDescent="0.2">
      <c r="A89" s="115"/>
      <c r="B89" s="139" t="s">
        <v>56</v>
      </c>
      <c r="C89" s="140" t="s">
        <v>115</v>
      </c>
      <c r="D89" s="141">
        <v>41152</v>
      </c>
      <c r="E89" s="141">
        <v>41365</v>
      </c>
      <c r="F89" s="57">
        <v>17887.5</v>
      </c>
      <c r="G89" s="58">
        <f t="shared" si="15"/>
        <v>-4657</v>
      </c>
      <c r="H89" s="142">
        <f t="shared" si="16"/>
        <v>17887.5</v>
      </c>
      <c r="I89" s="142">
        <f t="shared" si="17"/>
        <v>0</v>
      </c>
      <c r="J89" s="143">
        <f t="shared" si="18"/>
        <v>0</v>
      </c>
      <c r="K89" s="143">
        <f t="shared" si="19"/>
        <v>0</v>
      </c>
      <c r="L89" s="142">
        <f t="shared" si="20"/>
        <v>0</v>
      </c>
      <c r="M89" s="142">
        <f t="shared" si="21"/>
        <v>0</v>
      </c>
      <c r="N89" s="142">
        <f t="shared" si="22"/>
        <v>0</v>
      </c>
      <c r="O89" s="59">
        <f t="shared" si="23"/>
        <v>17887.5</v>
      </c>
      <c r="P89" s="142">
        <f t="shared" si="24"/>
        <v>0</v>
      </c>
      <c r="Q89" s="142">
        <f t="shared" si="25"/>
        <v>0</v>
      </c>
      <c r="R89" s="142">
        <f t="shared" si="26"/>
        <v>0</v>
      </c>
      <c r="S89" s="142">
        <f t="shared" si="27"/>
        <v>0</v>
      </c>
      <c r="T89" s="142">
        <f t="shared" si="28"/>
        <v>0</v>
      </c>
      <c r="U89" s="60">
        <f t="shared" si="29"/>
        <v>0</v>
      </c>
    </row>
    <row r="90" spans="1:21" x14ac:dyDescent="0.2">
      <c r="A90" s="115"/>
      <c r="B90" s="139" t="s">
        <v>56</v>
      </c>
      <c r="C90" s="140" t="s">
        <v>116</v>
      </c>
      <c r="D90" s="141">
        <v>41152</v>
      </c>
      <c r="E90" s="141">
        <v>41365</v>
      </c>
      <c r="F90" s="57">
        <v>17887.5</v>
      </c>
      <c r="G90" s="58">
        <f t="shared" si="15"/>
        <v>-4657</v>
      </c>
      <c r="H90" s="142">
        <f t="shared" si="16"/>
        <v>17887.5</v>
      </c>
      <c r="I90" s="142">
        <f t="shared" si="17"/>
        <v>0</v>
      </c>
      <c r="J90" s="143">
        <f t="shared" si="18"/>
        <v>0</v>
      </c>
      <c r="K90" s="143">
        <f t="shared" si="19"/>
        <v>0</v>
      </c>
      <c r="L90" s="142">
        <f t="shared" si="20"/>
        <v>0</v>
      </c>
      <c r="M90" s="142">
        <f t="shared" si="21"/>
        <v>0</v>
      </c>
      <c r="N90" s="142">
        <f t="shared" si="22"/>
        <v>0</v>
      </c>
      <c r="O90" s="59">
        <f t="shared" si="23"/>
        <v>17887.5</v>
      </c>
      <c r="P90" s="142">
        <f t="shared" si="24"/>
        <v>0</v>
      </c>
      <c r="Q90" s="142">
        <f t="shared" si="25"/>
        <v>0</v>
      </c>
      <c r="R90" s="142">
        <f t="shared" si="26"/>
        <v>0</v>
      </c>
      <c r="S90" s="142">
        <f t="shared" si="27"/>
        <v>0</v>
      </c>
      <c r="T90" s="142">
        <f t="shared" si="28"/>
        <v>0</v>
      </c>
      <c r="U90" s="60">
        <f t="shared" si="29"/>
        <v>0</v>
      </c>
    </row>
    <row r="91" spans="1:21" x14ac:dyDescent="0.2">
      <c r="A91" s="115"/>
      <c r="B91" s="139" t="s">
        <v>56</v>
      </c>
      <c r="C91" s="140" t="s">
        <v>117</v>
      </c>
      <c r="D91" s="141">
        <v>41169</v>
      </c>
      <c r="E91" s="141">
        <v>41365</v>
      </c>
      <c r="F91" s="57">
        <v>6750</v>
      </c>
      <c r="G91" s="58">
        <f t="shared" si="15"/>
        <v>-4657</v>
      </c>
      <c r="H91" s="142">
        <f t="shared" si="16"/>
        <v>6750</v>
      </c>
      <c r="I91" s="142">
        <f t="shared" si="17"/>
        <v>0</v>
      </c>
      <c r="J91" s="143">
        <f t="shared" si="18"/>
        <v>0</v>
      </c>
      <c r="K91" s="143">
        <f t="shared" si="19"/>
        <v>0</v>
      </c>
      <c r="L91" s="142">
        <f t="shared" si="20"/>
        <v>0</v>
      </c>
      <c r="M91" s="142">
        <f t="shared" si="21"/>
        <v>0</v>
      </c>
      <c r="N91" s="142">
        <f t="shared" si="22"/>
        <v>0</v>
      </c>
      <c r="O91" s="59">
        <f t="shared" si="23"/>
        <v>6750</v>
      </c>
      <c r="P91" s="142">
        <f t="shared" si="24"/>
        <v>0</v>
      </c>
      <c r="Q91" s="142">
        <f t="shared" si="25"/>
        <v>0</v>
      </c>
      <c r="R91" s="142">
        <f t="shared" si="26"/>
        <v>0</v>
      </c>
      <c r="S91" s="142">
        <f t="shared" si="27"/>
        <v>0</v>
      </c>
      <c r="T91" s="142">
        <f t="shared" si="28"/>
        <v>0</v>
      </c>
      <c r="U91" s="60">
        <f t="shared" si="29"/>
        <v>0</v>
      </c>
    </row>
    <row r="92" spans="1:21" x14ac:dyDescent="0.2">
      <c r="A92" s="115"/>
      <c r="B92" s="139" t="s">
        <v>56</v>
      </c>
      <c r="C92" s="140" t="s">
        <v>118</v>
      </c>
      <c r="D92" s="141">
        <v>41169</v>
      </c>
      <c r="E92" s="141">
        <v>41365</v>
      </c>
      <c r="F92" s="57">
        <v>6750</v>
      </c>
      <c r="G92" s="58">
        <f t="shared" si="15"/>
        <v>-4657</v>
      </c>
      <c r="H92" s="142">
        <f t="shared" si="16"/>
        <v>6750</v>
      </c>
      <c r="I92" s="142">
        <f t="shared" si="17"/>
        <v>0</v>
      </c>
      <c r="J92" s="143">
        <f t="shared" si="18"/>
        <v>0</v>
      </c>
      <c r="K92" s="143">
        <f t="shared" si="19"/>
        <v>0</v>
      </c>
      <c r="L92" s="142">
        <f t="shared" si="20"/>
        <v>0</v>
      </c>
      <c r="M92" s="142">
        <f t="shared" si="21"/>
        <v>0</v>
      </c>
      <c r="N92" s="142">
        <f t="shared" si="22"/>
        <v>0</v>
      </c>
      <c r="O92" s="59">
        <f t="shared" si="23"/>
        <v>6750</v>
      </c>
      <c r="P92" s="142">
        <f t="shared" si="24"/>
        <v>0</v>
      </c>
      <c r="Q92" s="142">
        <f t="shared" si="25"/>
        <v>0</v>
      </c>
      <c r="R92" s="142">
        <f t="shared" si="26"/>
        <v>0</v>
      </c>
      <c r="S92" s="142">
        <f t="shared" si="27"/>
        <v>0</v>
      </c>
      <c r="T92" s="142">
        <f t="shared" si="28"/>
        <v>0</v>
      </c>
      <c r="U92" s="60">
        <f t="shared" si="29"/>
        <v>0</v>
      </c>
    </row>
    <row r="93" spans="1:21" x14ac:dyDescent="0.2">
      <c r="A93" s="115"/>
      <c r="B93" s="139" t="s">
        <v>56</v>
      </c>
      <c r="C93" s="140" t="s">
        <v>119</v>
      </c>
      <c r="D93" s="141">
        <v>41169</v>
      </c>
      <c r="E93" s="141">
        <v>41365</v>
      </c>
      <c r="F93" s="57">
        <v>6750</v>
      </c>
      <c r="G93" s="58">
        <f t="shared" si="15"/>
        <v>-4657</v>
      </c>
      <c r="H93" s="142">
        <f t="shared" si="16"/>
        <v>6750</v>
      </c>
      <c r="I93" s="142">
        <f t="shared" si="17"/>
        <v>0</v>
      </c>
      <c r="J93" s="143">
        <f t="shared" si="18"/>
        <v>0</v>
      </c>
      <c r="K93" s="143">
        <f t="shared" si="19"/>
        <v>0</v>
      </c>
      <c r="L93" s="142">
        <f t="shared" si="20"/>
        <v>0</v>
      </c>
      <c r="M93" s="142">
        <f t="shared" si="21"/>
        <v>0</v>
      </c>
      <c r="N93" s="142">
        <f t="shared" si="22"/>
        <v>0</v>
      </c>
      <c r="O93" s="59">
        <f t="shared" si="23"/>
        <v>6750</v>
      </c>
      <c r="P93" s="142">
        <f t="shared" si="24"/>
        <v>0</v>
      </c>
      <c r="Q93" s="142">
        <f t="shared" si="25"/>
        <v>0</v>
      </c>
      <c r="R93" s="142">
        <f t="shared" si="26"/>
        <v>0</v>
      </c>
      <c r="S93" s="142">
        <f t="shared" si="27"/>
        <v>0</v>
      </c>
      <c r="T93" s="142">
        <f t="shared" si="28"/>
        <v>0</v>
      </c>
      <c r="U93" s="60">
        <f t="shared" si="29"/>
        <v>0</v>
      </c>
    </row>
    <row r="94" spans="1:21" x14ac:dyDescent="0.2">
      <c r="A94" s="115"/>
      <c r="B94" s="139" t="s">
        <v>56</v>
      </c>
      <c r="C94" s="140" t="s">
        <v>120</v>
      </c>
      <c r="D94" s="141">
        <v>41169</v>
      </c>
      <c r="E94" s="141">
        <v>41365</v>
      </c>
      <c r="F94" s="57">
        <v>6750</v>
      </c>
      <c r="G94" s="58">
        <f t="shared" si="15"/>
        <v>-4657</v>
      </c>
      <c r="H94" s="142">
        <f t="shared" si="16"/>
        <v>6750</v>
      </c>
      <c r="I94" s="142">
        <f t="shared" si="17"/>
        <v>0</v>
      </c>
      <c r="J94" s="143">
        <f t="shared" si="18"/>
        <v>0</v>
      </c>
      <c r="K94" s="143">
        <f t="shared" si="19"/>
        <v>0</v>
      </c>
      <c r="L94" s="142">
        <f t="shared" si="20"/>
        <v>0</v>
      </c>
      <c r="M94" s="142">
        <f t="shared" si="21"/>
        <v>0</v>
      </c>
      <c r="N94" s="142">
        <f t="shared" si="22"/>
        <v>0</v>
      </c>
      <c r="O94" s="59">
        <f t="shared" si="23"/>
        <v>6750</v>
      </c>
      <c r="P94" s="142">
        <f t="shared" si="24"/>
        <v>0</v>
      </c>
      <c r="Q94" s="142">
        <f t="shared" si="25"/>
        <v>0</v>
      </c>
      <c r="R94" s="142">
        <f t="shared" si="26"/>
        <v>0</v>
      </c>
      <c r="S94" s="142">
        <f t="shared" si="27"/>
        <v>0</v>
      </c>
      <c r="T94" s="142">
        <f t="shared" si="28"/>
        <v>0</v>
      </c>
      <c r="U94" s="60">
        <f t="shared" si="29"/>
        <v>0</v>
      </c>
    </row>
    <row r="95" spans="1:21" x14ac:dyDescent="0.2">
      <c r="A95" s="115"/>
      <c r="B95" s="139" t="s">
        <v>56</v>
      </c>
      <c r="C95" s="140" t="s">
        <v>121</v>
      </c>
      <c r="D95" s="141">
        <v>41191</v>
      </c>
      <c r="E95" s="141">
        <v>41365</v>
      </c>
      <c r="F95" s="57">
        <v>1500</v>
      </c>
      <c r="G95" s="58">
        <f t="shared" si="15"/>
        <v>-4657</v>
      </c>
      <c r="H95" s="142">
        <f t="shared" si="16"/>
        <v>1500</v>
      </c>
      <c r="I95" s="142">
        <f t="shared" si="17"/>
        <v>0</v>
      </c>
      <c r="J95" s="143">
        <f t="shared" si="18"/>
        <v>0</v>
      </c>
      <c r="K95" s="143">
        <f t="shared" si="19"/>
        <v>0</v>
      </c>
      <c r="L95" s="142">
        <f t="shared" si="20"/>
        <v>0</v>
      </c>
      <c r="M95" s="142">
        <f t="shared" si="21"/>
        <v>0</v>
      </c>
      <c r="N95" s="142">
        <f t="shared" si="22"/>
        <v>0</v>
      </c>
      <c r="O95" s="59">
        <f t="shared" si="23"/>
        <v>1500</v>
      </c>
      <c r="P95" s="142">
        <f t="shared" si="24"/>
        <v>0</v>
      </c>
      <c r="Q95" s="142">
        <f t="shared" si="25"/>
        <v>0</v>
      </c>
      <c r="R95" s="142">
        <f t="shared" si="26"/>
        <v>0</v>
      </c>
      <c r="S95" s="142">
        <f t="shared" si="27"/>
        <v>0</v>
      </c>
      <c r="T95" s="142">
        <f t="shared" si="28"/>
        <v>0</v>
      </c>
      <c r="U95" s="60">
        <f t="shared" si="29"/>
        <v>0</v>
      </c>
    </row>
    <row r="96" spans="1:21" x14ac:dyDescent="0.2">
      <c r="A96" s="115"/>
      <c r="B96" s="139" t="s">
        <v>56</v>
      </c>
      <c r="C96" s="140" t="s">
        <v>122</v>
      </c>
      <c r="D96" s="141">
        <v>41191</v>
      </c>
      <c r="E96" s="141">
        <v>41365</v>
      </c>
      <c r="F96" s="57">
        <v>1500</v>
      </c>
      <c r="G96" s="58">
        <f t="shared" si="15"/>
        <v>-4657</v>
      </c>
      <c r="H96" s="142">
        <f t="shared" si="16"/>
        <v>1500</v>
      </c>
      <c r="I96" s="142">
        <f t="shared" si="17"/>
        <v>0</v>
      </c>
      <c r="J96" s="143">
        <f t="shared" si="18"/>
        <v>0</v>
      </c>
      <c r="K96" s="143">
        <f t="shared" si="19"/>
        <v>0</v>
      </c>
      <c r="L96" s="142">
        <f t="shared" si="20"/>
        <v>0</v>
      </c>
      <c r="M96" s="142">
        <f t="shared" si="21"/>
        <v>0</v>
      </c>
      <c r="N96" s="142">
        <f t="shared" si="22"/>
        <v>0</v>
      </c>
      <c r="O96" s="59">
        <f t="shared" si="23"/>
        <v>1500</v>
      </c>
      <c r="P96" s="142">
        <f t="shared" si="24"/>
        <v>0</v>
      </c>
      <c r="Q96" s="142">
        <f t="shared" si="25"/>
        <v>0</v>
      </c>
      <c r="R96" s="142">
        <f t="shared" si="26"/>
        <v>0</v>
      </c>
      <c r="S96" s="142">
        <f t="shared" si="27"/>
        <v>0</v>
      </c>
      <c r="T96" s="142">
        <f t="shared" si="28"/>
        <v>0</v>
      </c>
      <c r="U96" s="60">
        <f t="shared" si="29"/>
        <v>0</v>
      </c>
    </row>
    <row r="97" spans="1:24" x14ac:dyDescent="0.2">
      <c r="A97" s="115"/>
      <c r="B97" s="139" t="s">
        <v>56</v>
      </c>
      <c r="C97" s="140" t="s">
        <v>123</v>
      </c>
      <c r="D97" s="141">
        <v>41191</v>
      </c>
      <c r="E97" s="141">
        <v>41365</v>
      </c>
      <c r="F97" s="57">
        <v>1500</v>
      </c>
      <c r="G97" s="58">
        <f t="shared" si="15"/>
        <v>-4657</v>
      </c>
      <c r="H97" s="142">
        <f t="shared" si="16"/>
        <v>1500</v>
      </c>
      <c r="I97" s="142">
        <f t="shared" si="17"/>
        <v>0</v>
      </c>
      <c r="J97" s="143">
        <f t="shared" si="18"/>
        <v>0</v>
      </c>
      <c r="K97" s="143">
        <f t="shared" si="19"/>
        <v>0</v>
      </c>
      <c r="L97" s="142">
        <f t="shared" si="20"/>
        <v>0</v>
      </c>
      <c r="M97" s="142">
        <f t="shared" si="21"/>
        <v>0</v>
      </c>
      <c r="N97" s="142">
        <f t="shared" si="22"/>
        <v>0</v>
      </c>
      <c r="O97" s="59">
        <f t="shared" si="23"/>
        <v>1500</v>
      </c>
      <c r="P97" s="142">
        <f t="shared" si="24"/>
        <v>0</v>
      </c>
      <c r="Q97" s="142">
        <f t="shared" si="25"/>
        <v>0</v>
      </c>
      <c r="R97" s="142">
        <f t="shared" si="26"/>
        <v>0</v>
      </c>
      <c r="S97" s="142">
        <f t="shared" si="27"/>
        <v>0</v>
      </c>
      <c r="T97" s="142">
        <f t="shared" si="28"/>
        <v>0</v>
      </c>
      <c r="U97" s="60">
        <f t="shared" si="29"/>
        <v>0</v>
      </c>
    </row>
    <row r="98" spans="1:24" s="113" customFormat="1" x14ac:dyDescent="0.2">
      <c r="A98" s="105"/>
      <c r="B98" s="106" t="s">
        <v>55</v>
      </c>
      <c r="C98" s="107" t="s">
        <v>328</v>
      </c>
      <c r="D98" s="108">
        <v>45607</v>
      </c>
      <c r="E98" s="108">
        <v>45771</v>
      </c>
      <c r="F98" s="109">
        <v>153000</v>
      </c>
      <c r="G98" s="110">
        <f t="shared" si="15"/>
        <v>-251</v>
      </c>
      <c r="H98" s="114">
        <f t="shared" si="16"/>
        <v>153000</v>
      </c>
      <c r="I98" s="59">
        <f t="shared" si="17"/>
        <v>0</v>
      </c>
      <c r="J98" s="111">
        <f t="shared" si="18"/>
        <v>0</v>
      </c>
      <c r="K98" s="111">
        <f t="shared" si="19"/>
        <v>0</v>
      </c>
      <c r="L98" s="59">
        <f t="shared" si="20"/>
        <v>0</v>
      </c>
      <c r="M98" s="59">
        <f t="shared" si="21"/>
        <v>0</v>
      </c>
      <c r="N98" s="59">
        <f t="shared" si="22"/>
        <v>0</v>
      </c>
      <c r="O98" s="59">
        <f t="shared" si="23"/>
        <v>153000</v>
      </c>
      <c r="P98" s="59">
        <f t="shared" si="24"/>
        <v>0</v>
      </c>
      <c r="Q98" s="59">
        <f t="shared" si="25"/>
        <v>0</v>
      </c>
      <c r="R98" s="59">
        <f t="shared" si="26"/>
        <v>0</v>
      </c>
      <c r="S98" s="59">
        <f t="shared" si="27"/>
        <v>0</v>
      </c>
      <c r="T98" s="59">
        <f t="shared" si="28"/>
        <v>0</v>
      </c>
      <c r="U98" s="60">
        <f t="shared" si="29"/>
        <v>0</v>
      </c>
      <c r="V98" s="112"/>
      <c r="W98" s="112"/>
      <c r="X98" s="112"/>
    </row>
    <row r="99" spans="1:24" s="113" customFormat="1" x14ac:dyDescent="0.2">
      <c r="A99" s="105"/>
      <c r="B99" s="106" t="s">
        <v>55</v>
      </c>
      <c r="C99" s="107" t="s">
        <v>429</v>
      </c>
      <c r="D99" s="108">
        <v>45826</v>
      </c>
      <c r="E99" s="108">
        <v>45916</v>
      </c>
      <c r="F99" s="109">
        <v>240.38</v>
      </c>
      <c r="G99" s="110">
        <f t="shared" si="15"/>
        <v>-106</v>
      </c>
      <c r="H99" s="59">
        <f t="shared" si="16"/>
        <v>0</v>
      </c>
      <c r="I99" s="59">
        <f t="shared" si="17"/>
        <v>0</v>
      </c>
      <c r="J99" s="111">
        <f t="shared" si="18"/>
        <v>0</v>
      </c>
      <c r="K99" s="160">
        <f t="shared" si="19"/>
        <v>240.38</v>
      </c>
      <c r="L99" s="59">
        <f t="shared" si="20"/>
        <v>0</v>
      </c>
      <c r="M99" s="59">
        <f t="shared" si="21"/>
        <v>0</v>
      </c>
      <c r="N99" s="59">
        <f t="shared" si="22"/>
        <v>0</v>
      </c>
      <c r="O99" s="59">
        <f t="shared" si="23"/>
        <v>240.38</v>
      </c>
      <c r="P99" s="59">
        <f t="shared" si="24"/>
        <v>0</v>
      </c>
      <c r="Q99" s="59">
        <f t="shared" si="25"/>
        <v>0</v>
      </c>
      <c r="R99" s="59">
        <f t="shared" si="26"/>
        <v>0</v>
      </c>
      <c r="S99" s="59">
        <f t="shared" si="27"/>
        <v>0</v>
      </c>
      <c r="T99" s="59">
        <f t="shared" si="28"/>
        <v>0</v>
      </c>
      <c r="U99" s="60">
        <f t="shared" si="29"/>
        <v>0</v>
      </c>
      <c r="V99" s="112"/>
      <c r="W99" s="112"/>
      <c r="X99" s="112"/>
    </row>
    <row r="100" spans="1:24" s="113" customFormat="1" x14ac:dyDescent="0.2">
      <c r="A100" s="105"/>
      <c r="B100" s="106" t="s">
        <v>55</v>
      </c>
      <c r="C100" s="107" t="s">
        <v>851</v>
      </c>
      <c r="D100" s="108">
        <v>45989</v>
      </c>
      <c r="E100" s="108">
        <v>46049</v>
      </c>
      <c r="F100" s="109">
        <v>30670.400000000001</v>
      </c>
      <c r="G100" s="110">
        <f t="shared" si="15"/>
        <v>27</v>
      </c>
      <c r="H100" s="59">
        <f t="shared" si="16"/>
        <v>0</v>
      </c>
      <c r="I100" s="59">
        <f t="shared" si="17"/>
        <v>0</v>
      </c>
      <c r="J100" s="111">
        <f t="shared" si="18"/>
        <v>0</v>
      </c>
      <c r="K100" s="111">
        <f t="shared" si="19"/>
        <v>0</v>
      </c>
      <c r="L100" s="59">
        <f t="shared" si="20"/>
        <v>0</v>
      </c>
      <c r="M100" s="59">
        <f t="shared" si="21"/>
        <v>0</v>
      </c>
      <c r="N100" s="59">
        <f t="shared" si="22"/>
        <v>0</v>
      </c>
      <c r="O100" s="59">
        <f t="shared" si="23"/>
        <v>0</v>
      </c>
      <c r="P100" s="59">
        <f t="shared" si="24"/>
        <v>30670.400000000001</v>
      </c>
      <c r="Q100" s="59">
        <f t="shared" si="25"/>
        <v>0</v>
      </c>
      <c r="R100" s="59">
        <f t="shared" si="26"/>
        <v>0</v>
      </c>
      <c r="S100" s="59">
        <f t="shared" si="27"/>
        <v>0</v>
      </c>
      <c r="T100" s="59">
        <f t="shared" si="28"/>
        <v>0</v>
      </c>
      <c r="U100" s="60">
        <f t="shared" si="29"/>
        <v>30670.400000000001</v>
      </c>
      <c r="V100" s="112"/>
      <c r="W100" s="112"/>
      <c r="X100" s="112">
        <f>Tabela1[[#This Row],[TOTAL6]]+U101</f>
        <v>44024.72</v>
      </c>
    </row>
    <row r="101" spans="1:24" s="113" customFormat="1" x14ac:dyDescent="0.2">
      <c r="A101" s="105"/>
      <c r="B101" s="106" t="s">
        <v>55</v>
      </c>
      <c r="C101" s="107" t="s">
        <v>852</v>
      </c>
      <c r="D101" s="108">
        <v>45989</v>
      </c>
      <c r="E101" s="108">
        <v>46049</v>
      </c>
      <c r="F101" s="109">
        <v>13354.32</v>
      </c>
      <c r="G101" s="110">
        <f t="shared" si="15"/>
        <v>27</v>
      </c>
      <c r="H101" s="59">
        <f t="shared" si="16"/>
        <v>0</v>
      </c>
      <c r="I101" s="59">
        <f t="shared" si="17"/>
        <v>0</v>
      </c>
      <c r="J101" s="111">
        <f t="shared" si="18"/>
        <v>0</v>
      </c>
      <c r="K101" s="111">
        <f t="shared" si="19"/>
        <v>0</v>
      </c>
      <c r="L101" s="59">
        <f t="shared" si="20"/>
        <v>0</v>
      </c>
      <c r="M101" s="59">
        <f t="shared" si="21"/>
        <v>0</v>
      </c>
      <c r="N101" s="59">
        <f t="shared" si="22"/>
        <v>0</v>
      </c>
      <c r="O101" s="59">
        <f t="shared" si="23"/>
        <v>0</v>
      </c>
      <c r="P101" s="59">
        <f t="shared" si="24"/>
        <v>13354.32</v>
      </c>
      <c r="Q101" s="59">
        <f t="shared" si="25"/>
        <v>0</v>
      </c>
      <c r="R101" s="59">
        <f t="shared" si="26"/>
        <v>0</v>
      </c>
      <c r="S101" s="59">
        <f t="shared" si="27"/>
        <v>0</v>
      </c>
      <c r="T101" s="59">
        <f t="shared" si="28"/>
        <v>0</v>
      </c>
      <c r="U101" s="60">
        <f t="shared" si="29"/>
        <v>13354.32</v>
      </c>
      <c r="V101" s="112"/>
      <c r="W101" s="112"/>
      <c r="X101" s="112">
        <f>X100-39622.25</f>
        <v>4402.4700000000012</v>
      </c>
    </row>
    <row r="102" spans="1:24" s="113" customFormat="1" x14ac:dyDescent="0.2">
      <c r="A102" s="105"/>
      <c r="B102" s="106" t="s">
        <v>55</v>
      </c>
      <c r="C102" s="107" t="s">
        <v>929</v>
      </c>
      <c r="D102" s="108">
        <v>45993</v>
      </c>
      <c r="E102" s="108">
        <v>46053</v>
      </c>
      <c r="F102" s="109">
        <v>43508.800000000003</v>
      </c>
      <c r="G102" s="110">
        <f t="shared" si="15"/>
        <v>31</v>
      </c>
      <c r="H102" s="59">
        <f t="shared" si="16"/>
        <v>0</v>
      </c>
      <c r="I102" s="59">
        <f t="shared" si="17"/>
        <v>0</v>
      </c>
      <c r="J102" s="111">
        <f t="shared" si="18"/>
        <v>0</v>
      </c>
      <c r="K102" s="111">
        <f t="shared" si="19"/>
        <v>0</v>
      </c>
      <c r="L102" s="59">
        <f t="shared" si="20"/>
        <v>0</v>
      </c>
      <c r="M102" s="59">
        <f t="shared" si="21"/>
        <v>0</v>
      </c>
      <c r="N102" s="59">
        <f t="shared" si="22"/>
        <v>0</v>
      </c>
      <c r="O102" s="59">
        <f t="shared" si="23"/>
        <v>0</v>
      </c>
      <c r="P102" s="59">
        <f t="shared" si="24"/>
        <v>0</v>
      </c>
      <c r="Q102" s="59">
        <f t="shared" si="25"/>
        <v>43508.800000000003</v>
      </c>
      <c r="R102" s="59">
        <f t="shared" si="26"/>
        <v>0</v>
      </c>
      <c r="S102" s="59">
        <f t="shared" si="27"/>
        <v>0</v>
      </c>
      <c r="T102" s="59">
        <f t="shared" si="28"/>
        <v>0</v>
      </c>
      <c r="U102" s="60">
        <f t="shared" si="29"/>
        <v>43508.800000000003</v>
      </c>
      <c r="V102" s="112"/>
      <c r="W102" s="112"/>
      <c r="X102" s="112"/>
    </row>
    <row r="103" spans="1:24" s="113" customFormat="1" x14ac:dyDescent="0.2">
      <c r="A103" s="105"/>
      <c r="B103" s="106" t="s">
        <v>55</v>
      </c>
      <c r="C103" s="107" t="s">
        <v>930</v>
      </c>
      <c r="D103" s="108">
        <v>45993</v>
      </c>
      <c r="E103" s="108">
        <v>46053</v>
      </c>
      <c r="F103" s="109">
        <v>43313.35</v>
      </c>
      <c r="G103" s="110">
        <f t="shared" si="15"/>
        <v>31</v>
      </c>
      <c r="H103" s="59">
        <f t="shared" si="16"/>
        <v>0</v>
      </c>
      <c r="I103" s="59">
        <f t="shared" si="17"/>
        <v>0</v>
      </c>
      <c r="J103" s="111">
        <f t="shared" si="18"/>
        <v>0</v>
      </c>
      <c r="K103" s="111">
        <f t="shared" si="19"/>
        <v>0</v>
      </c>
      <c r="L103" s="59">
        <f t="shared" si="20"/>
        <v>0</v>
      </c>
      <c r="M103" s="59">
        <f t="shared" si="21"/>
        <v>0</v>
      </c>
      <c r="N103" s="59">
        <f t="shared" si="22"/>
        <v>0</v>
      </c>
      <c r="O103" s="59">
        <f t="shared" si="23"/>
        <v>0</v>
      </c>
      <c r="P103" s="59">
        <f t="shared" si="24"/>
        <v>0</v>
      </c>
      <c r="Q103" s="59">
        <f t="shared" si="25"/>
        <v>43313.35</v>
      </c>
      <c r="R103" s="59">
        <f t="shared" si="26"/>
        <v>0</v>
      </c>
      <c r="S103" s="59">
        <f t="shared" si="27"/>
        <v>0</v>
      </c>
      <c r="T103" s="59">
        <f t="shared" si="28"/>
        <v>0</v>
      </c>
      <c r="U103" s="60">
        <f t="shared" si="29"/>
        <v>43313.35</v>
      </c>
      <c r="V103" s="112"/>
      <c r="W103" s="112"/>
      <c r="X103" s="112"/>
    </row>
    <row r="104" spans="1:24" s="113" customFormat="1" x14ac:dyDescent="0.2">
      <c r="A104" s="105"/>
      <c r="B104" s="106" t="s">
        <v>55</v>
      </c>
      <c r="C104" s="107" t="s">
        <v>931</v>
      </c>
      <c r="D104" s="108">
        <v>45996</v>
      </c>
      <c r="E104" s="108">
        <v>46056</v>
      </c>
      <c r="F104" s="109">
        <v>240.38</v>
      </c>
      <c r="G104" s="110">
        <f t="shared" si="15"/>
        <v>34</v>
      </c>
      <c r="H104" s="59">
        <f t="shared" si="16"/>
        <v>0</v>
      </c>
      <c r="I104" s="59">
        <f t="shared" si="17"/>
        <v>0</v>
      </c>
      <c r="J104" s="111">
        <f t="shared" si="18"/>
        <v>0</v>
      </c>
      <c r="K104" s="111">
        <f t="shared" si="19"/>
        <v>0</v>
      </c>
      <c r="L104" s="59">
        <f t="shared" si="20"/>
        <v>0</v>
      </c>
      <c r="M104" s="59">
        <f t="shared" si="21"/>
        <v>0</v>
      </c>
      <c r="N104" s="59">
        <f t="shared" si="22"/>
        <v>0</v>
      </c>
      <c r="O104" s="59">
        <f t="shared" si="23"/>
        <v>0</v>
      </c>
      <c r="P104" s="59">
        <f t="shared" si="24"/>
        <v>0</v>
      </c>
      <c r="Q104" s="59">
        <f t="shared" si="25"/>
        <v>240.38</v>
      </c>
      <c r="R104" s="59">
        <f t="shared" si="26"/>
        <v>0</v>
      </c>
      <c r="S104" s="59">
        <f t="shared" si="27"/>
        <v>0</v>
      </c>
      <c r="T104" s="59">
        <f t="shared" si="28"/>
        <v>0</v>
      </c>
      <c r="U104" s="60">
        <f t="shared" si="29"/>
        <v>240.38</v>
      </c>
      <c r="V104" s="112"/>
      <c r="W104" s="112"/>
      <c r="X104" s="112"/>
    </row>
    <row r="105" spans="1:24" x14ac:dyDescent="0.2">
      <c r="A105" s="115"/>
      <c r="B105" s="139" t="s">
        <v>567</v>
      </c>
      <c r="C105" s="140" t="s">
        <v>568</v>
      </c>
      <c r="D105" s="141">
        <v>45873</v>
      </c>
      <c r="E105" s="141">
        <v>45933</v>
      </c>
      <c r="F105" s="57">
        <v>15214.8</v>
      </c>
      <c r="G105" s="58">
        <f t="shared" si="15"/>
        <v>-89</v>
      </c>
      <c r="H105" s="142">
        <f t="shared" si="16"/>
        <v>0</v>
      </c>
      <c r="I105" s="142">
        <f t="shared" si="17"/>
        <v>0</v>
      </c>
      <c r="J105" s="143">
        <f t="shared" si="18"/>
        <v>0</v>
      </c>
      <c r="K105" s="143">
        <f t="shared" si="19"/>
        <v>0</v>
      </c>
      <c r="L105" s="142">
        <f t="shared" si="20"/>
        <v>15214.8</v>
      </c>
      <c r="M105" s="142">
        <f t="shared" si="21"/>
        <v>0</v>
      </c>
      <c r="N105" s="142">
        <f t="shared" si="22"/>
        <v>0</v>
      </c>
      <c r="O105" s="59">
        <f t="shared" si="23"/>
        <v>15214.8</v>
      </c>
      <c r="P105" s="142">
        <f t="shared" si="24"/>
        <v>0</v>
      </c>
      <c r="Q105" s="142">
        <f t="shared" si="25"/>
        <v>0</v>
      </c>
      <c r="R105" s="142">
        <f t="shared" si="26"/>
        <v>0</v>
      </c>
      <c r="S105" s="142">
        <f t="shared" si="27"/>
        <v>0</v>
      </c>
      <c r="T105" s="142">
        <f t="shared" si="28"/>
        <v>0</v>
      </c>
      <c r="U105" s="60">
        <f t="shared" si="29"/>
        <v>0</v>
      </c>
    </row>
    <row r="106" spans="1:24" x14ac:dyDescent="0.2">
      <c r="A106" s="115"/>
      <c r="B106" s="139" t="s">
        <v>430</v>
      </c>
      <c r="C106" s="140" t="s">
        <v>527</v>
      </c>
      <c r="D106" s="141">
        <v>45859</v>
      </c>
      <c r="E106" s="141">
        <v>45949</v>
      </c>
      <c r="F106" s="57">
        <v>8023</v>
      </c>
      <c r="G106" s="58">
        <f t="shared" si="15"/>
        <v>-73</v>
      </c>
      <c r="H106" s="142">
        <f t="shared" si="16"/>
        <v>0</v>
      </c>
      <c r="I106" s="142">
        <f t="shared" si="17"/>
        <v>0</v>
      </c>
      <c r="J106" s="143">
        <f t="shared" si="18"/>
        <v>0</v>
      </c>
      <c r="K106" s="143">
        <f t="shared" si="19"/>
        <v>0</v>
      </c>
      <c r="L106" s="142">
        <f t="shared" si="20"/>
        <v>8023</v>
      </c>
      <c r="M106" s="142">
        <f t="shared" si="21"/>
        <v>0</v>
      </c>
      <c r="N106" s="142">
        <f t="shared" si="22"/>
        <v>0</v>
      </c>
      <c r="O106" s="59">
        <f t="shared" si="23"/>
        <v>8023</v>
      </c>
      <c r="P106" s="142">
        <f t="shared" si="24"/>
        <v>0</v>
      </c>
      <c r="Q106" s="142">
        <f t="shared" si="25"/>
        <v>0</v>
      </c>
      <c r="R106" s="142">
        <f t="shared" si="26"/>
        <v>0</v>
      </c>
      <c r="S106" s="142">
        <f t="shared" si="27"/>
        <v>0</v>
      </c>
      <c r="T106" s="142">
        <f t="shared" si="28"/>
        <v>0</v>
      </c>
      <c r="U106" s="60">
        <f t="shared" si="29"/>
        <v>0</v>
      </c>
    </row>
    <row r="107" spans="1:24" x14ac:dyDescent="0.2">
      <c r="A107" s="115"/>
      <c r="B107" s="139" t="s">
        <v>329</v>
      </c>
      <c r="C107" s="140" t="s">
        <v>629</v>
      </c>
      <c r="D107" s="141">
        <v>45925</v>
      </c>
      <c r="E107" s="141">
        <v>46045</v>
      </c>
      <c r="F107" s="57">
        <v>93540</v>
      </c>
      <c r="G107" s="58">
        <f t="shared" si="15"/>
        <v>23</v>
      </c>
      <c r="H107" s="142">
        <f t="shared" si="16"/>
        <v>0</v>
      </c>
      <c r="I107" s="142">
        <f t="shared" si="17"/>
        <v>0</v>
      </c>
      <c r="J107" s="143">
        <f t="shared" si="18"/>
        <v>0</v>
      </c>
      <c r="K107" s="143">
        <f t="shared" si="19"/>
        <v>0</v>
      </c>
      <c r="L107" s="142">
        <f t="shared" si="20"/>
        <v>0</v>
      </c>
      <c r="M107" s="142">
        <f t="shared" si="21"/>
        <v>0</v>
      </c>
      <c r="N107" s="142">
        <f t="shared" si="22"/>
        <v>0</v>
      </c>
      <c r="O107" s="59">
        <f t="shared" si="23"/>
        <v>0</v>
      </c>
      <c r="P107" s="142">
        <f t="shared" si="24"/>
        <v>93540</v>
      </c>
      <c r="Q107" s="142">
        <f t="shared" si="25"/>
        <v>0</v>
      </c>
      <c r="R107" s="142">
        <f t="shared" si="26"/>
        <v>0</v>
      </c>
      <c r="S107" s="142">
        <f t="shared" si="27"/>
        <v>0</v>
      </c>
      <c r="T107" s="142">
        <f t="shared" si="28"/>
        <v>0</v>
      </c>
      <c r="U107" s="60">
        <f t="shared" si="29"/>
        <v>93540</v>
      </c>
    </row>
    <row r="108" spans="1:24" x14ac:dyDescent="0.2">
      <c r="A108" s="115"/>
      <c r="B108" s="139" t="s">
        <v>329</v>
      </c>
      <c r="C108" s="140" t="s">
        <v>798</v>
      </c>
      <c r="D108" s="141">
        <v>45932</v>
      </c>
      <c r="E108" s="141">
        <v>46052</v>
      </c>
      <c r="F108" s="57">
        <v>24255.8</v>
      </c>
      <c r="G108" s="58">
        <f t="shared" si="15"/>
        <v>30</v>
      </c>
      <c r="H108" s="142">
        <f t="shared" si="16"/>
        <v>0</v>
      </c>
      <c r="I108" s="142">
        <f t="shared" si="17"/>
        <v>0</v>
      </c>
      <c r="J108" s="143">
        <f t="shared" si="18"/>
        <v>0</v>
      </c>
      <c r="K108" s="143">
        <f t="shared" si="19"/>
        <v>0</v>
      </c>
      <c r="L108" s="142">
        <f t="shared" si="20"/>
        <v>0</v>
      </c>
      <c r="M108" s="142">
        <f t="shared" si="21"/>
        <v>0</v>
      </c>
      <c r="N108" s="142">
        <f t="shared" si="22"/>
        <v>0</v>
      </c>
      <c r="O108" s="59">
        <f t="shared" si="23"/>
        <v>0</v>
      </c>
      <c r="P108" s="142">
        <f t="shared" si="24"/>
        <v>24255.8</v>
      </c>
      <c r="Q108" s="142">
        <f t="shared" si="25"/>
        <v>0</v>
      </c>
      <c r="R108" s="142">
        <f t="shared" si="26"/>
        <v>0</v>
      </c>
      <c r="S108" s="142">
        <f t="shared" si="27"/>
        <v>0</v>
      </c>
      <c r="T108" s="142">
        <f t="shared" si="28"/>
        <v>0</v>
      </c>
      <c r="U108" s="60">
        <f t="shared" si="29"/>
        <v>24255.8</v>
      </c>
    </row>
    <row r="109" spans="1:24" x14ac:dyDescent="0.2">
      <c r="A109" s="115"/>
      <c r="B109" s="139" t="s">
        <v>932</v>
      </c>
      <c r="C109" s="140" t="s">
        <v>933</v>
      </c>
      <c r="D109" s="141">
        <v>45995</v>
      </c>
      <c r="E109" s="141">
        <v>46085</v>
      </c>
      <c r="F109" s="57">
        <v>29793.58</v>
      </c>
      <c r="G109" s="58">
        <f t="shared" si="15"/>
        <v>63</v>
      </c>
      <c r="H109" s="142">
        <f t="shared" si="16"/>
        <v>0</v>
      </c>
      <c r="I109" s="142">
        <f t="shared" si="17"/>
        <v>0</v>
      </c>
      <c r="J109" s="143">
        <f t="shared" si="18"/>
        <v>0</v>
      </c>
      <c r="K109" s="143">
        <f t="shared" si="19"/>
        <v>0</v>
      </c>
      <c r="L109" s="142">
        <f t="shared" si="20"/>
        <v>0</v>
      </c>
      <c r="M109" s="142">
        <f t="shared" si="21"/>
        <v>0</v>
      </c>
      <c r="N109" s="142">
        <f t="shared" si="22"/>
        <v>0</v>
      </c>
      <c r="O109" s="59">
        <f t="shared" si="23"/>
        <v>0</v>
      </c>
      <c r="P109" s="142">
        <f t="shared" si="24"/>
        <v>0</v>
      </c>
      <c r="Q109" s="142">
        <f t="shared" si="25"/>
        <v>0</v>
      </c>
      <c r="R109" s="142">
        <f t="shared" si="26"/>
        <v>29793.58</v>
      </c>
      <c r="S109" s="142">
        <f t="shared" si="27"/>
        <v>0</v>
      </c>
      <c r="T109" s="142">
        <f t="shared" si="28"/>
        <v>0</v>
      </c>
      <c r="U109" s="60">
        <f t="shared" si="29"/>
        <v>29793.58</v>
      </c>
    </row>
    <row r="110" spans="1:24" x14ac:dyDescent="0.2">
      <c r="A110" s="115"/>
      <c r="B110" s="139" t="s">
        <v>519</v>
      </c>
      <c r="C110" s="140" t="s">
        <v>520</v>
      </c>
      <c r="D110" s="141">
        <v>45856</v>
      </c>
      <c r="E110" s="141">
        <v>45886</v>
      </c>
      <c r="F110" s="57">
        <v>192200</v>
      </c>
      <c r="G110" s="58">
        <f t="shared" si="15"/>
        <v>-136</v>
      </c>
      <c r="H110" s="142">
        <f t="shared" si="16"/>
        <v>0</v>
      </c>
      <c r="I110" s="142">
        <f t="shared" si="17"/>
        <v>0</v>
      </c>
      <c r="J110" s="143">
        <f t="shared" si="18"/>
        <v>192200</v>
      </c>
      <c r="K110" s="143">
        <f t="shared" si="19"/>
        <v>0</v>
      </c>
      <c r="L110" s="142">
        <f t="shared" si="20"/>
        <v>0</v>
      </c>
      <c r="M110" s="142">
        <f t="shared" si="21"/>
        <v>0</v>
      </c>
      <c r="N110" s="142">
        <f t="shared" si="22"/>
        <v>0</v>
      </c>
      <c r="O110" s="59">
        <f t="shared" si="23"/>
        <v>192200</v>
      </c>
      <c r="P110" s="142">
        <f t="shared" si="24"/>
        <v>0</v>
      </c>
      <c r="Q110" s="142">
        <f t="shared" si="25"/>
        <v>0</v>
      </c>
      <c r="R110" s="142">
        <f t="shared" si="26"/>
        <v>0</v>
      </c>
      <c r="S110" s="142">
        <f t="shared" si="27"/>
        <v>0</v>
      </c>
      <c r="T110" s="142">
        <f t="shared" si="28"/>
        <v>0</v>
      </c>
      <c r="U110" s="60">
        <f t="shared" si="29"/>
        <v>0</v>
      </c>
    </row>
    <row r="111" spans="1:24" x14ac:dyDescent="0.2">
      <c r="A111" s="115"/>
      <c r="B111" s="139" t="s">
        <v>128</v>
      </c>
      <c r="C111" s="140" t="s">
        <v>934</v>
      </c>
      <c r="D111" s="141">
        <v>46002</v>
      </c>
      <c r="E111" s="141">
        <v>46062</v>
      </c>
      <c r="F111" s="57">
        <v>31180.29</v>
      </c>
      <c r="G111" s="58">
        <f t="shared" si="15"/>
        <v>40</v>
      </c>
      <c r="H111" s="142">
        <f t="shared" si="16"/>
        <v>0</v>
      </c>
      <c r="I111" s="142">
        <f t="shared" si="17"/>
        <v>0</v>
      </c>
      <c r="J111" s="143">
        <f t="shared" si="18"/>
        <v>0</v>
      </c>
      <c r="K111" s="143">
        <f t="shared" si="19"/>
        <v>0</v>
      </c>
      <c r="L111" s="142">
        <f t="shared" si="20"/>
        <v>0</v>
      </c>
      <c r="M111" s="142">
        <f t="shared" si="21"/>
        <v>0</v>
      </c>
      <c r="N111" s="142">
        <f t="shared" si="22"/>
        <v>0</v>
      </c>
      <c r="O111" s="59">
        <f t="shared" si="23"/>
        <v>0</v>
      </c>
      <c r="P111" s="142">
        <f t="shared" si="24"/>
        <v>0</v>
      </c>
      <c r="Q111" s="142">
        <f t="shared" si="25"/>
        <v>31180.29</v>
      </c>
      <c r="R111" s="142">
        <f t="shared" si="26"/>
        <v>0</v>
      </c>
      <c r="S111" s="142">
        <f t="shared" si="27"/>
        <v>0</v>
      </c>
      <c r="T111" s="142">
        <f t="shared" si="28"/>
        <v>0</v>
      </c>
      <c r="U111" s="60">
        <f t="shared" si="29"/>
        <v>31180.29</v>
      </c>
    </row>
    <row r="112" spans="1:24" x14ac:dyDescent="0.2">
      <c r="A112" s="115"/>
      <c r="B112" s="139" t="s">
        <v>478</v>
      </c>
      <c r="C112" s="140" t="s">
        <v>431</v>
      </c>
      <c r="D112" s="141">
        <v>45813</v>
      </c>
      <c r="E112" s="141">
        <v>45884</v>
      </c>
      <c r="F112" s="57">
        <v>12515</v>
      </c>
      <c r="G112" s="58">
        <f t="shared" si="15"/>
        <v>-138</v>
      </c>
      <c r="H112" s="142">
        <f t="shared" si="16"/>
        <v>0</v>
      </c>
      <c r="I112" s="142">
        <f t="shared" si="17"/>
        <v>0</v>
      </c>
      <c r="J112" s="143">
        <f t="shared" si="18"/>
        <v>12515</v>
      </c>
      <c r="K112" s="143">
        <f t="shared" si="19"/>
        <v>0</v>
      </c>
      <c r="L112" s="142">
        <f t="shared" si="20"/>
        <v>0</v>
      </c>
      <c r="M112" s="142">
        <f t="shared" si="21"/>
        <v>0</v>
      </c>
      <c r="N112" s="142">
        <f t="shared" si="22"/>
        <v>0</v>
      </c>
      <c r="O112" s="59">
        <f t="shared" si="23"/>
        <v>12515</v>
      </c>
      <c r="P112" s="142">
        <f t="shared" si="24"/>
        <v>0</v>
      </c>
      <c r="Q112" s="142">
        <f t="shared" si="25"/>
        <v>0</v>
      </c>
      <c r="R112" s="142">
        <f t="shared" si="26"/>
        <v>0</v>
      </c>
      <c r="S112" s="142">
        <f t="shared" si="27"/>
        <v>0</v>
      </c>
      <c r="T112" s="142">
        <f t="shared" si="28"/>
        <v>0</v>
      </c>
      <c r="U112" s="60">
        <f t="shared" si="29"/>
        <v>0</v>
      </c>
    </row>
    <row r="113" spans="1:24" x14ac:dyDescent="0.2">
      <c r="A113" s="115"/>
      <c r="B113" s="139" t="s">
        <v>478</v>
      </c>
      <c r="C113" s="140" t="s">
        <v>431</v>
      </c>
      <c r="D113" s="141">
        <v>45813</v>
      </c>
      <c r="E113" s="141">
        <v>45898</v>
      </c>
      <c r="F113" s="57">
        <v>12515</v>
      </c>
      <c r="G113" s="58">
        <f t="shared" si="15"/>
        <v>-124</v>
      </c>
      <c r="H113" s="142">
        <f t="shared" si="16"/>
        <v>0</v>
      </c>
      <c r="I113" s="142">
        <f t="shared" si="17"/>
        <v>0</v>
      </c>
      <c r="J113" s="143">
        <f t="shared" si="18"/>
        <v>12515</v>
      </c>
      <c r="K113" s="143">
        <f t="shared" si="19"/>
        <v>0</v>
      </c>
      <c r="L113" s="142">
        <f t="shared" si="20"/>
        <v>0</v>
      </c>
      <c r="M113" s="142">
        <f t="shared" si="21"/>
        <v>0</v>
      </c>
      <c r="N113" s="142">
        <f t="shared" si="22"/>
        <v>0</v>
      </c>
      <c r="O113" s="59">
        <f t="shared" si="23"/>
        <v>12515</v>
      </c>
      <c r="P113" s="142">
        <f t="shared" si="24"/>
        <v>0</v>
      </c>
      <c r="Q113" s="142">
        <f t="shared" si="25"/>
        <v>0</v>
      </c>
      <c r="R113" s="142">
        <f t="shared" si="26"/>
        <v>0</v>
      </c>
      <c r="S113" s="142">
        <f t="shared" si="27"/>
        <v>0</v>
      </c>
      <c r="T113" s="142">
        <f t="shared" si="28"/>
        <v>0</v>
      </c>
      <c r="U113" s="60">
        <f t="shared" si="29"/>
        <v>0</v>
      </c>
    </row>
    <row r="114" spans="1:24" x14ac:dyDescent="0.2">
      <c r="A114" s="115"/>
      <c r="B114" s="139" t="s">
        <v>478</v>
      </c>
      <c r="C114" s="140" t="s">
        <v>431</v>
      </c>
      <c r="D114" s="141">
        <v>45813</v>
      </c>
      <c r="E114" s="141">
        <v>45915</v>
      </c>
      <c r="F114" s="57">
        <v>12515</v>
      </c>
      <c r="G114" s="58">
        <f t="shared" si="15"/>
        <v>-107</v>
      </c>
      <c r="H114" s="142">
        <f t="shared" si="16"/>
        <v>0</v>
      </c>
      <c r="I114" s="142">
        <f t="shared" si="17"/>
        <v>0</v>
      </c>
      <c r="J114" s="143">
        <f t="shared" si="18"/>
        <v>0</v>
      </c>
      <c r="K114" s="143">
        <f t="shared" si="19"/>
        <v>12515</v>
      </c>
      <c r="L114" s="142">
        <f t="shared" si="20"/>
        <v>0</v>
      </c>
      <c r="M114" s="142">
        <f t="shared" si="21"/>
        <v>0</v>
      </c>
      <c r="N114" s="142">
        <f t="shared" si="22"/>
        <v>0</v>
      </c>
      <c r="O114" s="59">
        <f t="shared" si="23"/>
        <v>12515</v>
      </c>
      <c r="P114" s="142">
        <f t="shared" si="24"/>
        <v>0</v>
      </c>
      <c r="Q114" s="142">
        <f t="shared" si="25"/>
        <v>0</v>
      </c>
      <c r="R114" s="142">
        <f t="shared" si="26"/>
        <v>0</v>
      </c>
      <c r="S114" s="142">
        <f t="shared" si="27"/>
        <v>0</v>
      </c>
      <c r="T114" s="142">
        <f t="shared" si="28"/>
        <v>0</v>
      </c>
      <c r="U114" s="60">
        <f t="shared" si="29"/>
        <v>0</v>
      </c>
    </row>
    <row r="115" spans="1:24" x14ac:dyDescent="0.2">
      <c r="A115" s="115"/>
      <c r="B115" s="139" t="s">
        <v>478</v>
      </c>
      <c r="C115" s="140" t="s">
        <v>564</v>
      </c>
      <c r="D115" s="141">
        <v>45891</v>
      </c>
      <c r="E115" s="141">
        <v>45915</v>
      </c>
      <c r="F115" s="57">
        <v>14300</v>
      </c>
      <c r="G115" s="58">
        <f t="shared" si="15"/>
        <v>-107</v>
      </c>
      <c r="H115" s="142">
        <f t="shared" si="16"/>
        <v>0</v>
      </c>
      <c r="I115" s="142">
        <f t="shared" si="17"/>
        <v>0</v>
      </c>
      <c r="J115" s="143">
        <f t="shared" si="18"/>
        <v>0</v>
      </c>
      <c r="K115" s="143">
        <f t="shared" si="19"/>
        <v>14300</v>
      </c>
      <c r="L115" s="142">
        <f t="shared" si="20"/>
        <v>0</v>
      </c>
      <c r="M115" s="142">
        <f t="shared" si="21"/>
        <v>0</v>
      </c>
      <c r="N115" s="142">
        <f t="shared" si="22"/>
        <v>0</v>
      </c>
      <c r="O115" s="59">
        <f t="shared" si="23"/>
        <v>14300</v>
      </c>
      <c r="P115" s="142">
        <f t="shared" si="24"/>
        <v>0</v>
      </c>
      <c r="Q115" s="142">
        <f t="shared" si="25"/>
        <v>0</v>
      </c>
      <c r="R115" s="142">
        <f t="shared" si="26"/>
        <v>0</v>
      </c>
      <c r="S115" s="142">
        <f t="shared" si="27"/>
        <v>0</v>
      </c>
      <c r="T115" s="142">
        <f t="shared" si="28"/>
        <v>0</v>
      </c>
      <c r="U115" s="60">
        <f t="shared" si="29"/>
        <v>0</v>
      </c>
    </row>
    <row r="116" spans="1:24" x14ac:dyDescent="0.2">
      <c r="A116" s="115"/>
      <c r="B116" s="139" t="s">
        <v>478</v>
      </c>
      <c r="C116" s="140" t="s">
        <v>431</v>
      </c>
      <c r="D116" s="141">
        <v>45813</v>
      </c>
      <c r="E116" s="141">
        <v>45930</v>
      </c>
      <c r="F116" s="57">
        <v>12515</v>
      </c>
      <c r="G116" s="58">
        <f t="shared" si="15"/>
        <v>-92</v>
      </c>
      <c r="H116" s="142">
        <f t="shared" si="16"/>
        <v>0</v>
      </c>
      <c r="I116" s="142">
        <f t="shared" si="17"/>
        <v>0</v>
      </c>
      <c r="J116" s="143">
        <f t="shared" si="18"/>
        <v>0</v>
      </c>
      <c r="K116" s="143">
        <f t="shared" si="19"/>
        <v>12515</v>
      </c>
      <c r="L116" s="142">
        <f t="shared" si="20"/>
        <v>0</v>
      </c>
      <c r="M116" s="142">
        <f t="shared" si="21"/>
        <v>0</v>
      </c>
      <c r="N116" s="142">
        <f t="shared" si="22"/>
        <v>0</v>
      </c>
      <c r="O116" s="59">
        <f t="shared" si="23"/>
        <v>12515</v>
      </c>
      <c r="P116" s="142">
        <f t="shared" si="24"/>
        <v>0</v>
      </c>
      <c r="Q116" s="142">
        <f t="shared" si="25"/>
        <v>0</v>
      </c>
      <c r="R116" s="142">
        <f t="shared" si="26"/>
        <v>0</v>
      </c>
      <c r="S116" s="142">
        <f t="shared" si="27"/>
        <v>0</v>
      </c>
      <c r="T116" s="142">
        <f t="shared" si="28"/>
        <v>0</v>
      </c>
      <c r="U116" s="60">
        <f t="shared" si="29"/>
        <v>0</v>
      </c>
    </row>
    <row r="117" spans="1:24" x14ac:dyDescent="0.2">
      <c r="A117" s="115"/>
      <c r="B117" s="139" t="s">
        <v>478</v>
      </c>
      <c r="C117" s="140" t="s">
        <v>564</v>
      </c>
      <c r="D117" s="141">
        <v>45891</v>
      </c>
      <c r="E117" s="141">
        <v>45930</v>
      </c>
      <c r="F117" s="57">
        <v>14300</v>
      </c>
      <c r="G117" s="58">
        <f t="shared" si="15"/>
        <v>-92</v>
      </c>
      <c r="H117" s="142">
        <f t="shared" si="16"/>
        <v>0</v>
      </c>
      <c r="I117" s="142">
        <f t="shared" si="17"/>
        <v>0</v>
      </c>
      <c r="J117" s="143">
        <f t="shared" si="18"/>
        <v>0</v>
      </c>
      <c r="K117" s="143">
        <f t="shared" si="19"/>
        <v>14300</v>
      </c>
      <c r="L117" s="142">
        <f t="shared" si="20"/>
        <v>0</v>
      </c>
      <c r="M117" s="142">
        <f t="shared" si="21"/>
        <v>0</v>
      </c>
      <c r="N117" s="142">
        <f t="shared" si="22"/>
        <v>0</v>
      </c>
      <c r="O117" s="59">
        <f t="shared" si="23"/>
        <v>14300</v>
      </c>
      <c r="P117" s="142">
        <f t="shared" si="24"/>
        <v>0</v>
      </c>
      <c r="Q117" s="142">
        <f t="shared" si="25"/>
        <v>0</v>
      </c>
      <c r="R117" s="142">
        <f t="shared" si="26"/>
        <v>0</v>
      </c>
      <c r="S117" s="142">
        <f t="shared" si="27"/>
        <v>0</v>
      </c>
      <c r="T117" s="142">
        <f t="shared" si="28"/>
        <v>0</v>
      </c>
      <c r="U117" s="60">
        <f t="shared" si="29"/>
        <v>0</v>
      </c>
    </row>
    <row r="118" spans="1:24" x14ac:dyDescent="0.2">
      <c r="A118" s="115"/>
      <c r="B118" s="139" t="s">
        <v>478</v>
      </c>
      <c r="C118" s="140" t="s">
        <v>564</v>
      </c>
      <c r="D118" s="141">
        <v>45891</v>
      </c>
      <c r="E118" s="141">
        <v>45945</v>
      </c>
      <c r="F118" s="57">
        <v>14300</v>
      </c>
      <c r="G118" s="58">
        <f t="shared" si="15"/>
        <v>-77</v>
      </c>
      <c r="H118" s="142">
        <f t="shared" si="16"/>
        <v>0</v>
      </c>
      <c r="I118" s="142">
        <f t="shared" si="17"/>
        <v>0</v>
      </c>
      <c r="J118" s="143">
        <f t="shared" si="18"/>
        <v>0</v>
      </c>
      <c r="K118" s="143">
        <f t="shared" si="19"/>
        <v>0</v>
      </c>
      <c r="L118" s="142">
        <f t="shared" si="20"/>
        <v>14300</v>
      </c>
      <c r="M118" s="142">
        <f t="shared" si="21"/>
        <v>0</v>
      </c>
      <c r="N118" s="142">
        <f t="shared" si="22"/>
        <v>0</v>
      </c>
      <c r="O118" s="59">
        <f t="shared" si="23"/>
        <v>14300</v>
      </c>
      <c r="P118" s="142">
        <f t="shared" si="24"/>
        <v>0</v>
      </c>
      <c r="Q118" s="142">
        <f t="shared" si="25"/>
        <v>0</v>
      </c>
      <c r="R118" s="142">
        <f t="shared" si="26"/>
        <v>0</v>
      </c>
      <c r="S118" s="142">
        <f t="shared" si="27"/>
        <v>0</v>
      </c>
      <c r="T118" s="142">
        <f t="shared" si="28"/>
        <v>0</v>
      </c>
      <c r="U118" s="60">
        <f t="shared" si="29"/>
        <v>0</v>
      </c>
    </row>
    <row r="119" spans="1:24" x14ac:dyDescent="0.2">
      <c r="A119" s="115"/>
      <c r="B119" s="139" t="s">
        <v>478</v>
      </c>
      <c r="C119" s="140" t="s">
        <v>564</v>
      </c>
      <c r="D119" s="141">
        <v>45891</v>
      </c>
      <c r="E119" s="141">
        <v>45961</v>
      </c>
      <c r="F119" s="57">
        <v>14300</v>
      </c>
      <c r="G119" s="58">
        <f t="shared" si="15"/>
        <v>-61</v>
      </c>
      <c r="H119" s="142">
        <f t="shared" si="16"/>
        <v>0</v>
      </c>
      <c r="I119" s="142">
        <f t="shared" si="17"/>
        <v>0</v>
      </c>
      <c r="J119" s="143">
        <f t="shared" si="18"/>
        <v>0</v>
      </c>
      <c r="K119" s="143">
        <f t="shared" si="19"/>
        <v>0</v>
      </c>
      <c r="L119" s="142">
        <f t="shared" si="20"/>
        <v>14300</v>
      </c>
      <c r="M119" s="142">
        <f t="shared" si="21"/>
        <v>0</v>
      </c>
      <c r="N119" s="142">
        <f t="shared" si="22"/>
        <v>0</v>
      </c>
      <c r="O119" s="59">
        <f t="shared" si="23"/>
        <v>14300</v>
      </c>
      <c r="P119" s="142">
        <f t="shared" si="24"/>
        <v>0</v>
      </c>
      <c r="Q119" s="142">
        <f t="shared" si="25"/>
        <v>0</v>
      </c>
      <c r="R119" s="142">
        <f t="shared" si="26"/>
        <v>0</v>
      </c>
      <c r="S119" s="142">
        <f t="shared" si="27"/>
        <v>0</v>
      </c>
      <c r="T119" s="142">
        <f t="shared" si="28"/>
        <v>0</v>
      </c>
      <c r="U119" s="60">
        <f t="shared" si="29"/>
        <v>0</v>
      </c>
    </row>
    <row r="120" spans="1:24" x14ac:dyDescent="0.2">
      <c r="A120" s="115"/>
      <c r="B120" s="139" t="s">
        <v>478</v>
      </c>
      <c r="C120" s="140" t="s">
        <v>564</v>
      </c>
      <c r="D120" s="141">
        <v>45891</v>
      </c>
      <c r="E120" s="141">
        <v>45975</v>
      </c>
      <c r="F120" s="57">
        <v>14300</v>
      </c>
      <c r="G120" s="58">
        <f t="shared" si="15"/>
        <v>-47</v>
      </c>
      <c r="H120" s="142">
        <f t="shared" si="16"/>
        <v>0</v>
      </c>
      <c r="I120" s="142">
        <f t="shared" si="17"/>
        <v>0</v>
      </c>
      <c r="J120" s="143">
        <f t="shared" si="18"/>
        <v>0</v>
      </c>
      <c r="K120" s="143">
        <f t="shared" si="19"/>
        <v>0</v>
      </c>
      <c r="L120" s="142">
        <f t="shared" si="20"/>
        <v>0</v>
      </c>
      <c r="M120" s="142">
        <f t="shared" si="21"/>
        <v>14300</v>
      </c>
      <c r="N120" s="142">
        <f t="shared" si="22"/>
        <v>0</v>
      </c>
      <c r="O120" s="59">
        <f t="shared" si="23"/>
        <v>14300</v>
      </c>
      <c r="P120" s="142">
        <f t="shared" si="24"/>
        <v>0</v>
      </c>
      <c r="Q120" s="142">
        <f t="shared" si="25"/>
        <v>0</v>
      </c>
      <c r="R120" s="142">
        <f t="shared" si="26"/>
        <v>0</v>
      </c>
      <c r="S120" s="142">
        <f t="shared" si="27"/>
        <v>0</v>
      </c>
      <c r="T120" s="142">
        <f t="shared" si="28"/>
        <v>0</v>
      </c>
      <c r="U120" s="60">
        <f t="shared" si="29"/>
        <v>0</v>
      </c>
    </row>
    <row r="121" spans="1:24" x14ac:dyDescent="0.2">
      <c r="A121" s="115"/>
      <c r="B121" s="139" t="s">
        <v>935</v>
      </c>
      <c r="C121" s="140" t="s">
        <v>936</v>
      </c>
      <c r="D121" s="141">
        <v>46002</v>
      </c>
      <c r="E121" s="141">
        <v>46062</v>
      </c>
      <c r="F121" s="57">
        <v>32500</v>
      </c>
      <c r="G121" s="58">
        <f t="shared" si="15"/>
        <v>40</v>
      </c>
      <c r="H121" s="142">
        <f t="shared" si="16"/>
        <v>0</v>
      </c>
      <c r="I121" s="142">
        <f t="shared" si="17"/>
        <v>0</v>
      </c>
      <c r="J121" s="143">
        <f t="shared" si="18"/>
        <v>0</v>
      </c>
      <c r="K121" s="143">
        <f t="shared" si="19"/>
        <v>0</v>
      </c>
      <c r="L121" s="142">
        <f t="shared" si="20"/>
        <v>0</v>
      </c>
      <c r="M121" s="142">
        <f t="shared" si="21"/>
        <v>0</v>
      </c>
      <c r="N121" s="142">
        <f t="shared" si="22"/>
        <v>0</v>
      </c>
      <c r="O121" s="59">
        <f t="shared" si="23"/>
        <v>0</v>
      </c>
      <c r="P121" s="142">
        <f t="shared" si="24"/>
        <v>0</v>
      </c>
      <c r="Q121" s="142">
        <f t="shared" si="25"/>
        <v>32500</v>
      </c>
      <c r="R121" s="142">
        <f t="shared" si="26"/>
        <v>0</v>
      </c>
      <c r="S121" s="142">
        <f t="shared" si="27"/>
        <v>0</v>
      </c>
      <c r="T121" s="142">
        <f t="shared" si="28"/>
        <v>0</v>
      </c>
      <c r="U121" s="60">
        <f t="shared" si="29"/>
        <v>32500</v>
      </c>
    </row>
    <row r="122" spans="1:24" x14ac:dyDescent="0.2">
      <c r="A122" s="115"/>
      <c r="B122" s="139" t="s">
        <v>374</v>
      </c>
      <c r="C122" s="140" t="s">
        <v>129</v>
      </c>
      <c r="D122" s="141">
        <v>39897</v>
      </c>
      <c r="E122" s="141">
        <v>40017</v>
      </c>
      <c r="F122" s="57">
        <v>2034.5</v>
      </c>
      <c r="G122" s="58">
        <f t="shared" si="15"/>
        <v>-6005</v>
      </c>
      <c r="H122" s="142">
        <f t="shared" si="16"/>
        <v>2034.5</v>
      </c>
      <c r="I122" s="142">
        <f t="shared" si="17"/>
        <v>0</v>
      </c>
      <c r="J122" s="143">
        <f t="shared" si="18"/>
        <v>0</v>
      </c>
      <c r="K122" s="143">
        <f t="shared" si="19"/>
        <v>0</v>
      </c>
      <c r="L122" s="142">
        <f t="shared" si="20"/>
        <v>0</v>
      </c>
      <c r="M122" s="142">
        <f t="shared" si="21"/>
        <v>0</v>
      </c>
      <c r="N122" s="142">
        <f t="shared" si="22"/>
        <v>0</v>
      </c>
      <c r="O122" s="59">
        <f t="shared" si="23"/>
        <v>2034.5</v>
      </c>
      <c r="P122" s="142">
        <f t="shared" si="24"/>
        <v>0</v>
      </c>
      <c r="Q122" s="142">
        <f t="shared" si="25"/>
        <v>0</v>
      </c>
      <c r="R122" s="142">
        <f t="shared" si="26"/>
        <v>0</v>
      </c>
      <c r="S122" s="142">
        <f t="shared" si="27"/>
        <v>0</v>
      </c>
      <c r="T122" s="142">
        <f t="shared" si="28"/>
        <v>0</v>
      </c>
      <c r="U122" s="60">
        <f t="shared" si="29"/>
        <v>0</v>
      </c>
    </row>
    <row r="123" spans="1:24" s="183" customFormat="1" x14ac:dyDescent="0.2">
      <c r="A123" s="173"/>
      <c r="B123" s="174" t="s">
        <v>433</v>
      </c>
      <c r="C123" s="175" t="s">
        <v>630</v>
      </c>
      <c r="D123" s="176">
        <v>45901</v>
      </c>
      <c r="E123" s="176">
        <v>45991</v>
      </c>
      <c r="F123" s="177">
        <v>90000</v>
      </c>
      <c r="G123" s="178">
        <f t="shared" si="15"/>
        <v>-31</v>
      </c>
      <c r="H123" s="179">
        <f t="shared" si="16"/>
        <v>0</v>
      </c>
      <c r="I123" s="179">
        <f t="shared" si="17"/>
        <v>0</v>
      </c>
      <c r="J123" s="180">
        <f t="shared" si="18"/>
        <v>0</v>
      </c>
      <c r="K123" s="180">
        <f t="shared" si="19"/>
        <v>0</v>
      </c>
      <c r="L123" s="179">
        <f t="shared" si="20"/>
        <v>0</v>
      </c>
      <c r="M123" s="179">
        <f t="shared" si="21"/>
        <v>90000</v>
      </c>
      <c r="N123" s="179">
        <f t="shared" si="22"/>
        <v>0</v>
      </c>
      <c r="O123" s="179">
        <f t="shared" si="23"/>
        <v>90000</v>
      </c>
      <c r="P123" s="179">
        <f t="shared" si="24"/>
        <v>0</v>
      </c>
      <c r="Q123" s="179">
        <f t="shared" si="25"/>
        <v>0</v>
      </c>
      <c r="R123" s="179">
        <f t="shared" si="26"/>
        <v>0</v>
      </c>
      <c r="S123" s="179">
        <f t="shared" si="27"/>
        <v>0</v>
      </c>
      <c r="T123" s="179">
        <f t="shared" si="28"/>
        <v>0</v>
      </c>
      <c r="U123" s="181">
        <f t="shared" si="29"/>
        <v>0</v>
      </c>
      <c r="V123" s="182"/>
      <c r="W123" s="182"/>
      <c r="X123" s="182"/>
    </row>
    <row r="124" spans="1:24" s="183" customFormat="1" x14ac:dyDescent="0.2">
      <c r="A124" s="173"/>
      <c r="B124" s="174" t="s">
        <v>433</v>
      </c>
      <c r="C124" s="175" t="s">
        <v>937</v>
      </c>
      <c r="D124" s="176">
        <v>46009</v>
      </c>
      <c r="E124" s="176">
        <v>46099</v>
      </c>
      <c r="F124" s="177">
        <v>4690</v>
      </c>
      <c r="G124" s="178">
        <f t="shared" si="15"/>
        <v>77</v>
      </c>
      <c r="H124" s="179">
        <f t="shared" si="16"/>
        <v>0</v>
      </c>
      <c r="I124" s="179">
        <f t="shared" si="17"/>
        <v>0</v>
      </c>
      <c r="J124" s="180">
        <f t="shared" si="18"/>
        <v>0</v>
      </c>
      <c r="K124" s="180">
        <f t="shared" si="19"/>
        <v>0</v>
      </c>
      <c r="L124" s="179">
        <f t="shared" si="20"/>
        <v>0</v>
      </c>
      <c r="M124" s="179">
        <f t="shared" si="21"/>
        <v>0</v>
      </c>
      <c r="N124" s="179">
        <f t="shared" si="22"/>
        <v>0</v>
      </c>
      <c r="O124" s="179">
        <f t="shared" si="23"/>
        <v>0</v>
      </c>
      <c r="P124" s="179">
        <f t="shared" si="24"/>
        <v>0</v>
      </c>
      <c r="Q124" s="179">
        <f t="shared" si="25"/>
        <v>0</v>
      </c>
      <c r="R124" s="179">
        <f t="shared" si="26"/>
        <v>4690</v>
      </c>
      <c r="S124" s="179">
        <f t="shared" si="27"/>
        <v>0</v>
      </c>
      <c r="T124" s="179">
        <f t="shared" si="28"/>
        <v>0</v>
      </c>
      <c r="U124" s="181">
        <f t="shared" si="29"/>
        <v>4690</v>
      </c>
      <c r="V124" s="182"/>
      <c r="W124" s="182"/>
      <c r="X124" s="182"/>
    </row>
    <row r="125" spans="1:24" x14ac:dyDescent="0.2">
      <c r="A125" s="115"/>
      <c r="B125" s="139" t="s">
        <v>366</v>
      </c>
      <c r="C125" s="140" t="s">
        <v>432</v>
      </c>
      <c r="D125" s="141">
        <v>45831</v>
      </c>
      <c r="E125" s="141">
        <v>45951</v>
      </c>
      <c r="F125" s="57">
        <v>132300</v>
      </c>
      <c r="G125" s="58">
        <f t="shared" si="15"/>
        <v>-71</v>
      </c>
      <c r="H125" s="142">
        <f t="shared" si="16"/>
        <v>0</v>
      </c>
      <c r="I125" s="142">
        <f t="shared" si="17"/>
        <v>0</v>
      </c>
      <c r="J125" s="143">
        <f t="shared" si="18"/>
        <v>0</v>
      </c>
      <c r="K125" s="143">
        <f t="shared" si="19"/>
        <v>0</v>
      </c>
      <c r="L125" s="142">
        <f t="shared" si="20"/>
        <v>132300</v>
      </c>
      <c r="M125" s="142">
        <f t="shared" si="21"/>
        <v>0</v>
      </c>
      <c r="N125" s="142">
        <f t="shared" si="22"/>
        <v>0</v>
      </c>
      <c r="O125" s="59">
        <f t="shared" si="23"/>
        <v>132300</v>
      </c>
      <c r="P125" s="142">
        <f t="shared" si="24"/>
        <v>0</v>
      </c>
      <c r="Q125" s="142">
        <f t="shared" si="25"/>
        <v>0</v>
      </c>
      <c r="R125" s="142">
        <f t="shared" si="26"/>
        <v>0</v>
      </c>
      <c r="S125" s="142">
        <f t="shared" si="27"/>
        <v>0</v>
      </c>
      <c r="T125" s="142">
        <f t="shared" si="28"/>
        <v>0</v>
      </c>
      <c r="U125" s="60">
        <f t="shared" si="29"/>
        <v>0</v>
      </c>
    </row>
    <row r="126" spans="1:24" x14ac:dyDescent="0.2">
      <c r="A126" s="115"/>
      <c r="B126" s="139" t="s">
        <v>366</v>
      </c>
      <c r="C126" s="140" t="s">
        <v>631</v>
      </c>
      <c r="D126" s="141">
        <v>45918</v>
      </c>
      <c r="E126" s="141">
        <v>46037</v>
      </c>
      <c r="F126" s="57">
        <v>44034</v>
      </c>
      <c r="G126" s="58">
        <f t="shared" si="15"/>
        <v>15</v>
      </c>
      <c r="H126" s="142">
        <f t="shared" si="16"/>
        <v>0</v>
      </c>
      <c r="I126" s="142">
        <f t="shared" si="17"/>
        <v>0</v>
      </c>
      <c r="J126" s="143">
        <f t="shared" si="18"/>
        <v>0</v>
      </c>
      <c r="K126" s="143">
        <f t="shared" si="19"/>
        <v>0</v>
      </c>
      <c r="L126" s="142">
        <f t="shared" si="20"/>
        <v>0</v>
      </c>
      <c r="M126" s="142">
        <f t="shared" si="21"/>
        <v>0</v>
      </c>
      <c r="N126" s="142">
        <f t="shared" si="22"/>
        <v>0</v>
      </c>
      <c r="O126" s="59">
        <f t="shared" si="23"/>
        <v>0</v>
      </c>
      <c r="P126" s="142">
        <f t="shared" si="24"/>
        <v>44034</v>
      </c>
      <c r="Q126" s="142">
        <f t="shared" si="25"/>
        <v>0</v>
      </c>
      <c r="R126" s="142">
        <f t="shared" si="26"/>
        <v>0</v>
      </c>
      <c r="S126" s="142">
        <f t="shared" si="27"/>
        <v>0</v>
      </c>
      <c r="T126" s="142">
        <f t="shared" si="28"/>
        <v>0</v>
      </c>
      <c r="U126" s="60">
        <f t="shared" si="29"/>
        <v>44034</v>
      </c>
    </row>
    <row r="127" spans="1:24" x14ac:dyDescent="0.2">
      <c r="A127" s="115"/>
      <c r="B127" s="139" t="s">
        <v>366</v>
      </c>
      <c r="C127" s="140" t="s">
        <v>632</v>
      </c>
      <c r="D127" s="141">
        <v>45919</v>
      </c>
      <c r="E127" s="141">
        <v>46039</v>
      </c>
      <c r="F127" s="57">
        <v>77996</v>
      </c>
      <c r="G127" s="58">
        <f t="shared" si="15"/>
        <v>17</v>
      </c>
      <c r="H127" s="142">
        <f t="shared" si="16"/>
        <v>0</v>
      </c>
      <c r="I127" s="142">
        <f t="shared" si="17"/>
        <v>0</v>
      </c>
      <c r="J127" s="143">
        <f t="shared" si="18"/>
        <v>0</v>
      </c>
      <c r="K127" s="143">
        <f t="shared" si="19"/>
        <v>0</v>
      </c>
      <c r="L127" s="142">
        <f t="shared" si="20"/>
        <v>0</v>
      </c>
      <c r="M127" s="142">
        <f t="shared" si="21"/>
        <v>0</v>
      </c>
      <c r="N127" s="142">
        <f t="shared" si="22"/>
        <v>0</v>
      </c>
      <c r="O127" s="59">
        <f t="shared" si="23"/>
        <v>0</v>
      </c>
      <c r="P127" s="142">
        <f t="shared" si="24"/>
        <v>77996</v>
      </c>
      <c r="Q127" s="142">
        <f t="shared" si="25"/>
        <v>0</v>
      </c>
      <c r="R127" s="142">
        <f t="shared" si="26"/>
        <v>0</v>
      </c>
      <c r="S127" s="142">
        <f t="shared" si="27"/>
        <v>0</v>
      </c>
      <c r="T127" s="142">
        <f t="shared" si="28"/>
        <v>0</v>
      </c>
      <c r="U127" s="60">
        <f t="shared" si="29"/>
        <v>77996</v>
      </c>
    </row>
    <row r="128" spans="1:24" x14ac:dyDescent="0.2">
      <c r="A128" s="115"/>
      <c r="B128" s="139" t="s">
        <v>366</v>
      </c>
      <c r="C128" s="140" t="s">
        <v>938</v>
      </c>
      <c r="D128" s="141">
        <v>46021</v>
      </c>
      <c r="E128" s="141">
        <v>46141</v>
      </c>
      <c r="F128" s="57">
        <v>56249.23</v>
      </c>
      <c r="G128" s="58">
        <f t="shared" si="15"/>
        <v>119</v>
      </c>
      <c r="H128" s="142">
        <f t="shared" si="16"/>
        <v>0</v>
      </c>
      <c r="I128" s="142">
        <f t="shared" si="17"/>
        <v>0</v>
      </c>
      <c r="J128" s="143">
        <f t="shared" si="18"/>
        <v>0</v>
      </c>
      <c r="K128" s="143">
        <f t="shared" si="19"/>
        <v>0</v>
      </c>
      <c r="L128" s="142">
        <f t="shared" si="20"/>
        <v>0</v>
      </c>
      <c r="M128" s="142">
        <f t="shared" si="21"/>
        <v>0</v>
      </c>
      <c r="N128" s="142">
        <f t="shared" si="22"/>
        <v>0</v>
      </c>
      <c r="O128" s="59">
        <f t="shared" si="23"/>
        <v>0</v>
      </c>
      <c r="P128" s="142">
        <f t="shared" si="24"/>
        <v>0</v>
      </c>
      <c r="Q128" s="142">
        <f t="shared" si="25"/>
        <v>0</v>
      </c>
      <c r="R128" s="142">
        <f t="shared" si="26"/>
        <v>0</v>
      </c>
      <c r="S128" s="142">
        <f t="shared" si="27"/>
        <v>56249.23</v>
      </c>
      <c r="T128" s="142">
        <f t="shared" si="28"/>
        <v>0</v>
      </c>
      <c r="U128" s="60">
        <f t="shared" si="29"/>
        <v>56249.23</v>
      </c>
    </row>
    <row r="129" spans="1:21" x14ac:dyDescent="0.2">
      <c r="A129" s="115"/>
      <c r="B129" s="139" t="s">
        <v>479</v>
      </c>
      <c r="C129" s="140" t="s">
        <v>490</v>
      </c>
      <c r="D129" s="141">
        <v>44721</v>
      </c>
      <c r="E129" s="141">
        <v>45879</v>
      </c>
      <c r="F129" s="57">
        <v>8102</v>
      </c>
      <c r="G129" s="58">
        <f t="shared" si="15"/>
        <v>-143</v>
      </c>
      <c r="H129" s="142">
        <f t="shared" si="16"/>
        <v>0</v>
      </c>
      <c r="I129" s="142">
        <f t="shared" si="17"/>
        <v>0</v>
      </c>
      <c r="J129" s="143">
        <f t="shared" si="18"/>
        <v>8102</v>
      </c>
      <c r="K129" s="143">
        <f t="shared" si="19"/>
        <v>0</v>
      </c>
      <c r="L129" s="142">
        <f t="shared" si="20"/>
        <v>0</v>
      </c>
      <c r="M129" s="142">
        <f t="shared" si="21"/>
        <v>0</v>
      </c>
      <c r="N129" s="142">
        <f t="shared" si="22"/>
        <v>0</v>
      </c>
      <c r="O129" s="59">
        <f t="shared" si="23"/>
        <v>8102</v>
      </c>
      <c r="P129" s="142">
        <f t="shared" si="24"/>
        <v>0</v>
      </c>
      <c r="Q129" s="142">
        <f t="shared" si="25"/>
        <v>0</v>
      </c>
      <c r="R129" s="142">
        <f t="shared" si="26"/>
        <v>0</v>
      </c>
      <c r="S129" s="142">
        <f t="shared" si="27"/>
        <v>0</v>
      </c>
      <c r="T129" s="142">
        <f t="shared" si="28"/>
        <v>0</v>
      </c>
      <c r="U129" s="60">
        <f t="shared" si="29"/>
        <v>0</v>
      </c>
    </row>
    <row r="130" spans="1:21" x14ac:dyDescent="0.2">
      <c r="A130" s="115"/>
      <c r="B130" s="139" t="s">
        <v>479</v>
      </c>
      <c r="C130" s="140" t="s">
        <v>491</v>
      </c>
      <c r="D130" s="141">
        <v>44721</v>
      </c>
      <c r="E130" s="141">
        <v>45910</v>
      </c>
      <c r="F130" s="57">
        <v>8102</v>
      </c>
      <c r="G130" s="58">
        <f t="shared" si="15"/>
        <v>-112</v>
      </c>
      <c r="H130" s="142">
        <f t="shared" si="16"/>
        <v>0</v>
      </c>
      <c r="I130" s="142">
        <f t="shared" si="17"/>
        <v>0</v>
      </c>
      <c r="J130" s="143">
        <f t="shared" si="18"/>
        <v>0</v>
      </c>
      <c r="K130" s="143">
        <f t="shared" si="19"/>
        <v>8102</v>
      </c>
      <c r="L130" s="142">
        <f t="shared" si="20"/>
        <v>0</v>
      </c>
      <c r="M130" s="142">
        <f t="shared" si="21"/>
        <v>0</v>
      </c>
      <c r="N130" s="142">
        <f t="shared" si="22"/>
        <v>0</v>
      </c>
      <c r="O130" s="59">
        <f t="shared" si="23"/>
        <v>8102</v>
      </c>
      <c r="P130" s="142">
        <f t="shared" si="24"/>
        <v>0</v>
      </c>
      <c r="Q130" s="142">
        <f t="shared" si="25"/>
        <v>0</v>
      </c>
      <c r="R130" s="142">
        <f t="shared" si="26"/>
        <v>0</v>
      </c>
      <c r="S130" s="142">
        <f t="shared" si="27"/>
        <v>0</v>
      </c>
      <c r="T130" s="142">
        <f t="shared" si="28"/>
        <v>0</v>
      </c>
      <c r="U130" s="60">
        <f t="shared" si="29"/>
        <v>0</v>
      </c>
    </row>
    <row r="131" spans="1:21" x14ac:dyDescent="0.2">
      <c r="A131" s="115"/>
      <c r="B131" s="139" t="s">
        <v>479</v>
      </c>
      <c r="C131" s="140" t="s">
        <v>492</v>
      </c>
      <c r="D131" s="141">
        <v>44721</v>
      </c>
      <c r="E131" s="141">
        <v>45940</v>
      </c>
      <c r="F131" s="57">
        <v>8102</v>
      </c>
      <c r="G131" s="58">
        <f t="shared" si="15"/>
        <v>-82</v>
      </c>
      <c r="H131" s="142">
        <f t="shared" si="16"/>
        <v>0</v>
      </c>
      <c r="I131" s="142">
        <f t="shared" si="17"/>
        <v>0</v>
      </c>
      <c r="J131" s="143">
        <f t="shared" si="18"/>
        <v>0</v>
      </c>
      <c r="K131" s="143">
        <f t="shared" si="19"/>
        <v>0</v>
      </c>
      <c r="L131" s="142">
        <f t="shared" si="20"/>
        <v>8102</v>
      </c>
      <c r="M131" s="142">
        <f t="shared" si="21"/>
        <v>0</v>
      </c>
      <c r="N131" s="142">
        <f t="shared" si="22"/>
        <v>0</v>
      </c>
      <c r="O131" s="59">
        <f t="shared" si="23"/>
        <v>8102</v>
      </c>
      <c r="P131" s="142">
        <f t="shared" si="24"/>
        <v>0</v>
      </c>
      <c r="Q131" s="142">
        <f t="shared" si="25"/>
        <v>0</v>
      </c>
      <c r="R131" s="142">
        <f t="shared" si="26"/>
        <v>0</v>
      </c>
      <c r="S131" s="142">
        <f t="shared" si="27"/>
        <v>0</v>
      </c>
      <c r="T131" s="142">
        <f t="shared" si="28"/>
        <v>0</v>
      </c>
      <c r="U131" s="60">
        <f t="shared" si="29"/>
        <v>0</v>
      </c>
    </row>
    <row r="132" spans="1:21" x14ac:dyDescent="0.2">
      <c r="A132" s="115"/>
      <c r="B132" s="139" t="s">
        <v>479</v>
      </c>
      <c r="C132" s="140" t="s">
        <v>493</v>
      </c>
      <c r="D132" s="141">
        <v>44721</v>
      </c>
      <c r="E132" s="141">
        <v>46001</v>
      </c>
      <c r="F132" s="57">
        <v>8102</v>
      </c>
      <c r="G132" s="58">
        <f t="shared" si="15"/>
        <v>-21</v>
      </c>
      <c r="H132" s="142">
        <f t="shared" si="16"/>
        <v>0</v>
      </c>
      <c r="I132" s="142">
        <f t="shared" si="17"/>
        <v>0</v>
      </c>
      <c r="J132" s="143">
        <f t="shared" si="18"/>
        <v>0</v>
      </c>
      <c r="K132" s="143">
        <f t="shared" si="19"/>
        <v>0</v>
      </c>
      <c r="L132" s="142">
        <f t="shared" si="20"/>
        <v>0</v>
      </c>
      <c r="M132" s="142">
        <f t="shared" si="21"/>
        <v>0</v>
      </c>
      <c r="N132" s="142">
        <f t="shared" si="22"/>
        <v>8102</v>
      </c>
      <c r="O132" s="59">
        <f t="shared" si="23"/>
        <v>8102</v>
      </c>
      <c r="P132" s="142">
        <f t="shared" si="24"/>
        <v>0</v>
      </c>
      <c r="Q132" s="142">
        <f t="shared" si="25"/>
        <v>0</v>
      </c>
      <c r="R132" s="142">
        <f t="shared" si="26"/>
        <v>0</v>
      </c>
      <c r="S132" s="142">
        <f t="shared" si="27"/>
        <v>0</v>
      </c>
      <c r="T132" s="142">
        <f t="shared" si="28"/>
        <v>0</v>
      </c>
      <c r="U132" s="60">
        <f t="shared" si="29"/>
        <v>0</v>
      </c>
    </row>
    <row r="133" spans="1:21" x14ac:dyDescent="0.2">
      <c r="A133" s="115"/>
      <c r="B133" s="139" t="s">
        <v>479</v>
      </c>
      <c r="C133" s="140" t="s">
        <v>489</v>
      </c>
      <c r="D133" s="141">
        <v>44721</v>
      </c>
      <c r="E133" s="141">
        <v>46032</v>
      </c>
      <c r="F133" s="57">
        <v>8102</v>
      </c>
      <c r="G133" s="58">
        <f t="shared" si="15"/>
        <v>10</v>
      </c>
      <c r="H133" s="142">
        <f t="shared" si="16"/>
        <v>0</v>
      </c>
      <c r="I133" s="142">
        <f t="shared" si="17"/>
        <v>0</v>
      </c>
      <c r="J133" s="143">
        <f t="shared" si="18"/>
        <v>0</v>
      </c>
      <c r="K133" s="143">
        <f t="shared" si="19"/>
        <v>0</v>
      </c>
      <c r="L133" s="142">
        <f t="shared" si="20"/>
        <v>0</v>
      </c>
      <c r="M133" s="142">
        <f t="shared" si="21"/>
        <v>0</v>
      </c>
      <c r="N133" s="142">
        <f t="shared" si="22"/>
        <v>0</v>
      </c>
      <c r="O133" s="59">
        <f t="shared" si="23"/>
        <v>0</v>
      </c>
      <c r="P133" s="142">
        <f t="shared" si="24"/>
        <v>8102</v>
      </c>
      <c r="Q133" s="142">
        <f t="shared" si="25"/>
        <v>0</v>
      </c>
      <c r="R133" s="142">
        <f t="shared" si="26"/>
        <v>0</v>
      </c>
      <c r="S133" s="142">
        <f t="shared" si="27"/>
        <v>0</v>
      </c>
      <c r="T133" s="142">
        <f t="shared" si="28"/>
        <v>0</v>
      </c>
      <c r="U133" s="60">
        <f t="shared" si="29"/>
        <v>8102</v>
      </c>
    </row>
    <row r="134" spans="1:21" x14ac:dyDescent="0.2">
      <c r="A134" s="115"/>
      <c r="B134" s="139" t="s">
        <v>50</v>
      </c>
      <c r="C134" s="140" t="s">
        <v>805</v>
      </c>
      <c r="D134" s="141">
        <v>45932</v>
      </c>
      <c r="E134" s="141">
        <v>46052</v>
      </c>
      <c r="F134" s="57">
        <v>29763.58</v>
      </c>
      <c r="G134" s="58">
        <f t="shared" si="15"/>
        <v>30</v>
      </c>
      <c r="H134" s="142">
        <f t="shared" si="16"/>
        <v>0</v>
      </c>
      <c r="I134" s="142">
        <f t="shared" si="17"/>
        <v>0</v>
      </c>
      <c r="J134" s="143">
        <f t="shared" si="18"/>
        <v>0</v>
      </c>
      <c r="K134" s="143">
        <f t="shared" si="19"/>
        <v>0</v>
      </c>
      <c r="L134" s="142">
        <f t="shared" si="20"/>
        <v>0</v>
      </c>
      <c r="M134" s="142">
        <f t="shared" si="21"/>
        <v>0</v>
      </c>
      <c r="N134" s="142">
        <f t="shared" si="22"/>
        <v>0</v>
      </c>
      <c r="O134" s="59">
        <f t="shared" si="23"/>
        <v>0</v>
      </c>
      <c r="P134" s="142">
        <f t="shared" si="24"/>
        <v>29763.58</v>
      </c>
      <c r="Q134" s="142">
        <f t="shared" si="25"/>
        <v>0</v>
      </c>
      <c r="R134" s="142">
        <f t="shared" si="26"/>
        <v>0</v>
      </c>
      <c r="S134" s="142">
        <f t="shared" si="27"/>
        <v>0</v>
      </c>
      <c r="T134" s="142">
        <f t="shared" si="28"/>
        <v>0</v>
      </c>
      <c r="U134" s="60">
        <f t="shared" si="29"/>
        <v>29763.58</v>
      </c>
    </row>
    <row r="135" spans="1:21" x14ac:dyDescent="0.2">
      <c r="A135" s="115"/>
      <c r="B135" s="139" t="s">
        <v>50</v>
      </c>
      <c r="C135" s="140" t="s">
        <v>853</v>
      </c>
      <c r="D135" s="141">
        <v>45975</v>
      </c>
      <c r="E135" s="141">
        <v>46095</v>
      </c>
      <c r="F135" s="57">
        <v>14000</v>
      </c>
      <c r="G135" s="58">
        <f t="shared" ref="G135:G198" si="30">E135-$H$3</f>
        <v>73</v>
      </c>
      <c r="H135" s="142">
        <f t="shared" ref="H135:H198" si="31">IF(AND($G135&gt;=-8000,$G135&lt;=-181),$F135,0)</f>
        <v>0</v>
      </c>
      <c r="I135" s="142">
        <f t="shared" ref="I135:I198" si="32">IF(AND($G135&gt;=-180,$G135&lt;=-151),$F135,0)</f>
        <v>0</v>
      </c>
      <c r="J135" s="143">
        <f t="shared" ref="J135:J198" si="33">IF(AND($G135&gt;=-150,$G135&lt;=-121),$F135,0)</f>
        <v>0</v>
      </c>
      <c r="K135" s="143">
        <f t="shared" ref="K135:K198" si="34">IF(AND($G135&gt;=-120,$G135&lt;=-91),$F135,0)</f>
        <v>0</v>
      </c>
      <c r="L135" s="142">
        <f t="shared" ref="L135:L198" si="35">IF(AND($G135&gt;=-90,$G135&lt;=-61),$F135,0)</f>
        <v>0</v>
      </c>
      <c r="M135" s="142">
        <f t="shared" ref="M135:M198" si="36">IF(AND($G135&gt;=-60,$G135&lt;=-31),$F135,0)</f>
        <v>0</v>
      </c>
      <c r="N135" s="142">
        <f t="shared" ref="N135:N198" si="37">IF(AND($G135&gt;=-30,$G135&lt;=-1),$F135,0)</f>
        <v>0</v>
      </c>
      <c r="O135" s="59">
        <f t="shared" ref="O135:O198" si="38">SUM(H135:N135)</f>
        <v>0</v>
      </c>
      <c r="P135" s="142">
        <f t="shared" ref="P135:P198" si="39">IF(AND($G135&lt;=30,$G135&gt;=0),$F135,0)</f>
        <v>0</v>
      </c>
      <c r="Q135" s="142">
        <f t="shared" ref="Q135:Q198" si="40">IF(AND($G135&lt;=60,$G135&gt;=31),$F135,0)</f>
        <v>0</v>
      </c>
      <c r="R135" s="142">
        <f t="shared" ref="R135:R198" si="41">IF(AND($G135&lt;=90,$G135&gt;=61),$F135,0)</f>
        <v>14000</v>
      </c>
      <c r="S135" s="142">
        <f t="shared" ref="S135:S198" si="42">IF(AND($G135&lt;=120,$G135&gt;=91),$F135,0)</f>
        <v>0</v>
      </c>
      <c r="T135" s="142">
        <f t="shared" ref="T135:T198" si="43">IF(G135&gt;=121,F135,0)</f>
        <v>0</v>
      </c>
      <c r="U135" s="60">
        <f t="shared" ref="U135:U198" si="44">SUM(P135:T135)</f>
        <v>14000</v>
      </c>
    </row>
    <row r="136" spans="1:21" x14ac:dyDescent="0.2">
      <c r="A136" s="115"/>
      <c r="B136" s="139" t="s">
        <v>50</v>
      </c>
      <c r="C136" s="140" t="s">
        <v>939</v>
      </c>
      <c r="D136" s="141">
        <v>45994</v>
      </c>
      <c r="E136" s="141">
        <v>46114</v>
      </c>
      <c r="F136" s="57">
        <v>30377.47</v>
      </c>
      <c r="G136" s="58">
        <f t="shared" si="30"/>
        <v>92</v>
      </c>
      <c r="H136" s="142">
        <f t="shared" si="31"/>
        <v>0</v>
      </c>
      <c r="I136" s="142">
        <f t="shared" si="32"/>
        <v>0</v>
      </c>
      <c r="J136" s="143">
        <f t="shared" si="33"/>
        <v>0</v>
      </c>
      <c r="K136" s="143">
        <f t="shared" si="34"/>
        <v>0</v>
      </c>
      <c r="L136" s="142">
        <f t="shared" si="35"/>
        <v>0</v>
      </c>
      <c r="M136" s="142">
        <f t="shared" si="36"/>
        <v>0</v>
      </c>
      <c r="N136" s="142">
        <f t="shared" si="37"/>
        <v>0</v>
      </c>
      <c r="O136" s="59">
        <f t="shared" si="38"/>
        <v>0</v>
      </c>
      <c r="P136" s="142">
        <f t="shared" si="39"/>
        <v>0</v>
      </c>
      <c r="Q136" s="142">
        <f t="shared" si="40"/>
        <v>0</v>
      </c>
      <c r="R136" s="142">
        <f t="shared" si="41"/>
        <v>0</v>
      </c>
      <c r="S136" s="142">
        <f t="shared" si="42"/>
        <v>30377.47</v>
      </c>
      <c r="T136" s="142">
        <f t="shared" si="43"/>
        <v>0</v>
      </c>
      <c r="U136" s="60">
        <f t="shared" si="44"/>
        <v>30377.47</v>
      </c>
    </row>
    <row r="137" spans="1:21" x14ac:dyDescent="0.2">
      <c r="A137" s="115"/>
      <c r="B137" s="139" t="s">
        <v>50</v>
      </c>
      <c r="C137" s="140" t="s">
        <v>940</v>
      </c>
      <c r="D137" s="141">
        <v>46009</v>
      </c>
      <c r="E137" s="141">
        <v>46129</v>
      </c>
      <c r="F137" s="57">
        <v>29763.58</v>
      </c>
      <c r="G137" s="58">
        <f t="shared" si="30"/>
        <v>107</v>
      </c>
      <c r="H137" s="142">
        <f t="shared" si="31"/>
        <v>0</v>
      </c>
      <c r="I137" s="142">
        <f t="shared" si="32"/>
        <v>0</v>
      </c>
      <c r="J137" s="143">
        <f t="shared" si="33"/>
        <v>0</v>
      </c>
      <c r="K137" s="143">
        <f t="shared" si="34"/>
        <v>0</v>
      </c>
      <c r="L137" s="142">
        <f t="shared" si="35"/>
        <v>0</v>
      </c>
      <c r="M137" s="142">
        <f t="shared" si="36"/>
        <v>0</v>
      </c>
      <c r="N137" s="142">
        <f t="shared" si="37"/>
        <v>0</v>
      </c>
      <c r="O137" s="59">
        <f t="shared" si="38"/>
        <v>0</v>
      </c>
      <c r="P137" s="142">
        <f t="shared" si="39"/>
        <v>0</v>
      </c>
      <c r="Q137" s="142">
        <f t="shared" si="40"/>
        <v>0</v>
      </c>
      <c r="R137" s="142">
        <f t="shared" si="41"/>
        <v>0</v>
      </c>
      <c r="S137" s="142">
        <f t="shared" si="42"/>
        <v>29763.58</v>
      </c>
      <c r="T137" s="142">
        <f t="shared" si="43"/>
        <v>0</v>
      </c>
      <c r="U137" s="60">
        <f t="shared" si="44"/>
        <v>29763.58</v>
      </c>
    </row>
    <row r="138" spans="1:21" x14ac:dyDescent="0.2">
      <c r="A138" s="115"/>
      <c r="B138" s="139" t="s">
        <v>50</v>
      </c>
      <c r="C138" s="140" t="s">
        <v>941</v>
      </c>
      <c r="D138" s="141">
        <v>46021</v>
      </c>
      <c r="E138" s="141">
        <v>46141</v>
      </c>
      <c r="F138" s="57">
        <v>29763.58</v>
      </c>
      <c r="G138" s="58">
        <f t="shared" si="30"/>
        <v>119</v>
      </c>
      <c r="H138" s="142">
        <f t="shared" si="31"/>
        <v>0</v>
      </c>
      <c r="I138" s="142">
        <f t="shared" si="32"/>
        <v>0</v>
      </c>
      <c r="J138" s="143">
        <f t="shared" si="33"/>
        <v>0</v>
      </c>
      <c r="K138" s="143">
        <f t="shared" si="34"/>
        <v>0</v>
      </c>
      <c r="L138" s="142">
        <f t="shared" si="35"/>
        <v>0</v>
      </c>
      <c r="M138" s="142">
        <f t="shared" si="36"/>
        <v>0</v>
      </c>
      <c r="N138" s="142">
        <f t="shared" si="37"/>
        <v>0</v>
      </c>
      <c r="O138" s="59">
        <f t="shared" si="38"/>
        <v>0</v>
      </c>
      <c r="P138" s="142">
        <f t="shared" si="39"/>
        <v>0</v>
      </c>
      <c r="Q138" s="142">
        <f t="shared" si="40"/>
        <v>0</v>
      </c>
      <c r="R138" s="142">
        <f t="shared" si="41"/>
        <v>0</v>
      </c>
      <c r="S138" s="142">
        <f t="shared" si="42"/>
        <v>29763.58</v>
      </c>
      <c r="T138" s="142">
        <f t="shared" si="43"/>
        <v>0</v>
      </c>
      <c r="U138" s="60">
        <f t="shared" si="44"/>
        <v>29763.58</v>
      </c>
    </row>
    <row r="139" spans="1:21" x14ac:dyDescent="0.2">
      <c r="A139" s="115"/>
      <c r="B139" s="139" t="s">
        <v>633</v>
      </c>
      <c r="C139" s="140" t="s">
        <v>736</v>
      </c>
      <c r="D139" s="141">
        <v>45933</v>
      </c>
      <c r="E139" s="141">
        <v>46023</v>
      </c>
      <c r="F139" s="57">
        <v>4888.66</v>
      </c>
      <c r="G139" s="58">
        <f t="shared" si="30"/>
        <v>1</v>
      </c>
      <c r="H139" s="142">
        <f t="shared" si="31"/>
        <v>0</v>
      </c>
      <c r="I139" s="142">
        <f t="shared" si="32"/>
        <v>0</v>
      </c>
      <c r="J139" s="143">
        <f t="shared" si="33"/>
        <v>0</v>
      </c>
      <c r="K139" s="143">
        <f t="shared" si="34"/>
        <v>0</v>
      </c>
      <c r="L139" s="142">
        <f t="shared" si="35"/>
        <v>0</v>
      </c>
      <c r="M139" s="142">
        <f t="shared" si="36"/>
        <v>0</v>
      </c>
      <c r="N139" s="142">
        <f t="shared" si="37"/>
        <v>0</v>
      </c>
      <c r="O139" s="59">
        <f t="shared" si="38"/>
        <v>0</v>
      </c>
      <c r="P139" s="142">
        <f t="shared" si="39"/>
        <v>4888.66</v>
      </c>
      <c r="Q139" s="142">
        <f t="shared" si="40"/>
        <v>0</v>
      </c>
      <c r="R139" s="142">
        <f t="shared" si="41"/>
        <v>0</v>
      </c>
      <c r="S139" s="142">
        <f t="shared" si="42"/>
        <v>0</v>
      </c>
      <c r="T139" s="142">
        <f t="shared" si="43"/>
        <v>0</v>
      </c>
      <c r="U139" s="60">
        <f t="shared" si="44"/>
        <v>4888.66</v>
      </c>
    </row>
    <row r="140" spans="1:21" x14ac:dyDescent="0.2">
      <c r="A140" s="115"/>
      <c r="B140" s="139" t="s">
        <v>633</v>
      </c>
      <c r="C140" s="140" t="s">
        <v>942</v>
      </c>
      <c r="D140" s="141">
        <v>46014</v>
      </c>
      <c r="E140" s="141">
        <v>46044</v>
      </c>
      <c r="F140" s="57">
        <v>9822.25</v>
      </c>
      <c r="G140" s="58">
        <f t="shared" si="30"/>
        <v>22</v>
      </c>
      <c r="H140" s="142">
        <f t="shared" si="31"/>
        <v>0</v>
      </c>
      <c r="I140" s="142">
        <f t="shared" si="32"/>
        <v>0</v>
      </c>
      <c r="J140" s="143">
        <f t="shared" si="33"/>
        <v>0</v>
      </c>
      <c r="K140" s="143">
        <f t="shared" si="34"/>
        <v>0</v>
      </c>
      <c r="L140" s="142">
        <f t="shared" si="35"/>
        <v>0</v>
      </c>
      <c r="M140" s="142">
        <f t="shared" si="36"/>
        <v>0</v>
      </c>
      <c r="N140" s="142">
        <f t="shared" si="37"/>
        <v>0</v>
      </c>
      <c r="O140" s="59">
        <f t="shared" si="38"/>
        <v>0</v>
      </c>
      <c r="P140" s="142">
        <f t="shared" si="39"/>
        <v>9822.25</v>
      </c>
      <c r="Q140" s="142">
        <f t="shared" si="40"/>
        <v>0</v>
      </c>
      <c r="R140" s="142">
        <f t="shared" si="41"/>
        <v>0</v>
      </c>
      <c r="S140" s="142">
        <f t="shared" si="42"/>
        <v>0</v>
      </c>
      <c r="T140" s="142">
        <f t="shared" si="43"/>
        <v>0</v>
      </c>
      <c r="U140" s="60">
        <f t="shared" si="44"/>
        <v>9822.25</v>
      </c>
    </row>
    <row r="141" spans="1:21" x14ac:dyDescent="0.2">
      <c r="A141" s="115"/>
      <c r="B141" s="139" t="s">
        <v>633</v>
      </c>
      <c r="C141" s="140" t="s">
        <v>942</v>
      </c>
      <c r="D141" s="141">
        <v>46014</v>
      </c>
      <c r="E141" s="141">
        <v>46074</v>
      </c>
      <c r="F141" s="57">
        <v>9822.25</v>
      </c>
      <c r="G141" s="58">
        <f t="shared" si="30"/>
        <v>52</v>
      </c>
      <c r="H141" s="142">
        <f t="shared" si="31"/>
        <v>0</v>
      </c>
      <c r="I141" s="142">
        <f t="shared" si="32"/>
        <v>0</v>
      </c>
      <c r="J141" s="143">
        <f t="shared" si="33"/>
        <v>0</v>
      </c>
      <c r="K141" s="143">
        <f t="shared" si="34"/>
        <v>0</v>
      </c>
      <c r="L141" s="142">
        <f t="shared" si="35"/>
        <v>0</v>
      </c>
      <c r="M141" s="142">
        <f t="shared" si="36"/>
        <v>0</v>
      </c>
      <c r="N141" s="142">
        <f t="shared" si="37"/>
        <v>0</v>
      </c>
      <c r="O141" s="59">
        <f t="shared" si="38"/>
        <v>0</v>
      </c>
      <c r="P141" s="142">
        <f t="shared" si="39"/>
        <v>0</v>
      </c>
      <c r="Q141" s="142">
        <f t="shared" si="40"/>
        <v>9822.25</v>
      </c>
      <c r="R141" s="142">
        <f t="shared" si="41"/>
        <v>0</v>
      </c>
      <c r="S141" s="142">
        <f t="shared" si="42"/>
        <v>0</v>
      </c>
      <c r="T141" s="142">
        <f t="shared" si="43"/>
        <v>0</v>
      </c>
      <c r="U141" s="60">
        <f t="shared" si="44"/>
        <v>9822.25</v>
      </c>
    </row>
    <row r="142" spans="1:21" x14ac:dyDescent="0.2">
      <c r="A142" s="115"/>
      <c r="B142" s="139" t="s">
        <v>633</v>
      </c>
      <c r="C142" s="140" t="s">
        <v>942</v>
      </c>
      <c r="D142" s="141">
        <v>46014</v>
      </c>
      <c r="E142" s="141">
        <v>46104</v>
      </c>
      <c r="F142" s="57">
        <v>9822.25</v>
      </c>
      <c r="G142" s="58">
        <f t="shared" si="30"/>
        <v>82</v>
      </c>
      <c r="H142" s="142">
        <f t="shared" si="31"/>
        <v>0</v>
      </c>
      <c r="I142" s="142">
        <f t="shared" si="32"/>
        <v>0</v>
      </c>
      <c r="J142" s="143">
        <f t="shared" si="33"/>
        <v>0</v>
      </c>
      <c r="K142" s="143">
        <f t="shared" si="34"/>
        <v>0</v>
      </c>
      <c r="L142" s="142">
        <f t="shared" si="35"/>
        <v>0</v>
      </c>
      <c r="M142" s="142">
        <f t="shared" si="36"/>
        <v>0</v>
      </c>
      <c r="N142" s="142">
        <f t="shared" si="37"/>
        <v>0</v>
      </c>
      <c r="O142" s="59">
        <f t="shared" si="38"/>
        <v>0</v>
      </c>
      <c r="P142" s="142">
        <f t="shared" si="39"/>
        <v>0</v>
      </c>
      <c r="Q142" s="142">
        <f t="shared" si="40"/>
        <v>0</v>
      </c>
      <c r="R142" s="142">
        <f t="shared" si="41"/>
        <v>9822.25</v>
      </c>
      <c r="S142" s="142">
        <f t="shared" si="42"/>
        <v>0</v>
      </c>
      <c r="T142" s="142">
        <f t="shared" si="43"/>
        <v>0</v>
      </c>
      <c r="U142" s="60">
        <f t="shared" si="44"/>
        <v>9822.25</v>
      </c>
    </row>
    <row r="143" spans="1:21" x14ac:dyDescent="0.2">
      <c r="A143" s="115"/>
      <c r="B143" s="139" t="s">
        <v>633</v>
      </c>
      <c r="C143" s="140" t="s">
        <v>942</v>
      </c>
      <c r="D143" s="141">
        <v>46014</v>
      </c>
      <c r="E143" s="141">
        <v>46134</v>
      </c>
      <c r="F143" s="57">
        <v>9822.25</v>
      </c>
      <c r="G143" s="58">
        <f t="shared" si="30"/>
        <v>112</v>
      </c>
      <c r="H143" s="142">
        <f t="shared" si="31"/>
        <v>0</v>
      </c>
      <c r="I143" s="142">
        <f t="shared" si="32"/>
        <v>0</v>
      </c>
      <c r="J143" s="143">
        <f t="shared" si="33"/>
        <v>0</v>
      </c>
      <c r="K143" s="143">
        <f t="shared" si="34"/>
        <v>0</v>
      </c>
      <c r="L143" s="142">
        <f t="shared" si="35"/>
        <v>0</v>
      </c>
      <c r="M143" s="142">
        <f t="shared" si="36"/>
        <v>0</v>
      </c>
      <c r="N143" s="142">
        <f t="shared" si="37"/>
        <v>0</v>
      </c>
      <c r="O143" s="59">
        <f t="shared" si="38"/>
        <v>0</v>
      </c>
      <c r="P143" s="142">
        <f t="shared" si="39"/>
        <v>0</v>
      </c>
      <c r="Q143" s="142">
        <f t="shared" si="40"/>
        <v>0</v>
      </c>
      <c r="R143" s="142">
        <f t="shared" si="41"/>
        <v>0</v>
      </c>
      <c r="S143" s="142">
        <f t="shared" si="42"/>
        <v>9822.25</v>
      </c>
      <c r="T143" s="142">
        <f t="shared" si="43"/>
        <v>0</v>
      </c>
      <c r="U143" s="60">
        <f t="shared" si="44"/>
        <v>9822.25</v>
      </c>
    </row>
    <row r="144" spans="1:21" x14ac:dyDescent="0.2">
      <c r="A144" s="115"/>
      <c r="B144" s="139" t="s">
        <v>634</v>
      </c>
      <c r="C144" s="140" t="s">
        <v>635</v>
      </c>
      <c r="D144" s="141">
        <v>45911</v>
      </c>
      <c r="E144" s="141">
        <v>46001</v>
      </c>
      <c r="F144" s="57">
        <v>97675</v>
      </c>
      <c r="G144" s="58">
        <f t="shared" si="30"/>
        <v>-21</v>
      </c>
      <c r="H144" s="142">
        <f t="shared" si="31"/>
        <v>0</v>
      </c>
      <c r="I144" s="142">
        <f t="shared" si="32"/>
        <v>0</v>
      </c>
      <c r="J144" s="143">
        <f t="shared" si="33"/>
        <v>0</v>
      </c>
      <c r="K144" s="143">
        <f t="shared" si="34"/>
        <v>0</v>
      </c>
      <c r="L144" s="142">
        <f t="shared" si="35"/>
        <v>0</v>
      </c>
      <c r="M144" s="142">
        <f t="shared" si="36"/>
        <v>0</v>
      </c>
      <c r="N144" s="142">
        <f t="shared" si="37"/>
        <v>97675</v>
      </c>
      <c r="O144" s="59">
        <f t="shared" si="38"/>
        <v>97675</v>
      </c>
      <c r="P144" s="142">
        <f t="shared" si="39"/>
        <v>0</v>
      </c>
      <c r="Q144" s="142">
        <f t="shared" si="40"/>
        <v>0</v>
      </c>
      <c r="R144" s="142">
        <f t="shared" si="41"/>
        <v>0</v>
      </c>
      <c r="S144" s="142">
        <f t="shared" si="42"/>
        <v>0</v>
      </c>
      <c r="T144" s="142">
        <f t="shared" si="43"/>
        <v>0</v>
      </c>
      <c r="U144" s="60">
        <f t="shared" si="44"/>
        <v>0</v>
      </c>
    </row>
    <row r="145" spans="1:21" x14ac:dyDescent="0.2">
      <c r="A145" s="115"/>
      <c r="B145" s="139" t="s">
        <v>494</v>
      </c>
      <c r="C145" s="140" t="s">
        <v>131</v>
      </c>
      <c r="D145" s="141">
        <v>44203</v>
      </c>
      <c r="E145" s="141">
        <v>44293</v>
      </c>
      <c r="F145" s="57">
        <v>3000</v>
      </c>
      <c r="G145" s="58">
        <f t="shared" si="30"/>
        <v>-1729</v>
      </c>
      <c r="H145" s="142">
        <f t="shared" si="31"/>
        <v>3000</v>
      </c>
      <c r="I145" s="142">
        <f t="shared" si="32"/>
        <v>0</v>
      </c>
      <c r="J145" s="143">
        <f t="shared" si="33"/>
        <v>0</v>
      </c>
      <c r="K145" s="143">
        <f t="shared" si="34"/>
        <v>0</v>
      </c>
      <c r="L145" s="142">
        <f t="shared" si="35"/>
        <v>0</v>
      </c>
      <c r="M145" s="142">
        <f t="shared" si="36"/>
        <v>0</v>
      </c>
      <c r="N145" s="142">
        <f t="shared" si="37"/>
        <v>0</v>
      </c>
      <c r="O145" s="59">
        <f t="shared" si="38"/>
        <v>3000</v>
      </c>
      <c r="P145" s="142">
        <f t="shared" si="39"/>
        <v>0</v>
      </c>
      <c r="Q145" s="142">
        <f t="shared" si="40"/>
        <v>0</v>
      </c>
      <c r="R145" s="142">
        <f t="shared" si="41"/>
        <v>0</v>
      </c>
      <c r="S145" s="142">
        <f t="shared" si="42"/>
        <v>0</v>
      </c>
      <c r="T145" s="142">
        <f t="shared" si="43"/>
        <v>0</v>
      </c>
      <c r="U145" s="60">
        <f t="shared" si="44"/>
        <v>0</v>
      </c>
    </row>
    <row r="146" spans="1:21" x14ac:dyDescent="0.2">
      <c r="A146" s="115"/>
      <c r="B146" s="139" t="s">
        <v>494</v>
      </c>
      <c r="C146" s="140" t="s">
        <v>132</v>
      </c>
      <c r="D146" s="141">
        <v>44204</v>
      </c>
      <c r="E146" s="141">
        <v>44294</v>
      </c>
      <c r="F146" s="57">
        <v>600</v>
      </c>
      <c r="G146" s="58">
        <f t="shared" si="30"/>
        <v>-1728</v>
      </c>
      <c r="H146" s="142">
        <f t="shared" si="31"/>
        <v>600</v>
      </c>
      <c r="I146" s="142">
        <f t="shared" si="32"/>
        <v>0</v>
      </c>
      <c r="J146" s="143">
        <f t="shared" si="33"/>
        <v>0</v>
      </c>
      <c r="K146" s="143">
        <f t="shared" si="34"/>
        <v>0</v>
      </c>
      <c r="L146" s="142">
        <f t="shared" si="35"/>
        <v>0</v>
      </c>
      <c r="M146" s="142">
        <f t="shared" si="36"/>
        <v>0</v>
      </c>
      <c r="N146" s="142">
        <f t="shared" si="37"/>
        <v>0</v>
      </c>
      <c r="O146" s="59">
        <f t="shared" si="38"/>
        <v>600</v>
      </c>
      <c r="P146" s="142">
        <f t="shared" si="39"/>
        <v>0</v>
      </c>
      <c r="Q146" s="142">
        <f t="shared" si="40"/>
        <v>0</v>
      </c>
      <c r="R146" s="142">
        <f t="shared" si="41"/>
        <v>0</v>
      </c>
      <c r="S146" s="142">
        <f t="shared" si="42"/>
        <v>0</v>
      </c>
      <c r="T146" s="142">
        <f t="shared" si="43"/>
        <v>0</v>
      </c>
      <c r="U146" s="60">
        <f t="shared" si="44"/>
        <v>0</v>
      </c>
    </row>
    <row r="147" spans="1:21" x14ac:dyDescent="0.2">
      <c r="A147" s="115"/>
      <c r="B147" s="139" t="s">
        <v>494</v>
      </c>
      <c r="C147" s="140" t="s">
        <v>133</v>
      </c>
      <c r="D147" s="141">
        <v>44225</v>
      </c>
      <c r="E147" s="141">
        <v>44315</v>
      </c>
      <c r="F147" s="57">
        <v>1200</v>
      </c>
      <c r="G147" s="58">
        <f t="shared" si="30"/>
        <v>-1707</v>
      </c>
      <c r="H147" s="142">
        <f t="shared" si="31"/>
        <v>1200</v>
      </c>
      <c r="I147" s="142">
        <f t="shared" si="32"/>
        <v>0</v>
      </c>
      <c r="J147" s="143">
        <f t="shared" si="33"/>
        <v>0</v>
      </c>
      <c r="K147" s="143">
        <f t="shared" si="34"/>
        <v>0</v>
      </c>
      <c r="L147" s="142">
        <f t="shared" si="35"/>
        <v>0</v>
      </c>
      <c r="M147" s="142">
        <f t="shared" si="36"/>
        <v>0</v>
      </c>
      <c r="N147" s="142">
        <f t="shared" si="37"/>
        <v>0</v>
      </c>
      <c r="O147" s="59">
        <f t="shared" si="38"/>
        <v>1200</v>
      </c>
      <c r="P147" s="142">
        <f t="shared" si="39"/>
        <v>0</v>
      </c>
      <c r="Q147" s="142">
        <f t="shared" si="40"/>
        <v>0</v>
      </c>
      <c r="R147" s="142">
        <f t="shared" si="41"/>
        <v>0</v>
      </c>
      <c r="S147" s="142">
        <f t="shared" si="42"/>
        <v>0</v>
      </c>
      <c r="T147" s="142">
        <f t="shared" si="43"/>
        <v>0</v>
      </c>
      <c r="U147" s="60">
        <f t="shared" si="44"/>
        <v>0</v>
      </c>
    </row>
    <row r="148" spans="1:21" x14ac:dyDescent="0.2">
      <c r="A148" s="115"/>
      <c r="B148" s="139" t="s">
        <v>494</v>
      </c>
      <c r="C148" s="140" t="s">
        <v>134</v>
      </c>
      <c r="D148" s="141">
        <v>44225</v>
      </c>
      <c r="E148" s="141">
        <v>44315</v>
      </c>
      <c r="F148" s="57">
        <v>2000</v>
      </c>
      <c r="G148" s="58">
        <f t="shared" si="30"/>
        <v>-1707</v>
      </c>
      <c r="H148" s="142">
        <f t="shared" si="31"/>
        <v>2000</v>
      </c>
      <c r="I148" s="142">
        <f t="shared" si="32"/>
        <v>0</v>
      </c>
      <c r="J148" s="143">
        <f t="shared" si="33"/>
        <v>0</v>
      </c>
      <c r="K148" s="143">
        <f t="shared" si="34"/>
        <v>0</v>
      </c>
      <c r="L148" s="142">
        <f t="shared" si="35"/>
        <v>0</v>
      </c>
      <c r="M148" s="142">
        <f t="shared" si="36"/>
        <v>0</v>
      </c>
      <c r="N148" s="142">
        <f t="shared" si="37"/>
        <v>0</v>
      </c>
      <c r="O148" s="59">
        <f t="shared" si="38"/>
        <v>2000</v>
      </c>
      <c r="P148" s="142">
        <f t="shared" si="39"/>
        <v>0</v>
      </c>
      <c r="Q148" s="142">
        <f t="shared" si="40"/>
        <v>0</v>
      </c>
      <c r="R148" s="142">
        <f t="shared" si="41"/>
        <v>0</v>
      </c>
      <c r="S148" s="142">
        <f t="shared" si="42"/>
        <v>0</v>
      </c>
      <c r="T148" s="142">
        <f t="shared" si="43"/>
        <v>0</v>
      </c>
      <c r="U148" s="60">
        <f t="shared" si="44"/>
        <v>0</v>
      </c>
    </row>
    <row r="149" spans="1:21" x14ac:dyDescent="0.2">
      <c r="A149" s="115"/>
      <c r="B149" s="139" t="s">
        <v>494</v>
      </c>
      <c r="C149" s="140" t="s">
        <v>135</v>
      </c>
      <c r="D149" s="141">
        <v>44225</v>
      </c>
      <c r="E149" s="141">
        <v>44315</v>
      </c>
      <c r="F149" s="57">
        <v>2600</v>
      </c>
      <c r="G149" s="58">
        <f t="shared" si="30"/>
        <v>-1707</v>
      </c>
      <c r="H149" s="142">
        <f t="shared" si="31"/>
        <v>2600</v>
      </c>
      <c r="I149" s="142">
        <f t="shared" si="32"/>
        <v>0</v>
      </c>
      <c r="J149" s="143">
        <f t="shared" si="33"/>
        <v>0</v>
      </c>
      <c r="K149" s="143">
        <f t="shared" si="34"/>
        <v>0</v>
      </c>
      <c r="L149" s="142">
        <f t="shared" si="35"/>
        <v>0</v>
      </c>
      <c r="M149" s="142">
        <f t="shared" si="36"/>
        <v>0</v>
      </c>
      <c r="N149" s="142">
        <f t="shared" si="37"/>
        <v>0</v>
      </c>
      <c r="O149" s="59">
        <f t="shared" si="38"/>
        <v>2600</v>
      </c>
      <c r="P149" s="142">
        <f t="shared" si="39"/>
        <v>0</v>
      </c>
      <c r="Q149" s="142">
        <f t="shared" si="40"/>
        <v>0</v>
      </c>
      <c r="R149" s="142">
        <f t="shared" si="41"/>
        <v>0</v>
      </c>
      <c r="S149" s="142">
        <f t="shared" si="42"/>
        <v>0</v>
      </c>
      <c r="T149" s="142">
        <f t="shared" si="43"/>
        <v>0</v>
      </c>
      <c r="U149" s="60">
        <f t="shared" si="44"/>
        <v>0</v>
      </c>
    </row>
    <row r="150" spans="1:21" x14ac:dyDescent="0.2">
      <c r="A150" s="115"/>
      <c r="B150" s="139" t="s">
        <v>494</v>
      </c>
      <c r="C150" s="140" t="s">
        <v>136</v>
      </c>
      <c r="D150" s="141">
        <v>44263</v>
      </c>
      <c r="E150" s="141">
        <v>44353</v>
      </c>
      <c r="F150" s="57">
        <v>2000</v>
      </c>
      <c r="G150" s="58">
        <f t="shared" si="30"/>
        <v>-1669</v>
      </c>
      <c r="H150" s="142">
        <f t="shared" si="31"/>
        <v>2000</v>
      </c>
      <c r="I150" s="142">
        <f t="shared" si="32"/>
        <v>0</v>
      </c>
      <c r="J150" s="143">
        <f t="shared" si="33"/>
        <v>0</v>
      </c>
      <c r="K150" s="143">
        <f t="shared" si="34"/>
        <v>0</v>
      </c>
      <c r="L150" s="142">
        <f t="shared" si="35"/>
        <v>0</v>
      </c>
      <c r="M150" s="142">
        <f t="shared" si="36"/>
        <v>0</v>
      </c>
      <c r="N150" s="142">
        <f t="shared" si="37"/>
        <v>0</v>
      </c>
      <c r="O150" s="59">
        <f t="shared" si="38"/>
        <v>2000</v>
      </c>
      <c r="P150" s="142">
        <f t="shared" si="39"/>
        <v>0</v>
      </c>
      <c r="Q150" s="142">
        <f t="shared" si="40"/>
        <v>0</v>
      </c>
      <c r="R150" s="142">
        <f t="shared" si="41"/>
        <v>0</v>
      </c>
      <c r="S150" s="142">
        <f t="shared" si="42"/>
        <v>0</v>
      </c>
      <c r="T150" s="142">
        <f t="shared" si="43"/>
        <v>0</v>
      </c>
      <c r="U150" s="60">
        <f t="shared" si="44"/>
        <v>0</v>
      </c>
    </row>
    <row r="151" spans="1:21" x14ac:dyDescent="0.2">
      <c r="A151" s="115"/>
      <c r="B151" s="139" t="s">
        <v>494</v>
      </c>
      <c r="C151" s="140" t="s">
        <v>137</v>
      </c>
      <c r="D151" s="141">
        <v>44263</v>
      </c>
      <c r="E151" s="141">
        <v>44353</v>
      </c>
      <c r="F151" s="57">
        <v>600</v>
      </c>
      <c r="G151" s="58">
        <f t="shared" si="30"/>
        <v>-1669</v>
      </c>
      <c r="H151" s="142">
        <f t="shared" si="31"/>
        <v>600</v>
      </c>
      <c r="I151" s="142">
        <f t="shared" si="32"/>
        <v>0</v>
      </c>
      <c r="J151" s="143">
        <f t="shared" si="33"/>
        <v>0</v>
      </c>
      <c r="K151" s="143">
        <f t="shared" si="34"/>
        <v>0</v>
      </c>
      <c r="L151" s="142">
        <f t="shared" si="35"/>
        <v>0</v>
      </c>
      <c r="M151" s="142">
        <f t="shared" si="36"/>
        <v>0</v>
      </c>
      <c r="N151" s="142">
        <f t="shared" si="37"/>
        <v>0</v>
      </c>
      <c r="O151" s="59">
        <f t="shared" si="38"/>
        <v>600</v>
      </c>
      <c r="P151" s="142">
        <f t="shared" si="39"/>
        <v>0</v>
      </c>
      <c r="Q151" s="142">
        <f t="shared" si="40"/>
        <v>0</v>
      </c>
      <c r="R151" s="142">
        <f t="shared" si="41"/>
        <v>0</v>
      </c>
      <c r="S151" s="142">
        <f t="shared" si="42"/>
        <v>0</v>
      </c>
      <c r="T151" s="142">
        <f t="shared" si="43"/>
        <v>0</v>
      </c>
      <c r="U151" s="60">
        <f t="shared" si="44"/>
        <v>0</v>
      </c>
    </row>
    <row r="152" spans="1:21" x14ac:dyDescent="0.2">
      <c r="A152" s="115"/>
      <c r="B152" s="139" t="s">
        <v>494</v>
      </c>
      <c r="C152" s="140" t="s">
        <v>138</v>
      </c>
      <c r="D152" s="141">
        <v>44274</v>
      </c>
      <c r="E152" s="141">
        <v>44364</v>
      </c>
      <c r="F152" s="57">
        <v>2000</v>
      </c>
      <c r="G152" s="58">
        <f t="shared" si="30"/>
        <v>-1658</v>
      </c>
      <c r="H152" s="142">
        <f t="shared" si="31"/>
        <v>2000</v>
      </c>
      <c r="I152" s="142">
        <f t="shared" si="32"/>
        <v>0</v>
      </c>
      <c r="J152" s="143">
        <f t="shared" si="33"/>
        <v>0</v>
      </c>
      <c r="K152" s="143">
        <f t="shared" si="34"/>
        <v>0</v>
      </c>
      <c r="L152" s="142">
        <f t="shared" si="35"/>
        <v>0</v>
      </c>
      <c r="M152" s="142">
        <f t="shared" si="36"/>
        <v>0</v>
      </c>
      <c r="N152" s="142">
        <f t="shared" si="37"/>
        <v>0</v>
      </c>
      <c r="O152" s="59">
        <f t="shared" si="38"/>
        <v>2000</v>
      </c>
      <c r="P152" s="142">
        <f t="shared" si="39"/>
        <v>0</v>
      </c>
      <c r="Q152" s="142">
        <f t="shared" si="40"/>
        <v>0</v>
      </c>
      <c r="R152" s="142">
        <f t="shared" si="41"/>
        <v>0</v>
      </c>
      <c r="S152" s="142">
        <f t="shared" si="42"/>
        <v>0</v>
      </c>
      <c r="T152" s="142">
        <f t="shared" si="43"/>
        <v>0</v>
      </c>
      <c r="U152" s="60">
        <f t="shared" si="44"/>
        <v>0</v>
      </c>
    </row>
    <row r="153" spans="1:21" x14ac:dyDescent="0.2">
      <c r="A153" s="115"/>
      <c r="B153" s="139" t="s">
        <v>494</v>
      </c>
      <c r="C153" s="140" t="s">
        <v>139</v>
      </c>
      <c r="D153" s="141">
        <v>44285</v>
      </c>
      <c r="E153" s="141">
        <v>44375</v>
      </c>
      <c r="F153" s="57">
        <v>1200</v>
      </c>
      <c r="G153" s="58">
        <f t="shared" si="30"/>
        <v>-1647</v>
      </c>
      <c r="H153" s="142">
        <f t="shared" si="31"/>
        <v>1200</v>
      </c>
      <c r="I153" s="142">
        <f t="shared" si="32"/>
        <v>0</v>
      </c>
      <c r="J153" s="143">
        <f t="shared" si="33"/>
        <v>0</v>
      </c>
      <c r="K153" s="143">
        <f t="shared" si="34"/>
        <v>0</v>
      </c>
      <c r="L153" s="142">
        <f t="shared" si="35"/>
        <v>0</v>
      </c>
      <c r="M153" s="142">
        <f t="shared" si="36"/>
        <v>0</v>
      </c>
      <c r="N153" s="142">
        <f t="shared" si="37"/>
        <v>0</v>
      </c>
      <c r="O153" s="59">
        <f t="shared" si="38"/>
        <v>1200</v>
      </c>
      <c r="P153" s="142">
        <f t="shared" si="39"/>
        <v>0</v>
      </c>
      <c r="Q153" s="142">
        <f t="shared" si="40"/>
        <v>0</v>
      </c>
      <c r="R153" s="142">
        <f t="shared" si="41"/>
        <v>0</v>
      </c>
      <c r="S153" s="142">
        <f t="shared" si="42"/>
        <v>0</v>
      </c>
      <c r="T153" s="142">
        <f t="shared" si="43"/>
        <v>0</v>
      </c>
      <c r="U153" s="60">
        <f t="shared" si="44"/>
        <v>0</v>
      </c>
    </row>
    <row r="154" spans="1:21" x14ac:dyDescent="0.2">
      <c r="A154" s="115"/>
      <c r="B154" s="139" t="s">
        <v>494</v>
      </c>
      <c r="C154" s="140" t="s">
        <v>140</v>
      </c>
      <c r="D154" s="141">
        <v>44285</v>
      </c>
      <c r="E154" s="141">
        <v>44375</v>
      </c>
      <c r="F154" s="57">
        <v>600</v>
      </c>
      <c r="G154" s="58">
        <f t="shared" si="30"/>
        <v>-1647</v>
      </c>
      <c r="H154" s="142">
        <f t="shared" si="31"/>
        <v>600</v>
      </c>
      <c r="I154" s="142">
        <f t="shared" si="32"/>
        <v>0</v>
      </c>
      <c r="J154" s="143">
        <f t="shared" si="33"/>
        <v>0</v>
      </c>
      <c r="K154" s="143">
        <f t="shared" si="34"/>
        <v>0</v>
      </c>
      <c r="L154" s="142">
        <f t="shared" si="35"/>
        <v>0</v>
      </c>
      <c r="M154" s="142">
        <f t="shared" si="36"/>
        <v>0</v>
      </c>
      <c r="N154" s="142">
        <f t="shared" si="37"/>
        <v>0</v>
      </c>
      <c r="O154" s="59">
        <f t="shared" si="38"/>
        <v>600</v>
      </c>
      <c r="P154" s="142">
        <f t="shared" si="39"/>
        <v>0</v>
      </c>
      <c r="Q154" s="142">
        <f t="shared" si="40"/>
        <v>0</v>
      </c>
      <c r="R154" s="142">
        <f t="shared" si="41"/>
        <v>0</v>
      </c>
      <c r="S154" s="142">
        <f t="shared" si="42"/>
        <v>0</v>
      </c>
      <c r="T154" s="142">
        <f t="shared" si="43"/>
        <v>0</v>
      </c>
      <c r="U154" s="60">
        <f t="shared" si="44"/>
        <v>0</v>
      </c>
    </row>
    <row r="155" spans="1:21" x14ac:dyDescent="0.2">
      <c r="A155" s="115"/>
      <c r="B155" s="139" t="s">
        <v>494</v>
      </c>
      <c r="C155" s="140" t="s">
        <v>141</v>
      </c>
      <c r="D155" s="141">
        <v>44285</v>
      </c>
      <c r="E155" s="141">
        <v>44375</v>
      </c>
      <c r="F155" s="57">
        <v>2000</v>
      </c>
      <c r="G155" s="58">
        <f t="shared" si="30"/>
        <v>-1647</v>
      </c>
      <c r="H155" s="142">
        <f t="shared" si="31"/>
        <v>2000</v>
      </c>
      <c r="I155" s="142">
        <f t="shared" si="32"/>
        <v>0</v>
      </c>
      <c r="J155" s="143">
        <f t="shared" si="33"/>
        <v>0</v>
      </c>
      <c r="K155" s="143">
        <f t="shared" si="34"/>
        <v>0</v>
      </c>
      <c r="L155" s="142">
        <f t="shared" si="35"/>
        <v>0</v>
      </c>
      <c r="M155" s="142">
        <f t="shared" si="36"/>
        <v>0</v>
      </c>
      <c r="N155" s="142">
        <f t="shared" si="37"/>
        <v>0</v>
      </c>
      <c r="O155" s="59">
        <f t="shared" si="38"/>
        <v>2000</v>
      </c>
      <c r="P155" s="142">
        <f t="shared" si="39"/>
        <v>0</v>
      </c>
      <c r="Q155" s="142">
        <f t="shared" si="40"/>
        <v>0</v>
      </c>
      <c r="R155" s="142">
        <f t="shared" si="41"/>
        <v>0</v>
      </c>
      <c r="S155" s="142">
        <f t="shared" si="42"/>
        <v>0</v>
      </c>
      <c r="T155" s="142">
        <f t="shared" si="43"/>
        <v>0</v>
      </c>
      <c r="U155" s="60">
        <f t="shared" si="44"/>
        <v>0</v>
      </c>
    </row>
    <row r="156" spans="1:21" x14ac:dyDescent="0.2">
      <c r="A156" s="115"/>
      <c r="B156" s="139" t="s">
        <v>494</v>
      </c>
      <c r="C156" s="140" t="s">
        <v>142</v>
      </c>
      <c r="D156" s="141">
        <v>44285</v>
      </c>
      <c r="E156" s="141">
        <v>44375</v>
      </c>
      <c r="F156" s="57">
        <v>2000</v>
      </c>
      <c r="G156" s="58">
        <f t="shared" si="30"/>
        <v>-1647</v>
      </c>
      <c r="H156" s="142">
        <f t="shared" si="31"/>
        <v>2000</v>
      </c>
      <c r="I156" s="142">
        <f t="shared" si="32"/>
        <v>0</v>
      </c>
      <c r="J156" s="143">
        <f t="shared" si="33"/>
        <v>0</v>
      </c>
      <c r="K156" s="143">
        <f t="shared" si="34"/>
        <v>0</v>
      </c>
      <c r="L156" s="142">
        <f t="shared" si="35"/>
        <v>0</v>
      </c>
      <c r="M156" s="142">
        <f t="shared" si="36"/>
        <v>0</v>
      </c>
      <c r="N156" s="142">
        <f t="shared" si="37"/>
        <v>0</v>
      </c>
      <c r="O156" s="59">
        <f t="shared" si="38"/>
        <v>2000</v>
      </c>
      <c r="P156" s="142">
        <f t="shared" si="39"/>
        <v>0</v>
      </c>
      <c r="Q156" s="142">
        <f t="shared" si="40"/>
        <v>0</v>
      </c>
      <c r="R156" s="142">
        <f t="shared" si="41"/>
        <v>0</v>
      </c>
      <c r="S156" s="142">
        <f t="shared" si="42"/>
        <v>0</v>
      </c>
      <c r="T156" s="142">
        <f t="shared" si="43"/>
        <v>0</v>
      </c>
      <c r="U156" s="60">
        <f t="shared" si="44"/>
        <v>0</v>
      </c>
    </row>
    <row r="157" spans="1:21" x14ac:dyDescent="0.2">
      <c r="A157" s="115"/>
      <c r="B157" s="139" t="s">
        <v>494</v>
      </c>
      <c r="C157" s="140" t="s">
        <v>143</v>
      </c>
      <c r="D157" s="141">
        <v>44286</v>
      </c>
      <c r="E157" s="141">
        <v>44376</v>
      </c>
      <c r="F157" s="57">
        <v>2000</v>
      </c>
      <c r="G157" s="58">
        <f t="shared" si="30"/>
        <v>-1646</v>
      </c>
      <c r="H157" s="142">
        <f t="shared" si="31"/>
        <v>2000</v>
      </c>
      <c r="I157" s="142">
        <f t="shared" si="32"/>
        <v>0</v>
      </c>
      <c r="J157" s="143">
        <f t="shared" si="33"/>
        <v>0</v>
      </c>
      <c r="K157" s="143">
        <f t="shared" si="34"/>
        <v>0</v>
      </c>
      <c r="L157" s="142">
        <f t="shared" si="35"/>
        <v>0</v>
      </c>
      <c r="M157" s="142">
        <f t="shared" si="36"/>
        <v>0</v>
      </c>
      <c r="N157" s="142">
        <f t="shared" si="37"/>
        <v>0</v>
      </c>
      <c r="O157" s="59">
        <f t="shared" si="38"/>
        <v>2000</v>
      </c>
      <c r="P157" s="142">
        <f t="shared" si="39"/>
        <v>0</v>
      </c>
      <c r="Q157" s="142">
        <f t="shared" si="40"/>
        <v>0</v>
      </c>
      <c r="R157" s="142">
        <f t="shared" si="41"/>
        <v>0</v>
      </c>
      <c r="S157" s="142">
        <f t="shared" si="42"/>
        <v>0</v>
      </c>
      <c r="T157" s="142">
        <f t="shared" si="43"/>
        <v>0</v>
      </c>
      <c r="U157" s="60">
        <f t="shared" si="44"/>
        <v>0</v>
      </c>
    </row>
    <row r="158" spans="1:21" x14ac:dyDescent="0.2">
      <c r="A158" s="115"/>
      <c r="B158" s="139" t="s">
        <v>494</v>
      </c>
      <c r="C158" s="140" t="s">
        <v>144</v>
      </c>
      <c r="D158" s="141">
        <v>44286</v>
      </c>
      <c r="E158" s="141">
        <v>44376</v>
      </c>
      <c r="F158" s="57">
        <v>600</v>
      </c>
      <c r="G158" s="58">
        <f t="shared" si="30"/>
        <v>-1646</v>
      </c>
      <c r="H158" s="142">
        <f t="shared" si="31"/>
        <v>600</v>
      </c>
      <c r="I158" s="142">
        <f t="shared" si="32"/>
        <v>0</v>
      </c>
      <c r="J158" s="143">
        <f t="shared" si="33"/>
        <v>0</v>
      </c>
      <c r="K158" s="143">
        <f t="shared" si="34"/>
        <v>0</v>
      </c>
      <c r="L158" s="142">
        <f t="shared" si="35"/>
        <v>0</v>
      </c>
      <c r="M158" s="142">
        <f t="shared" si="36"/>
        <v>0</v>
      </c>
      <c r="N158" s="142">
        <f t="shared" si="37"/>
        <v>0</v>
      </c>
      <c r="O158" s="59">
        <f t="shared" si="38"/>
        <v>600</v>
      </c>
      <c r="P158" s="142">
        <f t="shared" si="39"/>
        <v>0</v>
      </c>
      <c r="Q158" s="142">
        <f t="shared" si="40"/>
        <v>0</v>
      </c>
      <c r="R158" s="142">
        <f t="shared" si="41"/>
        <v>0</v>
      </c>
      <c r="S158" s="142">
        <f t="shared" si="42"/>
        <v>0</v>
      </c>
      <c r="T158" s="142">
        <f t="shared" si="43"/>
        <v>0</v>
      </c>
      <c r="U158" s="60">
        <f t="shared" si="44"/>
        <v>0</v>
      </c>
    </row>
    <row r="159" spans="1:21" x14ac:dyDescent="0.2">
      <c r="A159" s="115"/>
      <c r="B159" s="139" t="s">
        <v>494</v>
      </c>
      <c r="C159" s="140" t="s">
        <v>145</v>
      </c>
      <c r="D159" s="141">
        <v>44295</v>
      </c>
      <c r="E159" s="141">
        <v>44385</v>
      </c>
      <c r="F159" s="57">
        <v>600</v>
      </c>
      <c r="G159" s="58">
        <f t="shared" si="30"/>
        <v>-1637</v>
      </c>
      <c r="H159" s="142">
        <f t="shared" si="31"/>
        <v>600</v>
      </c>
      <c r="I159" s="142">
        <f t="shared" si="32"/>
        <v>0</v>
      </c>
      <c r="J159" s="143">
        <f t="shared" si="33"/>
        <v>0</v>
      </c>
      <c r="K159" s="143">
        <f t="shared" si="34"/>
        <v>0</v>
      </c>
      <c r="L159" s="142">
        <f t="shared" si="35"/>
        <v>0</v>
      </c>
      <c r="M159" s="142">
        <f t="shared" si="36"/>
        <v>0</v>
      </c>
      <c r="N159" s="142">
        <f t="shared" si="37"/>
        <v>0</v>
      </c>
      <c r="O159" s="59">
        <f t="shared" si="38"/>
        <v>600</v>
      </c>
      <c r="P159" s="142">
        <f t="shared" si="39"/>
        <v>0</v>
      </c>
      <c r="Q159" s="142">
        <f t="shared" si="40"/>
        <v>0</v>
      </c>
      <c r="R159" s="142">
        <f t="shared" si="41"/>
        <v>0</v>
      </c>
      <c r="S159" s="142">
        <f t="shared" si="42"/>
        <v>0</v>
      </c>
      <c r="T159" s="142">
        <f t="shared" si="43"/>
        <v>0</v>
      </c>
      <c r="U159" s="60">
        <f t="shared" si="44"/>
        <v>0</v>
      </c>
    </row>
    <row r="160" spans="1:21" x14ac:dyDescent="0.2">
      <c r="A160" s="115"/>
      <c r="B160" s="139" t="s">
        <v>494</v>
      </c>
      <c r="C160" s="140" t="s">
        <v>146</v>
      </c>
      <c r="D160" s="141">
        <v>44295</v>
      </c>
      <c r="E160" s="141">
        <v>44385</v>
      </c>
      <c r="F160" s="57">
        <v>600</v>
      </c>
      <c r="G160" s="58">
        <f t="shared" si="30"/>
        <v>-1637</v>
      </c>
      <c r="H160" s="142">
        <f t="shared" si="31"/>
        <v>600</v>
      </c>
      <c r="I160" s="142">
        <f t="shared" si="32"/>
        <v>0</v>
      </c>
      <c r="J160" s="143">
        <f t="shared" si="33"/>
        <v>0</v>
      </c>
      <c r="K160" s="143">
        <f t="shared" si="34"/>
        <v>0</v>
      </c>
      <c r="L160" s="142">
        <f t="shared" si="35"/>
        <v>0</v>
      </c>
      <c r="M160" s="142">
        <f t="shared" si="36"/>
        <v>0</v>
      </c>
      <c r="N160" s="142">
        <f t="shared" si="37"/>
        <v>0</v>
      </c>
      <c r="O160" s="59">
        <f t="shared" si="38"/>
        <v>600</v>
      </c>
      <c r="P160" s="142">
        <f t="shared" si="39"/>
        <v>0</v>
      </c>
      <c r="Q160" s="142">
        <f t="shared" si="40"/>
        <v>0</v>
      </c>
      <c r="R160" s="142">
        <f t="shared" si="41"/>
        <v>0</v>
      </c>
      <c r="S160" s="142">
        <f t="shared" si="42"/>
        <v>0</v>
      </c>
      <c r="T160" s="142">
        <f t="shared" si="43"/>
        <v>0</v>
      </c>
      <c r="U160" s="60">
        <f t="shared" si="44"/>
        <v>0</v>
      </c>
    </row>
    <row r="161" spans="1:21" x14ac:dyDescent="0.2">
      <c r="A161" s="115"/>
      <c r="B161" s="139" t="s">
        <v>494</v>
      </c>
      <c r="C161" s="140" t="s">
        <v>147</v>
      </c>
      <c r="D161" s="141">
        <v>44295</v>
      </c>
      <c r="E161" s="141">
        <v>44385</v>
      </c>
      <c r="F161" s="57">
        <v>600</v>
      </c>
      <c r="G161" s="58">
        <f t="shared" si="30"/>
        <v>-1637</v>
      </c>
      <c r="H161" s="142">
        <f t="shared" si="31"/>
        <v>600</v>
      </c>
      <c r="I161" s="142">
        <f t="shared" si="32"/>
        <v>0</v>
      </c>
      <c r="J161" s="143">
        <f t="shared" si="33"/>
        <v>0</v>
      </c>
      <c r="K161" s="143">
        <f t="shared" si="34"/>
        <v>0</v>
      </c>
      <c r="L161" s="142">
        <f t="shared" si="35"/>
        <v>0</v>
      </c>
      <c r="M161" s="142">
        <f t="shared" si="36"/>
        <v>0</v>
      </c>
      <c r="N161" s="142">
        <f t="shared" si="37"/>
        <v>0</v>
      </c>
      <c r="O161" s="59">
        <f t="shared" si="38"/>
        <v>600</v>
      </c>
      <c r="P161" s="142">
        <f t="shared" si="39"/>
        <v>0</v>
      </c>
      <c r="Q161" s="142">
        <f t="shared" si="40"/>
        <v>0</v>
      </c>
      <c r="R161" s="142">
        <f t="shared" si="41"/>
        <v>0</v>
      </c>
      <c r="S161" s="142">
        <f t="shared" si="42"/>
        <v>0</v>
      </c>
      <c r="T161" s="142">
        <f t="shared" si="43"/>
        <v>0</v>
      </c>
      <c r="U161" s="60">
        <f t="shared" si="44"/>
        <v>0</v>
      </c>
    </row>
    <row r="162" spans="1:21" x14ac:dyDescent="0.2">
      <c r="A162" s="115"/>
      <c r="B162" s="139" t="s">
        <v>494</v>
      </c>
      <c r="C162" s="140" t="s">
        <v>148</v>
      </c>
      <c r="D162" s="141">
        <v>44300</v>
      </c>
      <c r="E162" s="141">
        <v>44390</v>
      </c>
      <c r="F162" s="57">
        <v>600</v>
      </c>
      <c r="G162" s="58">
        <f t="shared" si="30"/>
        <v>-1632</v>
      </c>
      <c r="H162" s="142">
        <f t="shared" si="31"/>
        <v>600</v>
      </c>
      <c r="I162" s="142">
        <f t="shared" si="32"/>
        <v>0</v>
      </c>
      <c r="J162" s="143">
        <f t="shared" si="33"/>
        <v>0</v>
      </c>
      <c r="K162" s="143">
        <f t="shared" si="34"/>
        <v>0</v>
      </c>
      <c r="L162" s="142">
        <f t="shared" si="35"/>
        <v>0</v>
      </c>
      <c r="M162" s="142">
        <f t="shared" si="36"/>
        <v>0</v>
      </c>
      <c r="N162" s="142">
        <f t="shared" si="37"/>
        <v>0</v>
      </c>
      <c r="O162" s="59">
        <f t="shared" si="38"/>
        <v>600</v>
      </c>
      <c r="P162" s="142">
        <f t="shared" si="39"/>
        <v>0</v>
      </c>
      <c r="Q162" s="142">
        <f t="shared" si="40"/>
        <v>0</v>
      </c>
      <c r="R162" s="142">
        <f t="shared" si="41"/>
        <v>0</v>
      </c>
      <c r="S162" s="142">
        <f t="shared" si="42"/>
        <v>0</v>
      </c>
      <c r="T162" s="142">
        <f t="shared" si="43"/>
        <v>0</v>
      </c>
      <c r="U162" s="60">
        <f t="shared" si="44"/>
        <v>0</v>
      </c>
    </row>
    <row r="163" spans="1:21" x14ac:dyDescent="0.2">
      <c r="A163" s="115"/>
      <c r="B163" s="139" t="s">
        <v>494</v>
      </c>
      <c r="C163" s="140" t="s">
        <v>149</v>
      </c>
      <c r="D163" s="141">
        <v>44309</v>
      </c>
      <c r="E163" s="141">
        <v>44399</v>
      </c>
      <c r="F163" s="57">
        <v>600</v>
      </c>
      <c r="G163" s="58">
        <f t="shared" si="30"/>
        <v>-1623</v>
      </c>
      <c r="H163" s="142">
        <f t="shared" si="31"/>
        <v>600</v>
      </c>
      <c r="I163" s="142">
        <f t="shared" si="32"/>
        <v>0</v>
      </c>
      <c r="J163" s="143">
        <f t="shared" si="33"/>
        <v>0</v>
      </c>
      <c r="K163" s="143">
        <f t="shared" si="34"/>
        <v>0</v>
      </c>
      <c r="L163" s="142">
        <f t="shared" si="35"/>
        <v>0</v>
      </c>
      <c r="M163" s="142">
        <f t="shared" si="36"/>
        <v>0</v>
      </c>
      <c r="N163" s="142">
        <f t="shared" si="37"/>
        <v>0</v>
      </c>
      <c r="O163" s="59">
        <f t="shared" si="38"/>
        <v>600</v>
      </c>
      <c r="P163" s="142">
        <f t="shared" si="39"/>
        <v>0</v>
      </c>
      <c r="Q163" s="142">
        <f t="shared" si="40"/>
        <v>0</v>
      </c>
      <c r="R163" s="142">
        <f t="shared" si="41"/>
        <v>0</v>
      </c>
      <c r="S163" s="142">
        <f t="shared" si="42"/>
        <v>0</v>
      </c>
      <c r="T163" s="142">
        <f t="shared" si="43"/>
        <v>0</v>
      </c>
      <c r="U163" s="60">
        <f t="shared" si="44"/>
        <v>0</v>
      </c>
    </row>
    <row r="164" spans="1:21" x14ac:dyDescent="0.2">
      <c r="A164" s="115"/>
      <c r="B164" s="139" t="s">
        <v>494</v>
      </c>
      <c r="C164" s="140" t="s">
        <v>150</v>
      </c>
      <c r="D164" s="141">
        <v>44322</v>
      </c>
      <c r="E164" s="141">
        <v>44412</v>
      </c>
      <c r="F164" s="57">
        <v>2000</v>
      </c>
      <c r="G164" s="58">
        <f t="shared" si="30"/>
        <v>-1610</v>
      </c>
      <c r="H164" s="142">
        <f t="shared" si="31"/>
        <v>2000</v>
      </c>
      <c r="I164" s="142">
        <f t="shared" si="32"/>
        <v>0</v>
      </c>
      <c r="J164" s="143">
        <f t="shared" si="33"/>
        <v>0</v>
      </c>
      <c r="K164" s="143">
        <f t="shared" si="34"/>
        <v>0</v>
      </c>
      <c r="L164" s="142">
        <f t="shared" si="35"/>
        <v>0</v>
      </c>
      <c r="M164" s="142">
        <f t="shared" si="36"/>
        <v>0</v>
      </c>
      <c r="N164" s="142">
        <f t="shared" si="37"/>
        <v>0</v>
      </c>
      <c r="O164" s="59">
        <f t="shared" si="38"/>
        <v>2000</v>
      </c>
      <c r="P164" s="142">
        <f t="shared" si="39"/>
        <v>0</v>
      </c>
      <c r="Q164" s="142">
        <f t="shared" si="40"/>
        <v>0</v>
      </c>
      <c r="R164" s="142">
        <f t="shared" si="41"/>
        <v>0</v>
      </c>
      <c r="S164" s="142">
        <f t="shared" si="42"/>
        <v>0</v>
      </c>
      <c r="T164" s="142">
        <f t="shared" si="43"/>
        <v>0</v>
      </c>
      <c r="U164" s="60">
        <f t="shared" si="44"/>
        <v>0</v>
      </c>
    </row>
    <row r="165" spans="1:21" x14ac:dyDescent="0.2">
      <c r="A165" s="115"/>
      <c r="B165" s="139" t="s">
        <v>494</v>
      </c>
      <c r="C165" s="140" t="s">
        <v>151</v>
      </c>
      <c r="D165" s="141">
        <v>44322</v>
      </c>
      <c r="E165" s="141">
        <v>44412</v>
      </c>
      <c r="F165" s="57">
        <v>2000</v>
      </c>
      <c r="G165" s="58">
        <f t="shared" si="30"/>
        <v>-1610</v>
      </c>
      <c r="H165" s="142">
        <f t="shared" si="31"/>
        <v>2000</v>
      </c>
      <c r="I165" s="142">
        <f t="shared" si="32"/>
        <v>0</v>
      </c>
      <c r="J165" s="143">
        <f t="shared" si="33"/>
        <v>0</v>
      </c>
      <c r="K165" s="143">
        <f t="shared" si="34"/>
        <v>0</v>
      </c>
      <c r="L165" s="142">
        <f t="shared" si="35"/>
        <v>0</v>
      </c>
      <c r="M165" s="142">
        <f t="shared" si="36"/>
        <v>0</v>
      </c>
      <c r="N165" s="142">
        <f t="shared" si="37"/>
        <v>0</v>
      </c>
      <c r="O165" s="59">
        <f t="shared" si="38"/>
        <v>2000</v>
      </c>
      <c r="P165" s="142">
        <f t="shared" si="39"/>
        <v>0</v>
      </c>
      <c r="Q165" s="142">
        <f t="shared" si="40"/>
        <v>0</v>
      </c>
      <c r="R165" s="142">
        <f t="shared" si="41"/>
        <v>0</v>
      </c>
      <c r="S165" s="142">
        <f t="shared" si="42"/>
        <v>0</v>
      </c>
      <c r="T165" s="142">
        <f t="shared" si="43"/>
        <v>0</v>
      </c>
      <c r="U165" s="60">
        <f t="shared" si="44"/>
        <v>0</v>
      </c>
    </row>
    <row r="166" spans="1:21" x14ac:dyDescent="0.2">
      <c r="A166" s="115"/>
      <c r="B166" s="139" t="s">
        <v>494</v>
      </c>
      <c r="C166" s="140" t="s">
        <v>152</v>
      </c>
      <c r="D166" s="141">
        <v>44413</v>
      </c>
      <c r="E166" s="141">
        <v>44503</v>
      </c>
      <c r="F166" s="57">
        <v>600</v>
      </c>
      <c r="G166" s="58">
        <f t="shared" si="30"/>
        <v>-1519</v>
      </c>
      <c r="H166" s="142">
        <f t="shared" si="31"/>
        <v>600</v>
      </c>
      <c r="I166" s="142">
        <f t="shared" si="32"/>
        <v>0</v>
      </c>
      <c r="J166" s="143">
        <f t="shared" si="33"/>
        <v>0</v>
      </c>
      <c r="K166" s="143">
        <f t="shared" si="34"/>
        <v>0</v>
      </c>
      <c r="L166" s="142">
        <f t="shared" si="35"/>
        <v>0</v>
      </c>
      <c r="M166" s="142">
        <f t="shared" si="36"/>
        <v>0</v>
      </c>
      <c r="N166" s="142">
        <f t="shared" si="37"/>
        <v>0</v>
      </c>
      <c r="O166" s="59">
        <f t="shared" si="38"/>
        <v>600</v>
      </c>
      <c r="P166" s="142">
        <f t="shared" si="39"/>
        <v>0</v>
      </c>
      <c r="Q166" s="142">
        <f t="shared" si="40"/>
        <v>0</v>
      </c>
      <c r="R166" s="142">
        <f t="shared" si="41"/>
        <v>0</v>
      </c>
      <c r="S166" s="142">
        <f t="shared" si="42"/>
        <v>0</v>
      </c>
      <c r="T166" s="142">
        <f t="shared" si="43"/>
        <v>0</v>
      </c>
      <c r="U166" s="60">
        <f t="shared" si="44"/>
        <v>0</v>
      </c>
    </row>
    <row r="167" spans="1:21" x14ac:dyDescent="0.2">
      <c r="A167" s="115"/>
      <c r="B167" s="139" t="s">
        <v>494</v>
      </c>
      <c r="C167" s="140" t="s">
        <v>153</v>
      </c>
      <c r="D167" s="141">
        <v>44413</v>
      </c>
      <c r="E167" s="141">
        <v>44503</v>
      </c>
      <c r="F167" s="57">
        <v>600</v>
      </c>
      <c r="G167" s="58">
        <f t="shared" si="30"/>
        <v>-1519</v>
      </c>
      <c r="H167" s="142">
        <f t="shared" si="31"/>
        <v>600</v>
      </c>
      <c r="I167" s="142">
        <f t="shared" si="32"/>
        <v>0</v>
      </c>
      <c r="J167" s="143">
        <f t="shared" si="33"/>
        <v>0</v>
      </c>
      <c r="K167" s="143">
        <f t="shared" si="34"/>
        <v>0</v>
      </c>
      <c r="L167" s="142">
        <f t="shared" si="35"/>
        <v>0</v>
      </c>
      <c r="M167" s="142">
        <f t="shared" si="36"/>
        <v>0</v>
      </c>
      <c r="N167" s="142">
        <f t="shared" si="37"/>
        <v>0</v>
      </c>
      <c r="O167" s="59">
        <f t="shared" si="38"/>
        <v>600</v>
      </c>
      <c r="P167" s="142">
        <f t="shared" si="39"/>
        <v>0</v>
      </c>
      <c r="Q167" s="142">
        <f t="shared" si="40"/>
        <v>0</v>
      </c>
      <c r="R167" s="142">
        <f t="shared" si="41"/>
        <v>0</v>
      </c>
      <c r="S167" s="142">
        <f t="shared" si="42"/>
        <v>0</v>
      </c>
      <c r="T167" s="142">
        <f t="shared" si="43"/>
        <v>0</v>
      </c>
      <c r="U167" s="60">
        <f t="shared" si="44"/>
        <v>0</v>
      </c>
    </row>
    <row r="168" spans="1:21" x14ac:dyDescent="0.2">
      <c r="A168" s="115"/>
      <c r="B168" s="139" t="s">
        <v>494</v>
      </c>
      <c r="C168" s="140" t="s">
        <v>154</v>
      </c>
      <c r="D168" s="141">
        <v>44862</v>
      </c>
      <c r="E168" s="141">
        <v>44952</v>
      </c>
      <c r="F168" s="57">
        <v>6520</v>
      </c>
      <c r="G168" s="58">
        <f t="shared" si="30"/>
        <v>-1070</v>
      </c>
      <c r="H168" s="142">
        <f t="shared" si="31"/>
        <v>6520</v>
      </c>
      <c r="I168" s="142">
        <f t="shared" si="32"/>
        <v>0</v>
      </c>
      <c r="J168" s="143">
        <f t="shared" si="33"/>
        <v>0</v>
      </c>
      <c r="K168" s="143">
        <f t="shared" si="34"/>
        <v>0</v>
      </c>
      <c r="L168" s="142">
        <f t="shared" si="35"/>
        <v>0</v>
      </c>
      <c r="M168" s="142">
        <f t="shared" si="36"/>
        <v>0</v>
      </c>
      <c r="N168" s="142">
        <f t="shared" si="37"/>
        <v>0</v>
      </c>
      <c r="O168" s="59">
        <f t="shared" si="38"/>
        <v>6520</v>
      </c>
      <c r="P168" s="142">
        <f t="shared" si="39"/>
        <v>0</v>
      </c>
      <c r="Q168" s="142">
        <f t="shared" si="40"/>
        <v>0</v>
      </c>
      <c r="R168" s="142">
        <f t="shared" si="41"/>
        <v>0</v>
      </c>
      <c r="S168" s="142">
        <f t="shared" si="42"/>
        <v>0</v>
      </c>
      <c r="T168" s="142">
        <f t="shared" si="43"/>
        <v>0</v>
      </c>
      <c r="U168" s="60">
        <f t="shared" si="44"/>
        <v>0</v>
      </c>
    </row>
    <row r="169" spans="1:21" x14ac:dyDescent="0.2">
      <c r="A169" s="115"/>
      <c r="B169" s="139" t="s">
        <v>494</v>
      </c>
      <c r="C169" s="140" t="s">
        <v>155</v>
      </c>
      <c r="D169" s="141">
        <v>44862</v>
      </c>
      <c r="E169" s="141">
        <v>44952</v>
      </c>
      <c r="F169" s="57">
        <v>6520</v>
      </c>
      <c r="G169" s="58">
        <f t="shared" si="30"/>
        <v>-1070</v>
      </c>
      <c r="H169" s="142">
        <f t="shared" si="31"/>
        <v>6520</v>
      </c>
      <c r="I169" s="142">
        <f t="shared" si="32"/>
        <v>0</v>
      </c>
      <c r="J169" s="143">
        <f t="shared" si="33"/>
        <v>0</v>
      </c>
      <c r="K169" s="143">
        <f t="shared" si="34"/>
        <v>0</v>
      </c>
      <c r="L169" s="142">
        <f t="shared" si="35"/>
        <v>0</v>
      </c>
      <c r="M169" s="142">
        <f t="shared" si="36"/>
        <v>0</v>
      </c>
      <c r="N169" s="142">
        <f t="shared" si="37"/>
        <v>0</v>
      </c>
      <c r="O169" s="59">
        <f t="shared" si="38"/>
        <v>6520</v>
      </c>
      <c r="P169" s="142">
        <f t="shared" si="39"/>
        <v>0</v>
      </c>
      <c r="Q169" s="142">
        <f t="shared" si="40"/>
        <v>0</v>
      </c>
      <c r="R169" s="142">
        <f t="shared" si="41"/>
        <v>0</v>
      </c>
      <c r="S169" s="142">
        <f t="shared" si="42"/>
        <v>0</v>
      </c>
      <c r="T169" s="142">
        <f t="shared" si="43"/>
        <v>0</v>
      </c>
      <c r="U169" s="60">
        <f t="shared" si="44"/>
        <v>0</v>
      </c>
    </row>
    <row r="170" spans="1:21" x14ac:dyDescent="0.2">
      <c r="A170" s="115"/>
      <c r="B170" s="139" t="s">
        <v>494</v>
      </c>
      <c r="C170" s="140" t="s">
        <v>156</v>
      </c>
      <c r="D170" s="141">
        <v>44930</v>
      </c>
      <c r="E170" s="141">
        <v>45020</v>
      </c>
      <c r="F170" s="57">
        <v>4720</v>
      </c>
      <c r="G170" s="58">
        <f t="shared" si="30"/>
        <v>-1002</v>
      </c>
      <c r="H170" s="142">
        <f t="shared" si="31"/>
        <v>4720</v>
      </c>
      <c r="I170" s="142">
        <f t="shared" si="32"/>
        <v>0</v>
      </c>
      <c r="J170" s="143">
        <f t="shared" si="33"/>
        <v>0</v>
      </c>
      <c r="K170" s="143">
        <f t="shared" si="34"/>
        <v>0</v>
      </c>
      <c r="L170" s="142">
        <f t="shared" si="35"/>
        <v>0</v>
      </c>
      <c r="M170" s="142">
        <f t="shared" si="36"/>
        <v>0</v>
      </c>
      <c r="N170" s="142">
        <f t="shared" si="37"/>
        <v>0</v>
      </c>
      <c r="O170" s="59">
        <f t="shared" si="38"/>
        <v>4720</v>
      </c>
      <c r="P170" s="142">
        <f t="shared" si="39"/>
        <v>0</v>
      </c>
      <c r="Q170" s="142">
        <f t="shared" si="40"/>
        <v>0</v>
      </c>
      <c r="R170" s="142">
        <f t="shared" si="41"/>
        <v>0</v>
      </c>
      <c r="S170" s="142">
        <f t="shared" si="42"/>
        <v>0</v>
      </c>
      <c r="T170" s="142">
        <f t="shared" si="43"/>
        <v>0</v>
      </c>
      <c r="U170" s="60">
        <f t="shared" si="44"/>
        <v>0</v>
      </c>
    </row>
    <row r="171" spans="1:21" x14ac:dyDescent="0.2">
      <c r="A171" s="115"/>
      <c r="B171" s="139" t="s">
        <v>494</v>
      </c>
      <c r="C171" s="140" t="s">
        <v>157</v>
      </c>
      <c r="D171" s="141">
        <v>44995</v>
      </c>
      <c r="E171" s="141">
        <v>45085</v>
      </c>
      <c r="F171" s="57">
        <v>3824.8</v>
      </c>
      <c r="G171" s="58">
        <f t="shared" si="30"/>
        <v>-937</v>
      </c>
      <c r="H171" s="142">
        <f t="shared" si="31"/>
        <v>3824.8</v>
      </c>
      <c r="I171" s="142">
        <f t="shared" si="32"/>
        <v>0</v>
      </c>
      <c r="J171" s="143">
        <f t="shared" si="33"/>
        <v>0</v>
      </c>
      <c r="K171" s="143">
        <f t="shared" si="34"/>
        <v>0</v>
      </c>
      <c r="L171" s="142">
        <f t="shared" si="35"/>
        <v>0</v>
      </c>
      <c r="M171" s="142">
        <f t="shared" si="36"/>
        <v>0</v>
      </c>
      <c r="N171" s="142">
        <f t="shared" si="37"/>
        <v>0</v>
      </c>
      <c r="O171" s="59">
        <f t="shared" si="38"/>
        <v>3824.8</v>
      </c>
      <c r="P171" s="142">
        <f t="shared" si="39"/>
        <v>0</v>
      </c>
      <c r="Q171" s="142">
        <f t="shared" si="40"/>
        <v>0</v>
      </c>
      <c r="R171" s="142">
        <f t="shared" si="41"/>
        <v>0</v>
      </c>
      <c r="S171" s="142">
        <f t="shared" si="42"/>
        <v>0</v>
      </c>
      <c r="T171" s="142">
        <f t="shared" si="43"/>
        <v>0</v>
      </c>
      <c r="U171" s="60">
        <f t="shared" si="44"/>
        <v>0</v>
      </c>
    </row>
    <row r="172" spans="1:21" x14ac:dyDescent="0.2">
      <c r="A172" s="115"/>
      <c r="B172" s="139" t="s">
        <v>494</v>
      </c>
      <c r="C172" s="140" t="s">
        <v>158</v>
      </c>
      <c r="D172" s="141">
        <v>45022</v>
      </c>
      <c r="E172" s="141">
        <v>45112</v>
      </c>
      <c r="F172" s="57">
        <v>7760</v>
      </c>
      <c r="G172" s="58">
        <f t="shared" si="30"/>
        <v>-910</v>
      </c>
      <c r="H172" s="142">
        <f t="shared" si="31"/>
        <v>7760</v>
      </c>
      <c r="I172" s="142">
        <f t="shared" si="32"/>
        <v>0</v>
      </c>
      <c r="J172" s="143">
        <f t="shared" si="33"/>
        <v>0</v>
      </c>
      <c r="K172" s="143">
        <f t="shared" si="34"/>
        <v>0</v>
      </c>
      <c r="L172" s="142">
        <f t="shared" si="35"/>
        <v>0</v>
      </c>
      <c r="M172" s="142">
        <f t="shared" si="36"/>
        <v>0</v>
      </c>
      <c r="N172" s="142">
        <f t="shared" si="37"/>
        <v>0</v>
      </c>
      <c r="O172" s="59">
        <f t="shared" si="38"/>
        <v>7760</v>
      </c>
      <c r="P172" s="142">
        <f t="shared" si="39"/>
        <v>0</v>
      </c>
      <c r="Q172" s="142">
        <f t="shared" si="40"/>
        <v>0</v>
      </c>
      <c r="R172" s="142">
        <f t="shared" si="41"/>
        <v>0</v>
      </c>
      <c r="S172" s="142">
        <f t="shared" si="42"/>
        <v>0</v>
      </c>
      <c r="T172" s="142">
        <f t="shared" si="43"/>
        <v>0</v>
      </c>
      <c r="U172" s="60">
        <f t="shared" si="44"/>
        <v>0</v>
      </c>
    </row>
    <row r="173" spans="1:21" x14ac:dyDescent="0.2">
      <c r="A173" s="115"/>
      <c r="B173" s="139" t="s">
        <v>494</v>
      </c>
      <c r="C173" s="140" t="s">
        <v>636</v>
      </c>
      <c r="D173" s="141">
        <v>45912</v>
      </c>
      <c r="E173" s="141">
        <v>46002</v>
      </c>
      <c r="F173" s="57">
        <v>14000</v>
      </c>
      <c r="G173" s="58">
        <f t="shared" si="30"/>
        <v>-20</v>
      </c>
      <c r="H173" s="142">
        <f t="shared" si="31"/>
        <v>0</v>
      </c>
      <c r="I173" s="142">
        <f t="shared" si="32"/>
        <v>0</v>
      </c>
      <c r="J173" s="143">
        <f t="shared" si="33"/>
        <v>0</v>
      </c>
      <c r="K173" s="143">
        <f t="shared" si="34"/>
        <v>0</v>
      </c>
      <c r="L173" s="142">
        <f t="shared" si="35"/>
        <v>0</v>
      </c>
      <c r="M173" s="142">
        <f t="shared" si="36"/>
        <v>0</v>
      </c>
      <c r="N173" s="142">
        <f t="shared" si="37"/>
        <v>14000</v>
      </c>
      <c r="O173" s="59">
        <f t="shared" si="38"/>
        <v>14000</v>
      </c>
      <c r="P173" s="142">
        <f t="shared" si="39"/>
        <v>0</v>
      </c>
      <c r="Q173" s="142">
        <f t="shared" si="40"/>
        <v>0</v>
      </c>
      <c r="R173" s="142">
        <f t="shared" si="41"/>
        <v>0</v>
      </c>
      <c r="S173" s="142">
        <f t="shared" si="42"/>
        <v>0</v>
      </c>
      <c r="T173" s="142">
        <f t="shared" si="43"/>
        <v>0</v>
      </c>
      <c r="U173" s="60">
        <f t="shared" si="44"/>
        <v>0</v>
      </c>
    </row>
    <row r="174" spans="1:21" x14ac:dyDescent="0.2">
      <c r="A174" s="115"/>
      <c r="B174" s="139" t="s">
        <v>494</v>
      </c>
      <c r="C174" s="140" t="s">
        <v>637</v>
      </c>
      <c r="D174" s="141">
        <v>45912</v>
      </c>
      <c r="E174" s="141">
        <v>46002</v>
      </c>
      <c r="F174" s="57">
        <v>55200</v>
      </c>
      <c r="G174" s="58">
        <f t="shared" si="30"/>
        <v>-20</v>
      </c>
      <c r="H174" s="142">
        <f t="shared" si="31"/>
        <v>0</v>
      </c>
      <c r="I174" s="142">
        <f t="shared" si="32"/>
        <v>0</v>
      </c>
      <c r="J174" s="143">
        <f t="shared" si="33"/>
        <v>0</v>
      </c>
      <c r="K174" s="143">
        <f t="shared" si="34"/>
        <v>0</v>
      </c>
      <c r="L174" s="142">
        <f t="shared" si="35"/>
        <v>0</v>
      </c>
      <c r="M174" s="142">
        <f t="shared" si="36"/>
        <v>0</v>
      </c>
      <c r="N174" s="142">
        <f t="shared" si="37"/>
        <v>55200</v>
      </c>
      <c r="O174" s="59">
        <f t="shared" si="38"/>
        <v>55200</v>
      </c>
      <c r="P174" s="142">
        <f t="shared" si="39"/>
        <v>0</v>
      </c>
      <c r="Q174" s="142">
        <f t="shared" si="40"/>
        <v>0</v>
      </c>
      <c r="R174" s="142">
        <f t="shared" si="41"/>
        <v>0</v>
      </c>
      <c r="S174" s="142">
        <f t="shared" si="42"/>
        <v>0</v>
      </c>
      <c r="T174" s="142">
        <f t="shared" si="43"/>
        <v>0</v>
      </c>
      <c r="U174" s="60">
        <f t="shared" si="44"/>
        <v>0</v>
      </c>
    </row>
    <row r="175" spans="1:21" x14ac:dyDescent="0.2">
      <c r="A175" s="115"/>
      <c r="B175" s="139" t="s">
        <v>496</v>
      </c>
      <c r="C175" s="140" t="s">
        <v>845</v>
      </c>
      <c r="D175" s="141">
        <v>45938</v>
      </c>
      <c r="E175" s="141">
        <v>46028</v>
      </c>
      <c r="F175" s="57">
        <v>172052</v>
      </c>
      <c r="G175" s="58">
        <f t="shared" si="30"/>
        <v>6</v>
      </c>
      <c r="H175" s="142">
        <f t="shared" si="31"/>
        <v>0</v>
      </c>
      <c r="I175" s="142">
        <f t="shared" si="32"/>
        <v>0</v>
      </c>
      <c r="J175" s="143">
        <f t="shared" si="33"/>
        <v>0</v>
      </c>
      <c r="K175" s="143">
        <f t="shared" si="34"/>
        <v>0</v>
      </c>
      <c r="L175" s="142">
        <f t="shared" si="35"/>
        <v>0</v>
      </c>
      <c r="M175" s="142">
        <f t="shared" si="36"/>
        <v>0</v>
      </c>
      <c r="N175" s="142">
        <f t="shared" si="37"/>
        <v>0</v>
      </c>
      <c r="O175" s="59">
        <f t="shared" si="38"/>
        <v>0</v>
      </c>
      <c r="P175" s="142">
        <f t="shared" si="39"/>
        <v>172052</v>
      </c>
      <c r="Q175" s="142">
        <f t="shared" si="40"/>
        <v>0</v>
      </c>
      <c r="R175" s="142">
        <f t="shared" si="41"/>
        <v>0</v>
      </c>
      <c r="S175" s="142">
        <f t="shared" si="42"/>
        <v>0</v>
      </c>
      <c r="T175" s="142">
        <f t="shared" si="43"/>
        <v>0</v>
      </c>
      <c r="U175" s="60">
        <f t="shared" si="44"/>
        <v>172052</v>
      </c>
    </row>
    <row r="176" spans="1:21" x14ac:dyDescent="0.2">
      <c r="A176" s="115"/>
      <c r="B176" s="139" t="s">
        <v>496</v>
      </c>
      <c r="C176" s="140" t="s">
        <v>854</v>
      </c>
      <c r="D176" s="141">
        <v>45987</v>
      </c>
      <c r="E176" s="141">
        <v>46077</v>
      </c>
      <c r="F176" s="57">
        <v>22800</v>
      </c>
      <c r="G176" s="58">
        <f t="shared" si="30"/>
        <v>55</v>
      </c>
      <c r="H176" s="142">
        <f t="shared" si="31"/>
        <v>0</v>
      </c>
      <c r="I176" s="142">
        <f t="shared" si="32"/>
        <v>0</v>
      </c>
      <c r="J176" s="143">
        <f t="shared" si="33"/>
        <v>0</v>
      </c>
      <c r="K176" s="143">
        <f t="shared" si="34"/>
        <v>0</v>
      </c>
      <c r="L176" s="142">
        <f t="shared" si="35"/>
        <v>0</v>
      </c>
      <c r="M176" s="142">
        <f t="shared" si="36"/>
        <v>0</v>
      </c>
      <c r="N176" s="142">
        <f t="shared" si="37"/>
        <v>0</v>
      </c>
      <c r="O176" s="59">
        <f t="shared" si="38"/>
        <v>0</v>
      </c>
      <c r="P176" s="142">
        <f t="shared" si="39"/>
        <v>0</v>
      </c>
      <c r="Q176" s="142">
        <f t="shared" si="40"/>
        <v>22800</v>
      </c>
      <c r="R176" s="142">
        <f t="shared" si="41"/>
        <v>0</v>
      </c>
      <c r="S176" s="142">
        <f t="shared" si="42"/>
        <v>0</v>
      </c>
      <c r="T176" s="142">
        <f t="shared" si="43"/>
        <v>0</v>
      </c>
      <c r="U176" s="60">
        <f t="shared" si="44"/>
        <v>22800</v>
      </c>
    </row>
    <row r="177" spans="1:21" x14ac:dyDescent="0.2">
      <c r="A177" s="115"/>
      <c r="B177" s="139" t="s">
        <v>434</v>
      </c>
      <c r="C177" s="140" t="s">
        <v>597</v>
      </c>
      <c r="D177" s="141">
        <v>45889</v>
      </c>
      <c r="E177" s="141">
        <v>45934</v>
      </c>
      <c r="F177" s="57">
        <v>32990</v>
      </c>
      <c r="G177" s="58">
        <f t="shared" si="30"/>
        <v>-88</v>
      </c>
      <c r="H177" s="142">
        <f t="shared" si="31"/>
        <v>0</v>
      </c>
      <c r="I177" s="142">
        <f t="shared" si="32"/>
        <v>0</v>
      </c>
      <c r="J177" s="143">
        <f t="shared" si="33"/>
        <v>0</v>
      </c>
      <c r="K177" s="143">
        <f t="shared" si="34"/>
        <v>0</v>
      </c>
      <c r="L177" s="142">
        <f t="shared" si="35"/>
        <v>32990</v>
      </c>
      <c r="M177" s="142">
        <f t="shared" si="36"/>
        <v>0</v>
      </c>
      <c r="N177" s="142">
        <f t="shared" si="37"/>
        <v>0</v>
      </c>
      <c r="O177" s="59">
        <f t="shared" si="38"/>
        <v>32990</v>
      </c>
      <c r="P177" s="142">
        <f>P175-154846.8</f>
        <v>17205.200000000012</v>
      </c>
      <c r="Q177" s="142">
        <f t="shared" si="40"/>
        <v>0</v>
      </c>
      <c r="R177" s="142">
        <f t="shared" si="41"/>
        <v>0</v>
      </c>
      <c r="S177" s="142">
        <f t="shared" si="42"/>
        <v>0</v>
      </c>
      <c r="T177" s="142">
        <f t="shared" si="43"/>
        <v>0</v>
      </c>
      <c r="U177" s="60">
        <f t="shared" si="44"/>
        <v>17205.200000000012</v>
      </c>
    </row>
    <row r="178" spans="1:21" x14ac:dyDescent="0.2">
      <c r="A178" s="115"/>
      <c r="B178" s="139" t="s">
        <v>434</v>
      </c>
      <c r="C178" s="140" t="s">
        <v>598</v>
      </c>
      <c r="D178" s="141">
        <v>45889</v>
      </c>
      <c r="E178" s="141">
        <v>45934</v>
      </c>
      <c r="F178" s="57">
        <v>3840</v>
      </c>
      <c r="G178" s="58">
        <f t="shared" si="30"/>
        <v>-88</v>
      </c>
      <c r="H178" s="142">
        <f t="shared" si="31"/>
        <v>0</v>
      </c>
      <c r="I178" s="142">
        <f t="shared" si="32"/>
        <v>0</v>
      </c>
      <c r="J178" s="143">
        <f t="shared" si="33"/>
        <v>0</v>
      </c>
      <c r="K178" s="143">
        <f t="shared" si="34"/>
        <v>0</v>
      </c>
      <c r="L178" s="142">
        <f t="shared" si="35"/>
        <v>3840</v>
      </c>
      <c r="M178" s="142">
        <f t="shared" si="36"/>
        <v>0</v>
      </c>
      <c r="N178" s="142">
        <f t="shared" si="37"/>
        <v>0</v>
      </c>
      <c r="O178" s="59">
        <f t="shared" si="38"/>
        <v>3840</v>
      </c>
      <c r="P178" s="142">
        <f t="shared" si="39"/>
        <v>0</v>
      </c>
      <c r="Q178" s="142">
        <f t="shared" si="40"/>
        <v>0</v>
      </c>
      <c r="R178" s="142">
        <f t="shared" si="41"/>
        <v>0</v>
      </c>
      <c r="S178" s="142">
        <f t="shared" si="42"/>
        <v>0</v>
      </c>
      <c r="T178" s="142">
        <f t="shared" si="43"/>
        <v>0</v>
      </c>
      <c r="U178" s="60">
        <f t="shared" si="44"/>
        <v>0</v>
      </c>
    </row>
    <row r="179" spans="1:21" x14ac:dyDescent="0.2">
      <c r="A179" s="115"/>
      <c r="B179" s="139" t="s">
        <v>434</v>
      </c>
      <c r="C179" s="140" t="s">
        <v>599</v>
      </c>
      <c r="D179" s="141">
        <v>45889</v>
      </c>
      <c r="E179" s="141">
        <v>45934</v>
      </c>
      <c r="F179" s="57">
        <v>3840</v>
      </c>
      <c r="G179" s="58">
        <f t="shared" si="30"/>
        <v>-88</v>
      </c>
      <c r="H179" s="142">
        <f t="shared" si="31"/>
        <v>0</v>
      </c>
      <c r="I179" s="142">
        <f t="shared" si="32"/>
        <v>0</v>
      </c>
      <c r="J179" s="143">
        <f t="shared" si="33"/>
        <v>0</v>
      </c>
      <c r="K179" s="143">
        <f t="shared" si="34"/>
        <v>0</v>
      </c>
      <c r="L179" s="142">
        <f t="shared" si="35"/>
        <v>3840</v>
      </c>
      <c r="M179" s="142">
        <f t="shared" si="36"/>
        <v>0</v>
      </c>
      <c r="N179" s="142">
        <f t="shared" si="37"/>
        <v>0</v>
      </c>
      <c r="O179" s="59">
        <f t="shared" si="38"/>
        <v>3840</v>
      </c>
      <c r="P179" s="142">
        <f t="shared" si="39"/>
        <v>0</v>
      </c>
      <c r="Q179" s="142">
        <f t="shared" si="40"/>
        <v>0</v>
      </c>
      <c r="R179" s="142">
        <f t="shared" si="41"/>
        <v>0</v>
      </c>
      <c r="S179" s="142">
        <f t="shared" si="42"/>
        <v>0</v>
      </c>
      <c r="T179" s="142">
        <f t="shared" si="43"/>
        <v>0</v>
      </c>
      <c r="U179" s="60">
        <f t="shared" si="44"/>
        <v>0</v>
      </c>
    </row>
    <row r="180" spans="1:21" x14ac:dyDescent="0.2">
      <c r="A180" s="115"/>
      <c r="B180" s="139" t="s">
        <v>434</v>
      </c>
      <c r="C180" s="140" t="s">
        <v>600</v>
      </c>
      <c r="D180" s="141">
        <v>45889</v>
      </c>
      <c r="E180" s="141">
        <v>45934</v>
      </c>
      <c r="F180" s="57">
        <v>3840</v>
      </c>
      <c r="G180" s="58">
        <f t="shared" si="30"/>
        <v>-88</v>
      </c>
      <c r="H180" s="142">
        <f t="shared" si="31"/>
        <v>0</v>
      </c>
      <c r="I180" s="142">
        <f t="shared" si="32"/>
        <v>0</v>
      </c>
      <c r="J180" s="143">
        <f t="shared" si="33"/>
        <v>0</v>
      </c>
      <c r="K180" s="143">
        <f t="shared" si="34"/>
        <v>0</v>
      </c>
      <c r="L180" s="142">
        <f t="shared" si="35"/>
        <v>3840</v>
      </c>
      <c r="M180" s="142">
        <f t="shared" si="36"/>
        <v>0</v>
      </c>
      <c r="N180" s="142">
        <f t="shared" si="37"/>
        <v>0</v>
      </c>
      <c r="O180" s="59">
        <f t="shared" si="38"/>
        <v>3840</v>
      </c>
      <c r="P180" s="142">
        <f t="shared" si="39"/>
        <v>0</v>
      </c>
      <c r="Q180" s="142">
        <f t="shared" si="40"/>
        <v>0</v>
      </c>
      <c r="R180" s="142">
        <f t="shared" si="41"/>
        <v>0</v>
      </c>
      <c r="S180" s="142">
        <f t="shared" si="42"/>
        <v>0</v>
      </c>
      <c r="T180" s="142">
        <f t="shared" si="43"/>
        <v>0</v>
      </c>
      <c r="U180" s="60">
        <f t="shared" si="44"/>
        <v>0</v>
      </c>
    </row>
    <row r="181" spans="1:21" x14ac:dyDescent="0.2">
      <c r="A181" s="115"/>
      <c r="B181" s="139" t="s">
        <v>434</v>
      </c>
      <c r="C181" s="140" t="s">
        <v>601</v>
      </c>
      <c r="D181" s="141">
        <v>45889</v>
      </c>
      <c r="E181" s="141">
        <v>45934</v>
      </c>
      <c r="F181" s="57">
        <v>32990</v>
      </c>
      <c r="G181" s="58">
        <f t="shared" si="30"/>
        <v>-88</v>
      </c>
      <c r="H181" s="142">
        <f t="shared" si="31"/>
        <v>0</v>
      </c>
      <c r="I181" s="142">
        <f t="shared" si="32"/>
        <v>0</v>
      </c>
      <c r="J181" s="143">
        <f t="shared" si="33"/>
        <v>0</v>
      </c>
      <c r="K181" s="143">
        <f t="shared" si="34"/>
        <v>0</v>
      </c>
      <c r="L181" s="142">
        <f t="shared" si="35"/>
        <v>32990</v>
      </c>
      <c r="M181" s="142">
        <f t="shared" si="36"/>
        <v>0</v>
      </c>
      <c r="N181" s="142">
        <f t="shared" si="37"/>
        <v>0</v>
      </c>
      <c r="O181" s="59">
        <f t="shared" si="38"/>
        <v>32990</v>
      </c>
      <c r="P181" s="142">
        <f t="shared" si="39"/>
        <v>0</v>
      </c>
      <c r="Q181" s="142">
        <f t="shared" si="40"/>
        <v>0</v>
      </c>
      <c r="R181" s="142">
        <f t="shared" si="41"/>
        <v>0</v>
      </c>
      <c r="S181" s="142">
        <f t="shared" si="42"/>
        <v>0</v>
      </c>
      <c r="T181" s="142">
        <f t="shared" si="43"/>
        <v>0</v>
      </c>
      <c r="U181" s="60">
        <f t="shared" si="44"/>
        <v>0</v>
      </c>
    </row>
    <row r="182" spans="1:21" x14ac:dyDescent="0.2">
      <c r="A182" s="115"/>
      <c r="B182" s="139" t="s">
        <v>434</v>
      </c>
      <c r="C182" s="140" t="s">
        <v>744</v>
      </c>
      <c r="D182" s="141">
        <v>45933</v>
      </c>
      <c r="E182" s="141">
        <v>45978</v>
      </c>
      <c r="F182" s="57">
        <v>5740</v>
      </c>
      <c r="G182" s="58">
        <f t="shared" si="30"/>
        <v>-44</v>
      </c>
      <c r="H182" s="142">
        <f t="shared" si="31"/>
        <v>0</v>
      </c>
      <c r="I182" s="142">
        <f t="shared" si="32"/>
        <v>0</v>
      </c>
      <c r="J182" s="143">
        <f t="shared" si="33"/>
        <v>0</v>
      </c>
      <c r="K182" s="143">
        <f t="shared" si="34"/>
        <v>0</v>
      </c>
      <c r="L182" s="142">
        <f t="shared" si="35"/>
        <v>0</v>
      </c>
      <c r="M182" s="142">
        <f t="shared" si="36"/>
        <v>5740</v>
      </c>
      <c r="N182" s="142">
        <f t="shared" si="37"/>
        <v>0</v>
      </c>
      <c r="O182" s="59">
        <f t="shared" si="38"/>
        <v>5740</v>
      </c>
      <c r="P182" s="142">
        <f t="shared" si="39"/>
        <v>0</v>
      </c>
      <c r="Q182" s="142">
        <f t="shared" si="40"/>
        <v>0</v>
      </c>
      <c r="R182" s="142">
        <f t="shared" si="41"/>
        <v>0</v>
      </c>
      <c r="S182" s="142">
        <f t="shared" si="42"/>
        <v>0</v>
      </c>
      <c r="T182" s="142">
        <f t="shared" si="43"/>
        <v>0</v>
      </c>
      <c r="U182" s="60">
        <f t="shared" si="44"/>
        <v>0</v>
      </c>
    </row>
    <row r="183" spans="1:21" x14ac:dyDescent="0.2">
      <c r="A183" s="115"/>
      <c r="B183" s="139" t="s">
        <v>434</v>
      </c>
      <c r="C183" s="140" t="s">
        <v>745</v>
      </c>
      <c r="D183" s="141">
        <v>45933</v>
      </c>
      <c r="E183" s="141">
        <v>45978</v>
      </c>
      <c r="F183" s="57">
        <v>5740</v>
      </c>
      <c r="G183" s="58">
        <f t="shared" si="30"/>
        <v>-44</v>
      </c>
      <c r="H183" s="142">
        <f t="shared" si="31"/>
        <v>0</v>
      </c>
      <c r="I183" s="142">
        <f t="shared" si="32"/>
        <v>0</v>
      </c>
      <c r="J183" s="143">
        <f t="shared" si="33"/>
        <v>0</v>
      </c>
      <c r="K183" s="143">
        <f t="shared" si="34"/>
        <v>0</v>
      </c>
      <c r="L183" s="142">
        <f t="shared" si="35"/>
        <v>0</v>
      </c>
      <c r="M183" s="142">
        <f t="shared" si="36"/>
        <v>5740</v>
      </c>
      <c r="N183" s="142">
        <f t="shared" si="37"/>
        <v>0</v>
      </c>
      <c r="O183" s="59">
        <f t="shared" si="38"/>
        <v>5740</v>
      </c>
      <c r="P183" s="142">
        <f t="shared" si="39"/>
        <v>0</v>
      </c>
      <c r="Q183" s="142">
        <f t="shared" si="40"/>
        <v>0</v>
      </c>
      <c r="R183" s="142">
        <f t="shared" si="41"/>
        <v>0</v>
      </c>
      <c r="S183" s="142">
        <f t="shared" si="42"/>
        <v>0</v>
      </c>
      <c r="T183" s="142">
        <f t="shared" si="43"/>
        <v>0</v>
      </c>
      <c r="U183" s="60">
        <f t="shared" si="44"/>
        <v>0</v>
      </c>
    </row>
    <row r="184" spans="1:21" x14ac:dyDescent="0.2">
      <c r="A184" s="115"/>
      <c r="B184" s="139" t="s">
        <v>434</v>
      </c>
      <c r="C184" s="140" t="s">
        <v>807</v>
      </c>
      <c r="D184" s="141">
        <v>45933</v>
      </c>
      <c r="E184" s="141">
        <v>45978</v>
      </c>
      <c r="F184" s="57">
        <v>30712.45</v>
      </c>
      <c r="G184" s="58">
        <f t="shared" si="30"/>
        <v>-44</v>
      </c>
      <c r="H184" s="142">
        <f t="shared" si="31"/>
        <v>0</v>
      </c>
      <c r="I184" s="142">
        <f t="shared" si="32"/>
        <v>0</v>
      </c>
      <c r="J184" s="143">
        <f t="shared" si="33"/>
        <v>0</v>
      </c>
      <c r="K184" s="143">
        <f t="shared" si="34"/>
        <v>0</v>
      </c>
      <c r="L184" s="142">
        <f t="shared" si="35"/>
        <v>0</v>
      </c>
      <c r="M184" s="142">
        <f t="shared" si="36"/>
        <v>30712.45</v>
      </c>
      <c r="N184" s="142">
        <f t="shared" si="37"/>
        <v>0</v>
      </c>
      <c r="O184" s="59">
        <f t="shared" si="38"/>
        <v>30712.45</v>
      </c>
      <c r="P184" s="142">
        <f t="shared" si="39"/>
        <v>0</v>
      </c>
      <c r="Q184" s="142">
        <f t="shared" si="40"/>
        <v>0</v>
      </c>
      <c r="R184" s="142">
        <f t="shared" si="41"/>
        <v>0</v>
      </c>
      <c r="S184" s="142">
        <f t="shared" si="42"/>
        <v>0</v>
      </c>
      <c r="T184" s="142">
        <f t="shared" si="43"/>
        <v>0</v>
      </c>
      <c r="U184" s="60">
        <f t="shared" si="44"/>
        <v>0</v>
      </c>
    </row>
    <row r="185" spans="1:21" x14ac:dyDescent="0.2">
      <c r="A185" s="115"/>
      <c r="B185" s="139" t="s">
        <v>434</v>
      </c>
      <c r="C185" s="140" t="s">
        <v>740</v>
      </c>
      <c r="D185" s="141">
        <v>45933</v>
      </c>
      <c r="E185" s="141">
        <v>45978</v>
      </c>
      <c r="F185" s="57">
        <v>5240</v>
      </c>
      <c r="G185" s="58">
        <f t="shared" si="30"/>
        <v>-44</v>
      </c>
      <c r="H185" s="142">
        <f t="shared" si="31"/>
        <v>0</v>
      </c>
      <c r="I185" s="142">
        <f t="shared" si="32"/>
        <v>0</v>
      </c>
      <c r="J185" s="143">
        <f t="shared" si="33"/>
        <v>0</v>
      </c>
      <c r="K185" s="143">
        <f t="shared" si="34"/>
        <v>0</v>
      </c>
      <c r="L185" s="142">
        <f t="shared" si="35"/>
        <v>0</v>
      </c>
      <c r="M185" s="142">
        <f t="shared" si="36"/>
        <v>5240</v>
      </c>
      <c r="N185" s="142">
        <f t="shared" si="37"/>
        <v>0</v>
      </c>
      <c r="O185" s="59">
        <f t="shared" si="38"/>
        <v>5240</v>
      </c>
      <c r="P185" s="142">
        <f t="shared" si="39"/>
        <v>0</v>
      </c>
      <c r="Q185" s="142">
        <f t="shared" si="40"/>
        <v>0</v>
      </c>
      <c r="R185" s="142">
        <f t="shared" si="41"/>
        <v>0</v>
      </c>
      <c r="S185" s="142">
        <f t="shared" si="42"/>
        <v>0</v>
      </c>
      <c r="T185" s="142">
        <f t="shared" si="43"/>
        <v>0</v>
      </c>
      <c r="U185" s="60">
        <f t="shared" si="44"/>
        <v>0</v>
      </c>
    </row>
    <row r="186" spans="1:21" x14ac:dyDescent="0.2">
      <c r="A186" s="115"/>
      <c r="B186" s="139" t="s">
        <v>434</v>
      </c>
      <c r="C186" s="140" t="s">
        <v>729</v>
      </c>
      <c r="D186" s="141">
        <v>45933</v>
      </c>
      <c r="E186" s="141">
        <v>45978</v>
      </c>
      <c r="F186" s="57">
        <v>3840</v>
      </c>
      <c r="G186" s="58">
        <f t="shared" si="30"/>
        <v>-44</v>
      </c>
      <c r="H186" s="142">
        <f t="shared" si="31"/>
        <v>0</v>
      </c>
      <c r="I186" s="142">
        <f t="shared" si="32"/>
        <v>0</v>
      </c>
      <c r="J186" s="143">
        <f t="shared" si="33"/>
        <v>0</v>
      </c>
      <c r="K186" s="143">
        <f t="shared" si="34"/>
        <v>0</v>
      </c>
      <c r="L186" s="142">
        <f t="shared" si="35"/>
        <v>0</v>
      </c>
      <c r="M186" s="142">
        <f t="shared" si="36"/>
        <v>3840</v>
      </c>
      <c r="N186" s="142">
        <f t="shared" si="37"/>
        <v>0</v>
      </c>
      <c r="O186" s="59">
        <f t="shared" si="38"/>
        <v>3840</v>
      </c>
      <c r="P186" s="142">
        <f t="shared" si="39"/>
        <v>0</v>
      </c>
      <c r="Q186" s="142">
        <f t="shared" si="40"/>
        <v>0</v>
      </c>
      <c r="R186" s="142">
        <f t="shared" si="41"/>
        <v>0</v>
      </c>
      <c r="S186" s="142">
        <f t="shared" si="42"/>
        <v>0</v>
      </c>
      <c r="T186" s="142">
        <f t="shared" si="43"/>
        <v>0</v>
      </c>
      <c r="U186" s="60">
        <f t="shared" si="44"/>
        <v>0</v>
      </c>
    </row>
    <row r="187" spans="1:21" x14ac:dyDescent="0.2">
      <c r="A187" s="115"/>
      <c r="B187" s="139" t="s">
        <v>434</v>
      </c>
      <c r="C187" s="140" t="s">
        <v>754</v>
      </c>
      <c r="D187" s="141">
        <v>45933</v>
      </c>
      <c r="E187" s="141">
        <v>45978</v>
      </c>
      <c r="F187" s="57">
        <v>6920</v>
      </c>
      <c r="G187" s="58">
        <f t="shared" si="30"/>
        <v>-44</v>
      </c>
      <c r="H187" s="142">
        <f t="shared" si="31"/>
        <v>0</v>
      </c>
      <c r="I187" s="142">
        <f t="shared" si="32"/>
        <v>0</v>
      </c>
      <c r="J187" s="143">
        <f t="shared" si="33"/>
        <v>0</v>
      </c>
      <c r="K187" s="143">
        <f t="shared" si="34"/>
        <v>0</v>
      </c>
      <c r="L187" s="142">
        <f t="shared" si="35"/>
        <v>0</v>
      </c>
      <c r="M187" s="142">
        <f t="shared" si="36"/>
        <v>6920</v>
      </c>
      <c r="N187" s="142">
        <f t="shared" si="37"/>
        <v>0</v>
      </c>
      <c r="O187" s="59">
        <f t="shared" si="38"/>
        <v>6920</v>
      </c>
      <c r="P187" s="142">
        <f t="shared" si="39"/>
        <v>0</v>
      </c>
      <c r="Q187" s="142">
        <f t="shared" si="40"/>
        <v>0</v>
      </c>
      <c r="R187" s="142">
        <f t="shared" si="41"/>
        <v>0</v>
      </c>
      <c r="S187" s="142">
        <f t="shared" si="42"/>
        <v>0</v>
      </c>
      <c r="T187" s="142">
        <f t="shared" si="43"/>
        <v>0</v>
      </c>
      <c r="U187" s="60">
        <f t="shared" si="44"/>
        <v>0</v>
      </c>
    </row>
    <row r="188" spans="1:21" x14ac:dyDescent="0.2">
      <c r="A188" s="115"/>
      <c r="B188" s="139" t="s">
        <v>434</v>
      </c>
      <c r="C188" s="140" t="s">
        <v>756</v>
      </c>
      <c r="D188" s="141">
        <v>45933</v>
      </c>
      <c r="E188" s="141">
        <v>45978</v>
      </c>
      <c r="F188" s="57">
        <v>7100</v>
      </c>
      <c r="G188" s="58">
        <f t="shared" si="30"/>
        <v>-44</v>
      </c>
      <c r="H188" s="142">
        <f t="shared" si="31"/>
        <v>0</v>
      </c>
      <c r="I188" s="142">
        <f t="shared" si="32"/>
        <v>0</v>
      </c>
      <c r="J188" s="143">
        <f t="shared" si="33"/>
        <v>0</v>
      </c>
      <c r="K188" s="143">
        <f t="shared" si="34"/>
        <v>0</v>
      </c>
      <c r="L188" s="142">
        <f t="shared" si="35"/>
        <v>0</v>
      </c>
      <c r="M188" s="142">
        <f t="shared" si="36"/>
        <v>7100</v>
      </c>
      <c r="N188" s="142">
        <f t="shared" si="37"/>
        <v>0</v>
      </c>
      <c r="O188" s="59">
        <f t="shared" si="38"/>
        <v>7100</v>
      </c>
      <c r="P188" s="142">
        <f t="shared" si="39"/>
        <v>0</v>
      </c>
      <c r="Q188" s="142">
        <f t="shared" si="40"/>
        <v>0</v>
      </c>
      <c r="R188" s="142">
        <f t="shared" si="41"/>
        <v>0</v>
      </c>
      <c r="S188" s="142">
        <f t="shared" si="42"/>
        <v>0</v>
      </c>
      <c r="T188" s="142">
        <f t="shared" si="43"/>
        <v>0</v>
      </c>
      <c r="U188" s="60">
        <f t="shared" si="44"/>
        <v>0</v>
      </c>
    </row>
    <row r="189" spans="1:21" x14ac:dyDescent="0.2">
      <c r="A189" s="115"/>
      <c r="B189" s="139" t="s">
        <v>434</v>
      </c>
      <c r="C189" s="140" t="s">
        <v>730</v>
      </c>
      <c r="D189" s="141">
        <v>45960</v>
      </c>
      <c r="E189" s="141">
        <v>46005</v>
      </c>
      <c r="F189" s="57">
        <v>3840</v>
      </c>
      <c r="G189" s="58">
        <f t="shared" si="30"/>
        <v>-17</v>
      </c>
      <c r="H189" s="142">
        <f t="shared" si="31"/>
        <v>0</v>
      </c>
      <c r="I189" s="142">
        <f t="shared" si="32"/>
        <v>0</v>
      </c>
      <c r="J189" s="143">
        <f t="shared" si="33"/>
        <v>0</v>
      </c>
      <c r="K189" s="143">
        <f t="shared" si="34"/>
        <v>0</v>
      </c>
      <c r="L189" s="142">
        <f t="shared" si="35"/>
        <v>0</v>
      </c>
      <c r="M189" s="142">
        <f t="shared" si="36"/>
        <v>0</v>
      </c>
      <c r="N189" s="142">
        <f t="shared" si="37"/>
        <v>3840</v>
      </c>
      <c r="O189" s="59">
        <f t="shared" si="38"/>
        <v>3840</v>
      </c>
      <c r="P189" s="142">
        <f t="shared" si="39"/>
        <v>0</v>
      </c>
      <c r="Q189" s="142">
        <f t="shared" si="40"/>
        <v>0</v>
      </c>
      <c r="R189" s="142">
        <f t="shared" si="41"/>
        <v>0</v>
      </c>
      <c r="S189" s="142">
        <f t="shared" si="42"/>
        <v>0</v>
      </c>
      <c r="T189" s="142">
        <f t="shared" si="43"/>
        <v>0</v>
      </c>
      <c r="U189" s="60">
        <f t="shared" si="44"/>
        <v>0</v>
      </c>
    </row>
    <row r="190" spans="1:21" x14ac:dyDescent="0.2">
      <c r="A190" s="115"/>
      <c r="B190" s="139" t="s">
        <v>434</v>
      </c>
      <c r="C190" s="140" t="s">
        <v>731</v>
      </c>
      <c r="D190" s="141">
        <v>45960</v>
      </c>
      <c r="E190" s="141">
        <v>46005</v>
      </c>
      <c r="F190" s="57">
        <v>3840</v>
      </c>
      <c r="G190" s="58">
        <f t="shared" si="30"/>
        <v>-17</v>
      </c>
      <c r="H190" s="142">
        <f t="shared" si="31"/>
        <v>0</v>
      </c>
      <c r="I190" s="142">
        <f t="shared" si="32"/>
        <v>0</v>
      </c>
      <c r="J190" s="143">
        <f t="shared" si="33"/>
        <v>0</v>
      </c>
      <c r="K190" s="143">
        <f t="shared" si="34"/>
        <v>0</v>
      </c>
      <c r="L190" s="142">
        <f t="shared" si="35"/>
        <v>0</v>
      </c>
      <c r="M190" s="142">
        <f t="shared" si="36"/>
        <v>0</v>
      </c>
      <c r="N190" s="142">
        <f t="shared" si="37"/>
        <v>3840</v>
      </c>
      <c r="O190" s="59">
        <f t="shared" si="38"/>
        <v>3840</v>
      </c>
      <c r="P190" s="142">
        <f t="shared" si="39"/>
        <v>0</v>
      </c>
      <c r="Q190" s="142">
        <f t="shared" si="40"/>
        <v>0</v>
      </c>
      <c r="R190" s="142">
        <f t="shared" si="41"/>
        <v>0</v>
      </c>
      <c r="S190" s="142">
        <f t="shared" si="42"/>
        <v>0</v>
      </c>
      <c r="T190" s="142">
        <f t="shared" si="43"/>
        <v>0</v>
      </c>
      <c r="U190" s="60">
        <f t="shared" si="44"/>
        <v>0</v>
      </c>
    </row>
    <row r="191" spans="1:21" x14ac:dyDescent="0.2">
      <c r="A191" s="115"/>
      <c r="B191" s="139" t="s">
        <v>434</v>
      </c>
      <c r="C191" s="140" t="s">
        <v>812</v>
      </c>
      <c r="D191" s="141">
        <v>45960</v>
      </c>
      <c r="E191" s="141">
        <v>46005</v>
      </c>
      <c r="F191" s="57">
        <v>32990</v>
      </c>
      <c r="G191" s="58">
        <f t="shared" si="30"/>
        <v>-17</v>
      </c>
      <c r="H191" s="142">
        <f t="shared" si="31"/>
        <v>0</v>
      </c>
      <c r="I191" s="142">
        <f t="shared" si="32"/>
        <v>0</v>
      </c>
      <c r="J191" s="143">
        <f t="shared" si="33"/>
        <v>0</v>
      </c>
      <c r="K191" s="143">
        <f t="shared" si="34"/>
        <v>0</v>
      </c>
      <c r="L191" s="142">
        <f t="shared" si="35"/>
        <v>0</v>
      </c>
      <c r="M191" s="142">
        <f t="shared" si="36"/>
        <v>0</v>
      </c>
      <c r="N191" s="142">
        <f t="shared" si="37"/>
        <v>32990</v>
      </c>
      <c r="O191" s="59">
        <f t="shared" si="38"/>
        <v>32990</v>
      </c>
      <c r="P191" s="142">
        <f t="shared" si="39"/>
        <v>0</v>
      </c>
      <c r="Q191" s="142">
        <f t="shared" si="40"/>
        <v>0</v>
      </c>
      <c r="R191" s="142">
        <f t="shared" si="41"/>
        <v>0</v>
      </c>
      <c r="S191" s="142">
        <f t="shared" si="42"/>
        <v>0</v>
      </c>
      <c r="T191" s="142">
        <f t="shared" si="43"/>
        <v>0</v>
      </c>
      <c r="U191" s="60">
        <f t="shared" si="44"/>
        <v>0</v>
      </c>
    </row>
    <row r="192" spans="1:21" x14ac:dyDescent="0.2">
      <c r="A192" s="115"/>
      <c r="B192" s="139" t="s">
        <v>434</v>
      </c>
      <c r="C192" s="140" t="s">
        <v>732</v>
      </c>
      <c r="D192" s="141">
        <v>45960</v>
      </c>
      <c r="E192" s="141">
        <v>46005</v>
      </c>
      <c r="F192" s="57">
        <v>3840</v>
      </c>
      <c r="G192" s="58">
        <f t="shared" si="30"/>
        <v>-17</v>
      </c>
      <c r="H192" s="142">
        <f t="shared" si="31"/>
        <v>0</v>
      </c>
      <c r="I192" s="142">
        <f t="shared" si="32"/>
        <v>0</v>
      </c>
      <c r="J192" s="143">
        <f t="shared" si="33"/>
        <v>0</v>
      </c>
      <c r="K192" s="143">
        <f t="shared" si="34"/>
        <v>0</v>
      </c>
      <c r="L192" s="142">
        <f t="shared" si="35"/>
        <v>0</v>
      </c>
      <c r="M192" s="142">
        <f t="shared" si="36"/>
        <v>0</v>
      </c>
      <c r="N192" s="142">
        <f t="shared" si="37"/>
        <v>3840</v>
      </c>
      <c r="O192" s="59">
        <f t="shared" si="38"/>
        <v>3840</v>
      </c>
      <c r="P192" s="142">
        <f t="shared" si="39"/>
        <v>0</v>
      </c>
      <c r="Q192" s="142">
        <f t="shared" si="40"/>
        <v>0</v>
      </c>
      <c r="R192" s="142">
        <f t="shared" si="41"/>
        <v>0</v>
      </c>
      <c r="S192" s="142">
        <f t="shared" si="42"/>
        <v>0</v>
      </c>
      <c r="T192" s="142">
        <f t="shared" si="43"/>
        <v>0</v>
      </c>
      <c r="U192" s="60">
        <f t="shared" si="44"/>
        <v>0</v>
      </c>
    </row>
    <row r="193" spans="1:21" x14ac:dyDescent="0.2">
      <c r="A193" s="115"/>
      <c r="B193" s="139" t="s">
        <v>434</v>
      </c>
      <c r="C193" s="140" t="s">
        <v>755</v>
      </c>
      <c r="D193" s="141">
        <v>45960</v>
      </c>
      <c r="E193" s="141">
        <v>46005</v>
      </c>
      <c r="F193" s="57">
        <v>6920</v>
      </c>
      <c r="G193" s="58">
        <f t="shared" si="30"/>
        <v>-17</v>
      </c>
      <c r="H193" s="142">
        <f t="shared" si="31"/>
        <v>0</v>
      </c>
      <c r="I193" s="142">
        <f t="shared" si="32"/>
        <v>0</v>
      </c>
      <c r="J193" s="143">
        <f t="shared" si="33"/>
        <v>0</v>
      </c>
      <c r="K193" s="143">
        <f t="shared" si="34"/>
        <v>0</v>
      </c>
      <c r="L193" s="142">
        <f t="shared" si="35"/>
        <v>0</v>
      </c>
      <c r="M193" s="142">
        <f t="shared" si="36"/>
        <v>0</v>
      </c>
      <c r="N193" s="142">
        <f t="shared" si="37"/>
        <v>6920</v>
      </c>
      <c r="O193" s="59">
        <f t="shared" si="38"/>
        <v>6920</v>
      </c>
      <c r="P193" s="142">
        <f t="shared" si="39"/>
        <v>0</v>
      </c>
      <c r="Q193" s="142">
        <f t="shared" si="40"/>
        <v>0</v>
      </c>
      <c r="R193" s="142">
        <f t="shared" si="41"/>
        <v>0</v>
      </c>
      <c r="S193" s="142">
        <f t="shared" si="42"/>
        <v>0</v>
      </c>
      <c r="T193" s="142">
        <f t="shared" si="43"/>
        <v>0</v>
      </c>
      <c r="U193" s="60">
        <f t="shared" si="44"/>
        <v>0</v>
      </c>
    </row>
    <row r="194" spans="1:21" x14ac:dyDescent="0.2">
      <c r="A194" s="115"/>
      <c r="B194" s="139" t="s">
        <v>434</v>
      </c>
      <c r="C194" s="140" t="s">
        <v>787</v>
      </c>
      <c r="D194" s="141">
        <v>45960</v>
      </c>
      <c r="E194" s="141">
        <v>46005</v>
      </c>
      <c r="F194" s="57">
        <v>16840</v>
      </c>
      <c r="G194" s="58">
        <f t="shared" si="30"/>
        <v>-17</v>
      </c>
      <c r="H194" s="142">
        <f t="shared" si="31"/>
        <v>0</v>
      </c>
      <c r="I194" s="142">
        <f t="shared" si="32"/>
        <v>0</v>
      </c>
      <c r="J194" s="143">
        <f t="shared" si="33"/>
        <v>0</v>
      </c>
      <c r="K194" s="143">
        <f t="shared" si="34"/>
        <v>0</v>
      </c>
      <c r="L194" s="142">
        <f t="shared" si="35"/>
        <v>0</v>
      </c>
      <c r="M194" s="142">
        <f t="shared" si="36"/>
        <v>0</v>
      </c>
      <c r="N194" s="142">
        <f t="shared" si="37"/>
        <v>16840</v>
      </c>
      <c r="O194" s="59">
        <f t="shared" si="38"/>
        <v>16840</v>
      </c>
      <c r="P194" s="142">
        <f t="shared" si="39"/>
        <v>0</v>
      </c>
      <c r="Q194" s="142">
        <f t="shared" si="40"/>
        <v>0</v>
      </c>
      <c r="R194" s="142">
        <f t="shared" si="41"/>
        <v>0</v>
      </c>
      <c r="S194" s="142">
        <f t="shared" si="42"/>
        <v>0</v>
      </c>
      <c r="T194" s="142">
        <f t="shared" si="43"/>
        <v>0</v>
      </c>
      <c r="U194" s="60">
        <f t="shared" si="44"/>
        <v>0</v>
      </c>
    </row>
    <row r="195" spans="1:21" x14ac:dyDescent="0.2">
      <c r="A195" s="115"/>
      <c r="B195" s="139" t="s">
        <v>434</v>
      </c>
      <c r="C195" s="140" t="s">
        <v>776</v>
      </c>
      <c r="D195" s="141">
        <v>45960</v>
      </c>
      <c r="E195" s="141">
        <v>46005</v>
      </c>
      <c r="F195" s="57">
        <v>12620</v>
      </c>
      <c r="G195" s="58">
        <f t="shared" si="30"/>
        <v>-17</v>
      </c>
      <c r="H195" s="142">
        <f t="shared" si="31"/>
        <v>0</v>
      </c>
      <c r="I195" s="142">
        <f t="shared" si="32"/>
        <v>0</v>
      </c>
      <c r="J195" s="143">
        <f t="shared" si="33"/>
        <v>0</v>
      </c>
      <c r="K195" s="143">
        <f t="shared" si="34"/>
        <v>0</v>
      </c>
      <c r="L195" s="142">
        <f t="shared" si="35"/>
        <v>0</v>
      </c>
      <c r="M195" s="142">
        <f t="shared" si="36"/>
        <v>0</v>
      </c>
      <c r="N195" s="142">
        <f t="shared" si="37"/>
        <v>12620</v>
      </c>
      <c r="O195" s="59">
        <f t="shared" si="38"/>
        <v>12620</v>
      </c>
      <c r="P195" s="142">
        <f t="shared" si="39"/>
        <v>0</v>
      </c>
      <c r="Q195" s="142">
        <f t="shared" si="40"/>
        <v>0</v>
      </c>
      <c r="R195" s="142">
        <f t="shared" si="41"/>
        <v>0</v>
      </c>
      <c r="S195" s="142">
        <f t="shared" si="42"/>
        <v>0</v>
      </c>
      <c r="T195" s="142">
        <f t="shared" si="43"/>
        <v>0</v>
      </c>
      <c r="U195" s="60">
        <f t="shared" si="44"/>
        <v>0</v>
      </c>
    </row>
    <row r="196" spans="1:21" x14ac:dyDescent="0.2">
      <c r="A196" s="115"/>
      <c r="B196" s="139" t="s">
        <v>434</v>
      </c>
      <c r="C196" s="140" t="s">
        <v>746</v>
      </c>
      <c r="D196" s="141">
        <v>45960</v>
      </c>
      <c r="E196" s="141">
        <v>46005</v>
      </c>
      <c r="F196" s="57">
        <v>5740</v>
      </c>
      <c r="G196" s="58">
        <f t="shared" si="30"/>
        <v>-17</v>
      </c>
      <c r="H196" s="142">
        <f t="shared" si="31"/>
        <v>0</v>
      </c>
      <c r="I196" s="142">
        <f t="shared" si="32"/>
        <v>0</v>
      </c>
      <c r="J196" s="143">
        <f t="shared" si="33"/>
        <v>0</v>
      </c>
      <c r="K196" s="143">
        <f t="shared" si="34"/>
        <v>0</v>
      </c>
      <c r="L196" s="142">
        <f t="shared" si="35"/>
        <v>0</v>
      </c>
      <c r="M196" s="142">
        <f t="shared" si="36"/>
        <v>0</v>
      </c>
      <c r="N196" s="142">
        <f t="shared" si="37"/>
        <v>5740</v>
      </c>
      <c r="O196" s="59">
        <f t="shared" si="38"/>
        <v>5740</v>
      </c>
      <c r="P196" s="142">
        <f t="shared" si="39"/>
        <v>0</v>
      </c>
      <c r="Q196" s="142">
        <f t="shared" si="40"/>
        <v>0</v>
      </c>
      <c r="R196" s="142">
        <f t="shared" si="41"/>
        <v>0</v>
      </c>
      <c r="S196" s="142">
        <f t="shared" si="42"/>
        <v>0</v>
      </c>
      <c r="T196" s="142">
        <f t="shared" si="43"/>
        <v>0</v>
      </c>
      <c r="U196" s="60">
        <f t="shared" si="44"/>
        <v>0</v>
      </c>
    </row>
    <row r="197" spans="1:21" x14ac:dyDescent="0.2">
      <c r="A197" s="115"/>
      <c r="B197" s="139" t="s">
        <v>375</v>
      </c>
      <c r="C197" s="140" t="s">
        <v>130</v>
      </c>
      <c r="D197" s="141">
        <v>41901</v>
      </c>
      <c r="E197" s="141">
        <v>41931</v>
      </c>
      <c r="F197" s="57">
        <v>5920</v>
      </c>
      <c r="G197" s="58">
        <f t="shared" si="30"/>
        <v>-4091</v>
      </c>
      <c r="H197" s="142">
        <f t="shared" si="31"/>
        <v>5920</v>
      </c>
      <c r="I197" s="142">
        <f t="shared" si="32"/>
        <v>0</v>
      </c>
      <c r="J197" s="143">
        <f t="shared" si="33"/>
        <v>0</v>
      </c>
      <c r="K197" s="143">
        <f t="shared" si="34"/>
        <v>0</v>
      </c>
      <c r="L197" s="142">
        <f t="shared" si="35"/>
        <v>0</v>
      </c>
      <c r="M197" s="142">
        <f t="shared" si="36"/>
        <v>0</v>
      </c>
      <c r="N197" s="142">
        <f t="shared" si="37"/>
        <v>0</v>
      </c>
      <c r="O197" s="59">
        <f t="shared" si="38"/>
        <v>5920</v>
      </c>
      <c r="P197" s="142">
        <f t="shared" si="39"/>
        <v>0</v>
      </c>
      <c r="Q197" s="142">
        <f t="shared" si="40"/>
        <v>0</v>
      </c>
      <c r="R197" s="142">
        <f t="shared" si="41"/>
        <v>0</v>
      </c>
      <c r="S197" s="142">
        <f t="shared" si="42"/>
        <v>0</v>
      </c>
      <c r="T197" s="142">
        <f t="shared" si="43"/>
        <v>0</v>
      </c>
      <c r="U197" s="60">
        <f t="shared" si="44"/>
        <v>0</v>
      </c>
    </row>
    <row r="198" spans="1:21" x14ac:dyDescent="0.2">
      <c r="A198" s="115"/>
      <c r="B198" s="139" t="s">
        <v>368</v>
      </c>
      <c r="C198" s="140" t="s">
        <v>312</v>
      </c>
      <c r="D198" s="141">
        <v>45575</v>
      </c>
      <c r="E198" s="141">
        <v>45635</v>
      </c>
      <c r="F198" s="57">
        <v>8070</v>
      </c>
      <c r="G198" s="58">
        <f t="shared" si="30"/>
        <v>-387</v>
      </c>
      <c r="H198" s="142">
        <f t="shared" si="31"/>
        <v>8070</v>
      </c>
      <c r="I198" s="142">
        <f t="shared" si="32"/>
        <v>0</v>
      </c>
      <c r="J198" s="143">
        <f t="shared" si="33"/>
        <v>0</v>
      </c>
      <c r="K198" s="143">
        <f t="shared" si="34"/>
        <v>0</v>
      </c>
      <c r="L198" s="142">
        <f t="shared" si="35"/>
        <v>0</v>
      </c>
      <c r="M198" s="142">
        <f t="shared" si="36"/>
        <v>0</v>
      </c>
      <c r="N198" s="142">
        <f t="shared" si="37"/>
        <v>0</v>
      </c>
      <c r="O198" s="59">
        <f t="shared" si="38"/>
        <v>8070</v>
      </c>
      <c r="P198" s="142">
        <f t="shared" si="39"/>
        <v>0</v>
      </c>
      <c r="Q198" s="142">
        <f t="shared" si="40"/>
        <v>0</v>
      </c>
      <c r="R198" s="142">
        <f t="shared" si="41"/>
        <v>0</v>
      </c>
      <c r="S198" s="142">
        <f t="shared" si="42"/>
        <v>0</v>
      </c>
      <c r="T198" s="142">
        <f t="shared" si="43"/>
        <v>0</v>
      </c>
      <c r="U198" s="60">
        <f t="shared" si="44"/>
        <v>0</v>
      </c>
    </row>
    <row r="199" spans="1:21" x14ac:dyDescent="0.2">
      <c r="A199" s="115"/>
      <c r="B199" s="139" t="s">
        <v>368</v>
      </c>
      <c r="C199" s="140" t="s">
        <v>313</v>
      </c>
      <c r="D199" s="141">
        <v>45575</v>
      </c>
      <c r="E199" s="141">
        <v>45635</v>
      </c>
      <c r="F199" s="57">
        <v>20150</v>
      </c>
      <c r="G199" s="58">
        <f t="shared" ref="G199:G262" si="45">E199-$H$3</f>
        <v>-387</v>
      </c>
      <c r="H199" s="142">
        <f t="shared" ref="H199:H262" si="46">IF(AND($G199&gt;=-8000,$G199&lt;=-181),$F199,0)</f>
        <v>20150</v>
      </c>
      <c r="I199" s="142">
        <f t="shared" ref="I199:I262" si="47">IF(AND($G199&gt;=-180,$G199&lt;=-151),$F199,0)</f>
        <v>0</v>
      </c>
      <c r="J199" s="143">
        <f t="shared" ref="J199:J262" si="48">IF(AND($G199&gt;=-150,$G199&lt;=-121),$F199,0)</f>
        <v>0</v>
      </c>
      <c r="K199" s="143">
        <f t="shared" ref="K199:K262" si="49">IF(AND($G199&gt;=-120,$G199&lt;=-91),$F199,0)</f>
        <v>0</v>
      </c>
      <c r="L199" s="142">
        <f t="shared" ref="L199:L262" si="50">IF(AND($G199&gt;=-90,$G199&lt;=-61),$F199,0)</f>
        <v>0</v>
      </c>
      <c r="M199" s="142">
        <f t="shared" ref="M199:M262" si="51">IF(AND($G199&gt;=-60,$G199&lt;=-31),$F199,0)</f>
        <v>0</v>
      </c>
      <c r="N199" s="142">
        <f t="shared" ref="N199:N262" si="52">IF(AND($G199&gt;=-30,$G199&lt;=-1),$F199,0)</f>
        <v>0</v>
      </c>
      <c r="O199" s="59">
        <f t="shared" ref="O199:O262" si="53">SUM(H199:N199)</f>
        <v>20150</v>
      </c>
      <c r="P199" s="142">
        <f t="shared" ref="P199:P262" si="54">IF(AND($G199&lt;=30,$G199&gt;=0),$F199,0)</f>
        <v>0</v>
      </c>
      <c r="Q199" s="142">
        <f t="shared" ref="Q199:Q262" si="55">IF(AND($G199&lt;=60,$G199&gt;=31),$F199,0)</f>
        <v>0</v>
      </c>
      <c r="R199" s="142">
        <f t="shared" ref="R199:R262" si="56">IF(AND($G199&lt;=90,$G199&gt;=61),$F199,0)</f>
        <v>0</v>
      </c>
      <c r="S199" s="142">
        <f t="shared" ref="S199:S262" si="57">IF(AND($G199&lt;=120,$G199&gt;=91),$F199,0)</f>
        <v>0</v>
      </c>
      <c r="T199" s="142">
        <f t="shared" ref="T199:T262" si="58">IF(G199&gt;=121,F199,0)</f>
        <v>0</v>
      </c>
      <c r="U199" s="60">
        <f t="shared" ref="U199:U262" si="59">SUM(P199:T199)</f>
        <v>0</v>
      </c>
    </row>
    <row r="200" spans="1:21" x14ac:dyDescent="0.2">
      <c r="A200" s="115"/>
      <c r="B200" s="139" t="s">
        <v>368</v>
      </c>
      <c r="C200" s="140" t="s">
        <v>314</v>
      </c>
      <c r="D200" s="141">
        <v>45575</v>
      </c>
      <c r="E200" s="141">
        <v>45635</v>
      </c>
      <c r="F200" s="57">
        <v>10929</v>
      </c>
      <c r="G200" s="58">
        <f t="shared" si="45"/>
        <v>-387</v>
      </c>
      <c r="H200" s="142">
        <f t="shared" si="46"/>
        <v>10929</v>
      </c>
      <c r="I200" s="142">
        <f t="shared" si="47"/>
        <v>0</v>
      </c>
      <c r="J200" s="143">
        <f t="shared" si="48"/>
        <v>0</v>
      </c>
      <c r="K200" s="143">
        <f t="shared" si="49"/>
        <v>0</v>
      </c>
      <c r="L200" s="142">
        <f t="shared" si="50"/>
        <v>0</v>
      </c>
      <c r="M200" s="142">
        <f t="shared" si="51"/>
        <v>0</v>
      </c>
      <c r="N200" s="142">
        <f t="shared" si="52"/>
        <v>0</v>
      </c>
      <c r="O200" s="59">
        <f t="shared" si="53"/>
        <v>10929</v>
      </c>
      <c r="P200" s="142">
        <f t="shared" si="54"/>
        <v>0</v>
      </c>
      <c r="Q200" s="142">
        <f t="shared" si="55"/>
        <v>0</v>
      </c>
      <c r="R200" s="142">
        <f t="shared" si="56"/>
        <v>0</v>
      </c>
      <c r="S200" s="142">
        <f t="shared" si="57"/>
        <v>0</v>
      </c>
      <c r="T200" s="142">
        <f t="shared" si="58"/>
        <v>0</v>
      </c>
      <c r="U200" s="60">
        <f t="shared" si="59"/>
        <v>0</v>
      </c>
    </row>
    <row r="201" spans="1:21" x14ac:dyDescent="0.2">
      <c r="A201" s="115"/>
      <c r="B201" s="139" t="s">
        <v>368</v>
      </c>
      <c r="C201" s="140" t="s">
        <v>315</v>
      </c>
      <c r="D201" s="141">
        <v>45575</v>
      </c>
      <c r="E201" s="141">
        <v>45635</v>
      </c>
      <c r="F201" s="57">
        <v>7450</v>
      </c>
      <c r="G201" s="58">
        <f t="shared" si="45"/>
        <v>-387</v>
      </c>
      <c r="H201" s="142">
        <f t="shared" si="46"/>
        <v>7450</v>
      </c>
      <c r="I201" s="142">
        <f t="shared" si="47"/>
        <v>0</v>
      </c>
      <c r="J201" s="143">
        <f t="shared" si="48"/>
        <v>0</v>
      </c>
      <c r="K201" s="143">
        <f t="shared" si="49"/>
        <v>0</v>
      </c>
      <c r="L201" s="142">
        <f t="shared" si="50"/>
        <v>0</v>
      </c>
      <c r="M201" s="142">
        <f t="shared" si="51"/>
        <v>0</v>
      </c>
      <c r="N201" s="142">
        <f t="shared" si="52"/>
        <v>0</v>
      </c>
      <c r="O201" s="59">
        <f t="shared" si="53"/>
        <v>7450</v>
      </c>
      <c r="P201" s="142">
        <f t="shared" si="54"/>
        <v>0</v>
      </c>
      <c r="Q201" s="142">
        <f t="shared" si="55"/>
        <v>0</v>
      </c>
      <c r="R201" s="142">
        <f t="shared" si="56"/>
        <v>0</v>
      </c>
      <c r="S201" s="142">
        <f t="shared" si="57"/>
        <v>0</v>
      </c>
      <c r="T201" s="142">
        <f t="shared" si="58"/>
        <v>0</v>
      </c>
      <c r="U201" s="60">
        <f t="shared" si="59"/>
        <v>0</v>
      </c>
    </row>
    <row r="202" spans="1:21" x14ac:dyDescent="0.2">
      <c r="A202" s="115"/>
      <c r="B202" s="139" t="s">
        <v>368</v>
      </c>
      <c r="C202" s="140" t="s">
        <v>316</v>
      </c>
      <c r="D202" s="141">
        <v>45575</v>
      </c>
      <c r="E202" s="141">
        <v>45635</v>
      </c>
      <c r="F202" s="57">
        <v>6273.5</v>
      </c>
      <c r="G202" s="58">
        <f t="shared" si="45"/>
        <v>-387</v>
      </c>
      <c r="H202" s="142">
        <f t="shared" si="46"/>
        <v>6273.5</v>
      </c>
      <c r="I202" s="142">
        <f t="shared" si="47"/>
        <v>0</v>
      </c>
      <c r="J202" s="143">
        <f t="shared" si="48"/>
        <v>0</v>
      </c>
      <c r="K202" s="143">
        <f t="shared" si="49"/>
        <v>0</v>
      </c>
      <c r="L202" s="142">
        <f t="shared" si="50"/>
        <v>0</v>
      </c>
      <c r="M202" s="142">
        <f t="shared" si="51"/>
        <v>0</v>
      </c>
      <c r="N202" s="142">
        <f t="shared" si="52"/>
        <v>0</v>
      </c>
      <c r="O202" s="59">
        <f t="shared" si="53"/>
        <v>6273.5</v>
      </c>
      <c r="P202" s="142">
        <f t="shared" si="54"/>
        <v>0</v>
      </c>
      <c r="Q202" s="142">
        <f t="shared" si="55"/>
        <v>0</v>
      </c>
      <c r="R202" s="142">
        <f t="shared" si="56"/>
        <v>0</v>
      </c>
      <c r="S202" s="142">
        <f t="shared" si="57"/>
        <v>0</v>
      </c>
      <c r="T202" s="142">
        <f t="shared" si="58"/>
        <v>0</v>
      </c>
      <c r="U202" s="60">
        <f t="shared" si="59"/>
        <v>0</v>
      </c>
    </row>
    <row r="203" spans="1:21" x14ac:dyDescent="0.2">
      <c r="A203" s="115"/>
      <c r="B203" s="139" t="s">
        <v>368</v>
      </c>
      <c r="C203" s="140" t="s">
        <v>163</v>
      </c>
      <c r="D203" s="141">
        <v>45385</v>
      </c>
      <c r="E203" s="141">
        <v>45636</v>
      </c>
      <c r="F203" s="57">
        <v>20861.66</v>
      </c>
      <c r="G203" s="58">
        <f t="shared" si="45"/>
        <v>-386</v>
      </c>
      <c r="H203" s="142">
        <f t="shared" si="46"/>
        <v>20861.66</v>
      </c>
      <c r="I203" s="142">
        <f t="shared" si="47"/>
        <v>0</v>
      </c>
      <c r="J203" s="143">
        <f t="shared" si="48"/>
        <v>0</v>
      </c>
      <c r="K203" s="143">
        <f t="shared" si="49"/>
        <v>0</v>
      </c>
      <c r="L203" s="142">
        <f t="shared" si="50"/>
        <v>0</v>
      </c>
      <c r="M203" s="142">
        <f t="shared" si="51"/>
        <v>0</v>
      </c>
      <c r="N203" s="142">
        <f t="shared" si="52"/>
        <v>0</v>
      </c>
      <c r="O203" s="59">
        <f t="shared" si="53"/>
        <v>20861.66</v>
      </c>
      <c r="P203" s="142">
        <f t="shared" si="54"/>
        <v>0</v>
      </c>
      <c r="Q203" s="142">
        <f t="shared" si="55"/>
        <v>0</v>
      </c>
      <c r="R203" s="142">
        <f t="shared" si="56"/>
        <v>0</v>
      </c>
      <c r="S203" s="142">
        <f t="shared" si="57"/>
        <v>0</v>
      </c>
      <c r="T203" s="142">
        <f t="shared" si="58"/>
        <v>0</v>
      </c>
      <c r="U203" s="60">
        <f t="shared" si="59"/>
        <v>0</v>
      </c>
    </row>
    <row r="204" spans="1:21" x14ac:dyDescent="0.2">
      <c r="A204" s="115"/>
      <c r="B204" s="139" t="s">
        <v>368</v>
      </c>
      <c r="C204" s="140" t="s">
        <v>330</v>
      </c>
      <c r="D204" s="141">
        <v>45601</v>
      </c>
      <c r="E204" s="141">
        <v>45661</v>
      </c>
      <c r="F204" s="57">
        <v>20419.5</v>
      </c>
      <c r="G204" s="58">
        <f t="shared" si="45"/>
        <v>-361</v>
      </c>
      <c r="H204" s="142">
        <f t="shared" si="46"/>
        <v>20419.5</v>
      </c>
      <c r="I204" s="142">
        <f t="shared" si="47"/>
        <v>0</v>
      </c>
      <c r="J204" s="143">
        <f t="shared" si="48"/>
        <v>0</v>
      </c>
      <c r="K204" s="143">
        <f t="shared" si="49"/>
        <v>0</v>
      </c>
      <c r="L204" s="142">
        <f t="shared" si="50"/>
        <v>0</v>
      </c>
      <c r="M204" s="142">
        <f t="shared" si="51"/>
        <v>0</v>
      </c>
      <c r="N204" s="142">
        <f t="shared" si="52"/>
        <v>0</v>
      </c>
      <c r="O204" s="59">
        <f t="shared" si="53"/>
        <v>20419.5</v>
      </c>
      <c r="P204" s="142">
        <f t="shared" si="54"/>
        <v>0</v>
      </c>
      <c r="Q204" s="142">
        <f t="shared" si="55"/>
        <v>0</v>
      </c>
      <c r="R204" s="142">
        <f t="shared" si="56"/>
        <v>0</v>
      </c>
      <c r="S204" s="142">
        <f t="shared" si="57"/>
        <v>0</v>
      </c>
      <c r="T204" s="142">
        <f t="shared" si="58"/>
        <v>0</v>
      </c>
      <c r="U204" s="60">
        <f t="shared" si="59"/>
        <v>0</v>
      </c>
    </row>
    <row r="205" spans="1:21" x14ac:dyDescent="0.2">
      <c r="A205" s="115"/>
      <c r="B205" s="139" t="s">
        <v>368</v>
      </c>
      <c r="C205" s="140" t="s">
        <v>331</v>
      </c>
      <c r="D205" s="141">
        <v>45601</v>
      </c>
      <c r="E205" s="141">
        <v>45661</v>
      </c>
      <c r="F205" s="57">
        <v>1966.5</v>
      </c>
      <c r="G205" s="58">
        <f t="shared" si="45"/>
        <v>-361</v>
      </c>
      <c r="H205" s="142">
        <f t="shared" si="46"/>
        <v>1966.5</v>
      </c>
      <c r="I205" s="142">
        <f t="shared" si="47"/>
        <v>0</v>
      </c>
      <c r="J205" s="143">
        <f t="shared" si="48"/>
        <v>0</v>
      </c>
      <c r="K205" s="143">
        <f t="shared" si="49"/>
        <v>0</v>
      </c>
      <c r="L205" s="142">
        <f t="shared" si="50"/>
        <v>0</v>
      </c>
      <c r="M205" s="142">
        <f t="shared" si="51"/>
        <v>0</v>
      </c>
      <c r="N205" s="142">
        <f t="shared" si="52"/>
        <v>0</v>
      </c>
      <c r="O205" s="59">
        <f t="shared" si="53"/>
        <v>1966.5</v>
      </c>
      <c r="P205" s="142">
        <f t="shared" si="54"/>
        <v>0</v>
      </c>
      <c r="Q205" s="142">
        <f t="shared" si="55"/>
        <v>0</v>
      </c>
      <c r="R205" s="142">
        <f t="shared" si="56"/>
        <v>0</v>
      </c>
      <c r="S205" s="142">
        <f t="shared" si="57"/>
        <v>0</v>
      </c>
      <c r="T205" s="142">
        <f t="shared" si="58"/>
        <v>0</v>
      </c>
      <c r="U205" s="60">
        <f t="shared" si="59"/>
        <v>0</v>
      </c>
    </row>
    <row r="206" spans="1:21" x14ac:dyDescent="0.2">
      <c r="A206" s="115"/>
      <c r="B206" s="139" t="s">
        <v>368</v>
      </c>
      <c r="C206" s="140" t="s">
        <v>332</v>
      </c>
      <c r="D206" s="141">
        <v>45601</v>
      </c>
      <c r="E206" s="141">
        <v>45661</v>
      </c>
      <c r="F206" s="57">
        <v>71500</v>
      </c>
      <c r="G206" s="58">
        <f t="shared" si="45"/>
        <v>-361</v>
      </c>
      <c r="H206" s="142">
        <f t="shared" si="46"/>
        <v>71500</v>
      </c>
      <c r="I206" s="142">
        <f t="shared" si="47"/>
        <v>0</v>
      </c>
      <c r="J206" s="143">
        <f t="shared" si="48"/>
        <v>0</v>
      </c>
      <c r="K206" s="143">
        <f t="shared" si="49"/>
        <v>0</v>
      </c>
      <c r="L206" s="142">
        <f t="shared" si="50"/>
        <v>0</v>
      </c>
      <c r="M206" s="142">
        <f t="shared" si="51"/>
        <v>0</v>
      </c>
      <c r="N206" s="142">
        <f t="shared" si="52"/>
        <v>0</v>
      </c>
      <c r="O206" s="59">
        <f t="shared" si="53"/>
        <v>71500</v>
      </c>
      <c r="P206" s="142">
        <f t="shared" si="54"/>
        <v>0</v>
      </c>
      <c r="Q206" s="142">
        <f t="shared" si="55"/>
        <v>0</v>
      </c>
      <c r="R206" s="142">
        <f t="shared" si="56"/>
        <v>0</v>
      </c>
      <c r="S206" s="142">
        <f t="shared" si="57"/>
        <v>0</v>
      </c>
      <c r="T206" s="142">
        <f t="shared" si="58"/>
        <v>0</v>
      </c>
      <c r="U206" s="60">
        <f t="shared" si="59"/>
        <v>0</v>
      </c>
    </row>
    <row r="207" spans="1:21" x14ac:dyDescent="0.2">
      <c r="A207" s="115"/>
      <c r="B207" s="139" t="s">
        <v>368</v>
      </c>
      <c r="C207" s="140" t="s">
        <v>333</v>
      </c>
      <c r="D207" s="141">
        <v>45601</v>
      </c>
      <c r="E207" s="141">
        <v>45661</v>
      </c>
      <c r="F207" s="57">
        <v>9723.5</v>
      </c>
      <c r="G207" s="58">
        <f t="shared" si="45"/>
        <v>-361</v>
      </c>
      <c r="H207" s="142">
        <f t="shared" si="46"/>
        <v>9723.5</v>
      </c>
      <c r="I207" s="142">
        <f t="shared" si="47"/>
        <v>0</v>
      </c>
      <c r="J207" s="143">
        <f t="shared" si="48"/>
        <v>0</v>
      </c>
      <c r="K207" s="143">
        <f t="shared" si="49"/>
        <v>0</v>
      </c>
      <c r="L207" s="142">
        <f t="shared" si="50"/>
        <v>0</v>
      </c>
      <c r="M207" s="142">
        <f t="shared" si="51"/>
        <v>0</v>
      </c>
      <c r="N207" s="142">
        <f t="shared" si="52"/>
        <v>0</v>
      </c>
      <c r="O207" s="59">
        <f t="shared" si="53"/>
        <v>9723.5</v>
      </c>
      <c r="P207" s="142">
        <f t="shared" si="54"/>
        <v>0</v>
      </c>
      <c r="Q207" s="142">
        <f t="shared" si="55"/>
        <v>0</v>
      </c>
      <c r="R207" s="142">
        <f t="shared" si="56"/>
        <v>0</v>
      </c>
      <c r="S207" s="142">
        <f t="shared" si="57"/>
        <v>0</v>
      </c>
      <c r="T207" s="142">
        <f t="shared" si="58"/>
        <v>0</v>
      </c>
      <c r="U207" s="60">
        <f t="shared" si="59"/>
        <v>0</v>
      </c>
    </row>
    <row r="208" spans="1:21" x14ac:dyDescent="0.2">
      <c r="A208" s="115"/>
      <c r="B208" s="139" t="s">
        <v>368</v>
      </c>
      <c r="C208" s="140" t="s">
        <v>334</v>
      </c>
      <c r="D208" s="141">
        <v>45601</v>
      </c>
      <c r="E208" s="141">
        <v>45661</v>
      </c>
      <c r="F208" s="57">
        <v>20276.5</v>
      </c>
      <c r="G208" s="58">
        <f t="shared" si="45"/>
        <v>-361</v>
      </c>
      <c r="H208" s="142">
        <f t="shared" si="46"/>
        <v>20276.5</v>
      </c>
      <c r="I208" s="142">
        <f t="shared" si="47"/>
        <v>0</v>
      </c>
      <c r="J208" s="143">
        <f t="shared" si="48"/>
        <v>0</v>
      </c>
      <c r="K208" s="143">
        <f t="shared" si="49"/>
        <v>0</v>
      </c>
      <c r="L208" s="142">
        <f t="shared" si="50"/>
        <v>0</v>
      </c>
      <c r="M208" s="142">
        <f t="shared" si="51"/>
        <v>0</v>
      </c>
      <c r="N208" s="142">
        <f t="shared" si="52"/>
        <v>0</v>
      </c>
      <c r="O208" s="59">
        <f t="shared" si="53"/>
        <v>20276.5</v>
      </c>
      <c r="P208" s="142">
        <f t="shared" si="54"/>
        <v>0</v>
      </c>
      <c r="Q208" s="142">
        <f t="shared" si="55"/>
        <v>0</v>
      </c>
      <c r="R208" s="142">
        <f t="shared" si="56"/>
        <v>0</v>
      </c>
      <c r="S208" s="142">
        <f t="shared" si="57"/>
        <v>0</v>
      </c>
      <c r="T208" s="142">
        <f t="shared" si="58"/>
        <v>0</v>
      </c>
      <c r="U208" s="60">
        <f t="shared" si="59"/>
        <v>0</v>
      </c>
    </row>
    <row r="209" spans="1:21" x14ac:dyDescent="0.2">
      <c r="A209" s="115"/>
      <c r="B209" s="139" t="s">
        <v>368</v>
      </c>
      <c r="C209" s="140" t="s">
        <v>335</v>
      </c>
      <c r="D209" s="141">
        <v>45601</v>
      </c>
      <c r="E209" s="141">
        <v>45661</v>
      </c>
      <c r="F209" s="57">
        <v>6273.5</v>
      </c>
      <c r="G209" s="58">
        <f t="shared" si="45"/>
        <v>-361</v>
      </c>
      <c r="H209" s="142">
        <f t="shared" si="46"/>
        <v>6273.5</v>
      </c>
      <c r="I209" s="142">
        <f t="shared" si="47"/>
        <v>0</v>
      </c>
      <c r="J209" s="143">
        <f t="shared" si="48"/>
        <v>0</v>
      </c>
      <c r="K209" s="143">
        <f t="shared" si="49"/>
        <v>0</v>
      </c>
      <c r="L209" s="142">
        <f t="shared" si="50"/>
        <v>0</v>
      </c>
      <c r="M209" s="142">
        <f t="shared" si="51"/>
        <v>0</v>
      </c>
      <c r="N209" s="142">
        <f t="shared" si="52"/>
        <v>0</v>
      </c>
      <c r="O209" s="59">
        <f t="shared" si="53"/>
        <v>6273.5</v>
      </c>
      <c r="P209" s="142">
        <f t="shared" si="54"/>
        <v>0</v>
      </c>
      <c r="Q209" s="142">
        <f t="shared" si="55"/>
        <v>0</v>
      </c>
      <c r="R209" s="142">
        <f t="shared" si="56"/>
        <v>0</v>
      </c>
      <c r="S209" s="142">
        <f t="shared" si="57"/>
        <v>0</v>
      </c>
      <c r="T209" s="142">
        <f t="shared" si="58"/>
        <v>0</v>
      </c>
      <c r="U209" s="60">
        <f t="shared" si="59"/>
        <v>0</v>
      </c>
    </row>
    <row r="210" spans="1:21" x14ac:dyDescent="0.2">
      <c r="A210" s="115"/>
      <c r="B210" s="139" t="s">
        <v>368</v>
      </c>
      <c r="C210" s="140" t="s">
        <v>336</v>
      </c>
      <c r="D210" s="141">
        <v>45602</v>
      </c>
      <c r="E210" s="141">
        <v>45662</v>
      </c>
      <c r="F210" s="57">
        <v>8240</v>
      </c>
      <c r="G210" s="58">
        <f t="shared" si="45"/>
        <v>-360</v>
      </c>
      <c r="H210" s="142">
        <f t="shared" si="46"/>
        <v>8240</v>
      </c>
      <c r="I210" s="142">
        <f t="shared" si="47"/>
        <v>0</v>
      </c>
      <c r="J210" s="143">
        <f t="shared" si="48"/>
        <v>0</v>
      </c>
      <c r="K210" s="143">
        <f t="shared" si="49"/>
        <v>0</v>
      </c>
      <c r="L210" s="142">
        <f t="shared" si="50"/>
        <v>0</v>
      </c>
      <c r="M210" s="142">
        <f t="shared" si="51"/>
        <v>0</v>
      </c>
      <c r="N210" s="142">
        <f t="shared" si="52"/>
        <v>0</v>
      </c>
      <c r="O210" s="59">
        <f t="shared" si="53"/>
        <v>8240</v>
      </c>
      <c r="P210" s="142">
        <f t="shared" si="54"/>
        <v>0</v>
      </c>
      <c r="Q210" s="142">
        <f t="shared" si="55"/>
        <v>0</v>
      </c>
      <c r="R210" s="142">
        <f t="shared" si="56"/>
        <v>0</v>
      </c>
      <c r="S210" s="142">
        <f t="shared" si="57"/>
        <v>0</v>
      </c>
      <c r="T210" s="142">
        <f t="shared" si="58"/>
        <v>0</v>
      </c>
      <c r="U210" s="60">
        <f t="shared" si="59"/>
        <v>0</v>
      </c>
    </row>
    <row r="211" spans="1:21" x14ac:dyDescent="0.2">
      <c r="A211" s="115"/>
      <c r="B211" s="139" t="s">
        <v>368</v>
      </c>
      <c r="C211" s="140" t="s">
        <v>337</v>
      </c>
      <c r="D211" s="141">
        <v>45602</v>
      </c>
      <c r="E211" s="141">
        <v>45662</v>
      </c>
      <c r="F211" s="57">
        <v>17440</v>
      </c>
      <c r="G211" s="58">
        <f t="shared" si="45"/>
        <v>-360</v>
      </c>
      <c r="H211" s="142">
        <f t="shared" si="46"/>
        <v>17440</v>
      </c>
      <c r="I211" s="142">
        <f t="shared" si="47"/>
        <v>0</v>
      </c>
      <c r="J211" s="143">
        <f t="shared" si="48"/>
        <v>0</v>
      </c>
      <c r="K211" s="143">
        <f t="shared" si="49"/>
        <v>0</v>
      </c>
      <c r="L211" s="142">
        <f t="shared" si="50"/>
        <v>0</v>
      </c>
      <c r="M211" s="142">
        <f t="shared" si="51"/>
        <v>0</v>
      </c>
      <c r="N211" s="142">
        <f t="shared" si="52"/>
        <v>0</v>
      </c>
      <c r="O211" s="59">
        <f t="shared" si="53"/>
        <v>17440</v>
      </c>
      <c r="P211" s="142">
        <f t="shared" si="54"/>
        <v>0</v>
      </c>
      <c r="Q211" s="142">
        <f t="shared" si="55"/>
        <v>0</v>
      </c>
      <c r="R211" s="142">
        <f t="shared" si="56"/>
        <v>0</v>
      </c>
      <c r="S211" s="142">
        <f t="shared" si="57"/>
        <v>0</v>
      </c>
      <c r="T211" s="142">
        <f t="shared" si="58"/>
        <v>0</v>
      </c>
      <c r="U211" s="60">
        <f t="shared" si="59"/>
        <v>0</v>
      </c>
    </row>
    <row r="212" spans="1:21" x14ac:dyDescent="0.2">
      <c r="A212" s="115"/>
      <c r="B212" s="139" t="s">
        <v>368</v>
      </c>
      <c r="C212" s="140" t="s">
        <v>338</v>
      </c>
      <c r="D212" s="141">
        <v>45602</v>
      </c>
      <c r="E212" s="141">
        <v>45662</v>
      </c>
      <c r="F212" s="57">
        <v>110000</v>
      </c>
      <c r="G212" s="58">
        <f t="shared" si="45"/>
        <v>-360</v>
      </c>
      <c r="H212" s="142">
        <f t="shared" si="46"/>
        <v>110000</v>
      </c>
      <c r="I212" s="142">
        <f t="shared" si="47"/>
        <v>0</v>
      </c>
      <c r="J212" s="143">
        <f t="shared" si="48"/>
        <v>0</v>
      </c>
      <c r="K212" s="143">
        <f t="shared" si="49"/>
        <v>0</v>
      </c>
      <c r="L212" s="142">
        <f t="shared" si="50"/>
        <v>0</v>
      </c>
      <c r="M212" s="142">
        <f t="shared" si="51"/>
        <v>0</v>
      </c>
      <c r="N212" s="142">
        <f t="shared" si="52"/>
        <v>0</v>
      </c>
      <c r="O212" s="59">
        <f t="shared" si="53"/>
        <v>110000</v>
      </c>
      <c r="P212" s="142">
        <f t="shared" si="54"/>
        <v>0</v>
      </c>
      <c r="Q212" s="142">
        <f t="shared" si="55"/>
        <v>0</v>
      </c>
      <c r="R212" s="142">
        <f t="shared" si="56"/>
        <v>0</v>
      </c>
      <c r="S212" s="142">
        <f t="shared" si="57"/>
        <v>0</v>
      </c>
      <c r="T212" s="142">
        <f t="shared" si="58"/>
        <v>0</v>
      </c>
      <c r="U212" s="60">
        <f t="shared" si="59"/>
        <v>0</v>
      </c>
    </row>
    <row r="213" spans="1:21" x14ac:dyDescent="0.2">
      <c r="A213" s="115"/>
      <c r="B213" s="139" t="s">
        <v>368</v>
      </c>
      <c r="C213" s="140" t="s">
        <v>339</v>
      </c>
      <c r="D213" s="141">
        <v>45602</v>
      </c>
      <c r="E213" s="141">
        <v>45662</v>
      </c>
      <c r="F213" s="57">
        <v>17310</v>
      </c>
      <c r="G213" s="58">
        <f t="shared" si="45"/>
        <v>-360</v>
      </c>
      <c r="H213" s="142">
        <f t="shared" si="46"/>
        <v>17310</v>
      </c>
      <c r="I213" s="142">
        <f t="shared" si="47"/>
        <v>0</v>
      </c>
      <c r="J213" s="143">
        <f t="shared" si="48"/>
        <v>0</v>
      </c>
      <c r="K213" s="143">
        <f t="shared" si="49"/>
        <v>0</v>
      </c>
      <c r="L213" s="142">
        <f t="shared" si="50"/>
        <v>0</v>
      </c>
      <c r="M213" s="142">
        <f t="shared" si="51"/>
        <v>0</v>
      </c>
      <c r="N213" s="142">
        <f t="shared" si="52"/>
        <v>0</v>
      </c>
      <c r="O213" s="59">
        <f t="shared" si="53"/>
        <v>17310</v>
      </c>
      <c r="P213" s="142">
        <f t="shared" si="54"/>
        <v>0</v>
      </c>
      <c r="Q213" s="142">
        <f t="shared" si="55"/>
        <v>0</v>
      </c>
      <c r="R213" s="142">
        <f t="shared" si="56"/>
        <v>0</v>
      </c>
      <c r="S213" s="142">
        <f t="shared" si="57"/>
        <v>0</v>
      </c>
      <c r="T213" s="142">
        <f t="shared" si="58"/>
        <v>0</v>
      </c>
      <c r="U213" s="60">
        <f t="shared" si="59"/>
        <v>0</v>
      </c>
    </row>
    <row r="214" spans="1:21" x14ac:dyDescent="0.2">
      <c r="A214" s="115"/>
      <c r="B214" s="139" t="s">
        <v>368</v>
      </c>
      <c r="C214" s="140" t="s">
        <v>340</v>
      </c>
      <c r="D214" s="141">
        <v>45602</v>
      </c>
      <c r="E214" s="141">
        <v>45662</v>
      </c>
      <c r="F214" s="57">
        <v>132456</v>
      </c>
      <c r="G214" s="58">
        <f t="shared" si="45"/>
        <v>-360</v>
      </c>
      <c r="H214" s="142">
        <f t="shared" si="46"/>
        <v>132456</v>
      </c>
      <c r="I214" s="142">
        <f t="shared" si="47"/>
        <v>0</v>
      </c>
      <c r="J214" s="143">
        <f t="shared" si="48"/>
        <v>0</v>
      </c>
      <c r="K214" s="143">
        <f t="shared" si="49"/>
        <v>0</v>
      </c>
      <c r="L214" s="142">
        <f t="shared" si="50"/>
        <v>0</v>
      </c>
      <c r="M214" s="142">
        <f t="shared" si="51"/>
        <v>0</v>
      </c>
      <c r="N214" s="142">
        <f t="shared" si="52"/>
        <v>0</v>
      </c>
      <c r="O214" s="59">
        <f t="shared" si="53"/>
        <v>132456</v>
      </c>
      <c r="P214" s="142">
        <f t="shared" si="54"/>
        <v>0</v>
      </c>
      <c r="Q214" s="142">
        <f t="shared" si="55"/>
        <v>0</v>
      </c>
      <c r="R214" s="142">
        <f t="shared" si="56"/>
        <v>0</v>
      </c>
      <c r="S214" s="142">
        <f t="shared" si="57"/>
        <v>0</v>
      </c>
      <c r="T214" s="142">
        <f t="shared" si="58"/>
        <v>0</v>
      </c>
      <c r="U214" s="60">
        <f t="shared" si="59"/>
        <v>0</v>
      </c>
    </row>
    <row r="215" spans="1:21" x14ac:dyDescent="0.2">
      <c r="A215" s="115"/>
      <c r="B215" s="139" t="s">
        <v>368</v>
      </c>
      <c r="C215" s="140" t="s">
        <v>341</v>
      </c>
      <c r="D215" s="141">
        <v>45602</v>
      </c>
      <c r="E215" s="141">
        <v>45662</v>
      </c>
      <c r="F215" s="57">
        <v>129700</v>
      </c>
      <c r="G215" s="58">
        <f t="shared" si="45"/>
        <v>-360</v>
      </c>
      <c r="H215" s="142">
        <f t="shared" si="46"/>
        <v>129700</v>
      </c>
      <c r="I215" s="142">
        <f t="shared" si="47"/>
        <v>0</v>
      </c>
      <c r="J215" s="143">
        <f t="shared" si="48"/>
        <v>0</v>
      </c>
      <c r="K215" s="143">
        <f t="shared" si="49"/>
        <v>0</v>
      </c>
      <c r="L215" s="142">
        <f t="shared" si="50"/>
        <v>0</v>
      </c>
      <c r="M215" s="142">
        <f t="shared" si="51"/>
        <v>0</v>
      </c>
      <c r="N215" s="142">
        <f t="shared" si="52"/>
        <v>0</v>
      </c>
      <c r="O215" s="59">
        <f t="shared" si="53"/>
        <v>129700</v>
      </c>
      <c r="P215" s="142">
        <f t="shared" si="54"/>
        <v>0</v>
      </c>
      <c r="Q215" s="142">
        <f t="shared" si="55"/>
        <v>0</v>
      </c>
      <c r="R215" s="142">
        <f t="shared" si="56"/>
        <v>0</v>
      </c>
      <c r="S215" s="142">
        <f t="shared" si="57"/>
        <v>0</v>
      </c>
      <c r="T215" s="142">
        <f t="shared" si="58"/>
        <v>0</v>
      </c>
      <c r="U215" s="60">
        <f t="shared" si="59"/>
        <v>0</v>
      </c>
    </row>
    <row r="216" spans="1:21" x14ac:dyDescent="0.2">
      <c r="A216" s="115"/>
      <c r="B216" s="139" t="s">
        <v>368</v>
      </c>
      <c r="C216" s="140" t="s">
        <v>342</v>
      </c>
      <c r="D216" s="141">
        <v>45602</v>
      </c>
      <c r="E216" s="141">
        <v>45662</v>
      </c>
      <c r="F216" s="57">
        <v>20370</v>
      </c>
      <c r="G216" s="58">
        <f t="shared" si="45"/>
        <v>-360</v>
      </c>
      <c r="H216" s="142">
        <f t="shared" si="46"/>
        <v>20370</v>
      </c>
      <c r="I216" s="142">
        <f t="shared" si="47"/>
        <v>0</v>
      </c>
      <c r="J216" s="143">
        <f t="shared" si="48"/>
        <v>0</v>
      </c>
      <c r="K216" s="143">
        <f t="shared" si="49"/>
        <v>0</v>
      </c>
      <c r="L216" s="142">
        <f t="shared" si="50"/>
        <v>0</v>
      </c>
      <c r="M216" s="142">
        <f t="shared" si="51"/>
        <v>0</v>
      </c>
      <c r="N216" s="142">
        <f t="shared" si="52"/>
        <v>0</v>
      </c>
      <c r="O216" s="59">
        <f t="shared" si="53"/>
        <v>20370</v>
      </c>
      <c r="P216" s="142">
        <f t="shared" si="54"/>
        <v>0</v>
      </c>
      <c r="Q216" s="142">
        <f t="shared" si="55"/>
        <v>0</v>
      </c>
      <c r="R216" s="142">
        <f t="shared" si="56"/>
        <v>0</v>
      </c>
      <c r="S216" s="142">
        <f t="shared" si="57"/>
        <v>0</v>
      </c>
      <c r="T216" s="142">
        <f t="shared" si="58"/>
        <v>0</v>
      </c>
      <c r="U216" s="60">
        <f t="shared" si="59"/>
        <v>0</v>
      </c>
    </row>
    <row r="217" spans="1:21" x14ac:dyDescent="0.2">
      <c r="A217" s="115"/>
      <c r="B217" s="139" t="s">
        <v>368</v>
      </c>
      <c r="C217" s="140" t="s">
        <v>343</v>
      </c>
      <c r="D217" s="141">
        <v>45602</v>
      </c>
      <c r="E217" s="141">
        <v>45662</v>
      </c>
      <c r="F217" s="57">
        <v>105610</v>
      </c>
      <c r="G217" s="58">
        <f t="shared" si="45"/>
        <v>-360</v>
      </c>
      <c r="H217" s="142">
        <f t="shared" si="46"/>
        <v>105610</v>
      </c>
      <c r="I217" s="142">
        <f t="shared" si="47"/>
        <v>0</v>
      </c>
      <c r="J217" s="143">
        <f t="shared" si="48"/>
        <v>0</v>
      </c>
      <c r="K217" s="143">
        <f t="shared" si="49"/>
        <v>0</v>
      </c>
      <c r="L217" s="142">
        <f t="shared" si="50"/>
        <v>0</v>
      </c>
      <c r="M217" s="142">
        <f t="shared" si="51"/>
        <v>0</v>
      </c>
      <c r="N217" s="142">
        <f t="shared" si="52"/>
        <v>0</v>
      </c>
      <c r="O217" s="59">
        <f t="shared" si="53"/>
        <v>105610</v>
      </c>
      <c r="P217" s="142">
        <f t="shared" si="54"/>
        <v>0</v>
      </c>
      <c r="Q217" s="142">
        <f t="shared" si="55"/>
        <v>0</v>
      </c>
      <c r="R217" s="142">
        <f t="shared" si="56"/>
        <v>0</v>
      </c>
      <c r="S217" s="142">
        <f t="shared" si="57"/>
        <v>0</v>
      </c>
      <c r="T217" s="142">
        <f t="shared" si="58"/>
        <v>0</v>
      </c>
      <c r="U217" s="60">
        <f t="shared" si="59"/>
        <v>0</v>
      </c>
    </row>
    <row r="218" spans="1:21" x14ac:dyDescent="0.2">
      <c r="A218" s="115"/>
      <c r="B218" s="139" t="s">
        <v>368</v>
      </c>
      <c r="C218" s="140" t="s">
        <v>344</v>
      </c>
      <c r="D218" s="141">
        <v>45602</v>
      </c>
      <c r="E218" s="141">
        <v>45662</v>
      </c>
      <c r="F218" s="57">
        <v>11040</v>
      </c>
      <c r="G218" s="58">
        <f t="shared" si="45"/>
        <v>-360</v>
      </c>
      <c r="H218" s="142">
        <f t="shared" si="46"/>
        <v>11040</v>
      </c>
      <c r="I218" s="142">
        <f t="shared" si="47"/>
        <v>0</v>
      </c>
      <c r="J218" s="143">
        <f t="shared" si="48"/>
        <v>0</v>
      </c>
      <c r="K218" s="143">
        <f t="shared" si="49"/>
        <v>0</v>
      </c>
      <c r="L218" s="142">
        <f t="shared" si="50"/>
        <v>0</v>
      </c>
      <c r="M218" s="142">
        <f t="shared" si="51"/>
        <v>0</v>
      </c>
      <c r="N218" s="142">
        <f t="shared" si="52"/>
        <v>0</v>
      </c>
      <c r="O218" s="59">
        <f t="shared" si="53"/>
        <v>11040</v>
      </c>
      <c r="P218" s="142">
        <f t="shared" si="54"/>
        <v>0</v>
      </c>
      <c r="Q218" s="142">
        <f t="shared" si="55"/>
        <v>0</v>
      </c>
      <c r="R218" s="142">
        <f t="shared" si="56"/>
        <v>0</v>
      </c>
      <c r="S218" s="142">
        <f t="shared" si="57"/>
        <v>0</v>
      </c>
      <c r="T218" s="142">
        <f t="shared" si="58"/>
        <v>0</v>
      </c>
      <c r="U218" s="60">
        <f t="shared" si="59"/>
        <v>0</v>
      </c>
    </row>
    <row r="219" spans="1:21" x14ac:dyDescent="0.2">
      <c r="A219" s="115"/>
      <c r="B219" s="139" t="s">
        <v>368</v>
      </c>
      <c r="C219" s="140" t="s">
        <v>345</v>
      </c>
      <c r="D219" s="141">
        <v>45602</v>
      </c>
      <c r="E219" s="141">
        <v>45662</v>
      </c>
      <c r="F219" s="57">
        <v>200</v>
      </c>
      <c r="G219" s="58">
        <f t="shared" si="45"/>
        <v>-360</v>
      </c>
      <c r="H219" s="142">
        <f t="shared" si="46"/>
        <v>200</v>
      </c>
      <c r="I219" s="142">
        <f t="shared" si="47"/>
        <v>0</v>
      </c>
      <c r="J219" s="143">
        <f t="shared" si="48"/>
        <v>0</v>
      </c>
      <c r="K219" s="143">
        <f t="shared" si="49"/>
        <v>0</v>
      </c>
      <c r="L219" s="142">
        <f t="shared" si="50"/>
        <v>0</v>
      </c>
      <c r="M219" s="142">
        <f t="shared" si="51"/>
        <v>0</v>
      </c>
      <c r="N219" s="142">
        <f t="shared" si="52"/>
        <v>0</v>
      </c>
      <c r="O219" s="59">
        <f t="shared" si="53"/>
        <v>200</v>
      </c>
      <c r="P219" s="142">
        <f t="shared" si="54"/>
        <v>0</v>
      </c>
      <c r="Q219" s="142">
        <f t="shared" si="55"/>
        <v>0</v>
      </c>
      <c r="R219" s="142">
        <f t="shared" si="56"/>
        <v>0</v>
      </c>
      <c r="S219" s="142">
        <f t="shared" si="57"/>
        <v>0</v>
      </c>
      <c r="T219" s="142">
        <f t="shared" si="58"/>
        <v>0</v>
      </c>
      <c r="U219" s="60">
        <f t="shared" si="59"/>
        <v>0</v>
      </c>
    </row>
    <row r="220" spans="1:21" x14ac:dyDescent="0.2">
      <c r="A220" s="115"/>
      <c r="B220" s="139" t="s">
        <v>368</v>
      </c>
      <c r="C220" s="140" t="s">
        <v>346</v>
      </c>
      <c r="D220" s="141">
        <v>45603</v>
      </c>
      <c r="E220" s="141">
        <v>45663</v>
      </c>
      <c r="F220" s="57">
        <v>20073.5</v>
      </c>
      <c r="G220" s="58">
        <f t="shared" si="45"/>
        <v>-359</v>
      </c>
      <c r="H220" s="142">
        <f t="shared" si="46"/>
        <v>20073.5</v>
      </c>
      <c r="I220" s="142">
        <f t="shared" si="47"/>
        <v>0</v>
      </c>
      <c r="J220" s="143">
        <f t="shared" si="48"/>
        <v>0</v>
      </c>
      <c r="K220" s="143">
        <f t="shared" si="49"/>
        <v>0</v>
      </c>
      <c r="L220" s="142">
        <f t="shared" si="50"/>
        <v>0</v>
      </c>
      <c r="M220" s="142">
        <f t="shared" si="51"/>
        <v>0</v>
      </c>
      <c r="N220" s="142">
        <f t="shared" si="52"/>
        <v>0</v>
      </c>
      <c r="O220" s="59">
        <f t="shared" si="53"/>
        <v>20073.5</v>
      </c>
      <c r="P220" s="142">
        <f t="shared" si="54"/>
        <v>0</v>
      </c>
      <c r="Q220" s="142">
        <f t="shared" si="55"/>
        <v>0</v>
      </c>
      <c r="R220" s="142">
        <f t="shared" si="56"/>
        <v>0</v>
      </c>
      <c r="S220" s="142">
        <f t="shared" si="57"/>
        <v>0</v>
      </c>
      <c r="T220" s="142">
        <f t="shared" si="58"/>
        <v>0</v>
      </c>
      <c r="U220" s="60">
        <f t="shared" si="59"/>
        <v>0</v>
      </c>
    </row>
    <row r="221" spans="1:21" x14ac:dyDescent="0.2">
      <c r="A221" s="115"/>
      <c r="B221" s="139" t="s">
        <v>368</v>
      </c>
      <c r="C221" s="140" t="s">
        <v>347</v>
      </c>
      <c r="D221" s="141">
        <v>45603</v>
      </c>
      <c r="E221" s="141">
        <v>45663</v>
      </c>
      <c r="F221" s="57">
        <v>63050</v>
      </c>
      <c r="G221" s="58">
        <f t="shared" si="45"/>
        <v>-359</v>
      </c>
      <c r="H221" s="142">
        <f t="shared" si="46"/>
        <v>63050</v>
      </c>
      <c r="I221" s="142">
        <f t="shared" si="47"/>
        <v>0</v>
      </c>
      <c r="J221" s="143">
        <f t="shared" si="48"/>
        <v>0</v>
      </c>
      <c r="K221" s="143">
        <f t="shared" si="49"/>
        <v>0</v>
      </c>
      <c r="L221" s="142">
        <f t="shared" si="50"/>
        <v>0</v>
      </c>
      <c r="M221" s="142">
        <f t="shared" si="51"/>
        <v>0</v>
      </c>
      <c r="N221" s="142">
        <f t="shared" si="52"/>
        <v>0</v>
      </c>
      <c r="O221" s="59">
        <f t="shared" si="53"/>
        <v>63050</v>
      </c>
      <c r="P221" s="142">
        <f t="shared" si="54"/>
        <v>0</v>
      </c>
      <c r="Q221" s="142">
        <f t="shared" si="55"/>
        <v>0</v>
      </c>
      <c r="R221" s="142">
        <f t="shared" si="56"/>
        <v>0</v>
      </c>
      <c r="S221" s="142">
        <f t="shared" si="57"/>
        <v>0</v>
      </c>
      <c r="T221" s="142">
        <f t="shared" si="58"/>
        <v>0</v>
      </c>
      <c r="U221" s="60">
        <f t="shared" si="59"/>
        <v>0</v>
      </c>
    </row>
    <row r="222" spans="1:21" x14ac:dyDescent="0.2">
      <c r="A222" s="115"/>
      <c r="B222" s="139" t="s">
        <v>368</v>
      </c>
      <c r="C222" s="140" t="s">
        <v>348</v>
      </c>
      <c r="D222" s="141">
        <v>45603</v>
      </c>
      <c r="E222" s="141">
        <v>45663</v>
      </c>
      <c r="F222" s="57">
        <v>300</v>
      </c>
      <c r="G222" s="58">
        <f t="shared" si="45"/>
        <v>-359</v>
      </c>
      <c r="H222" s="142">
        <f t="shared" si="46"/>
        <v>300</v>
      </c>
      <c r="I222" s="142">
        <f t="shared" si="47"/>
        <v>0</v>
      </c>
      <c r="J222" s="143">
        <f t="shared" si="48"/>
        <v>0</v>
      </c>
      <c r="K222" s="143">
        <f t="shared" si="49"/>
        <v>0</v>
      </c>
      <c r="L222" s="142">
        <f t="shared" si="50"/>
        <v>0</v>
      </c>
      <c r="M222" s="142">
        <f t="shared" si="51"/>
        <v>0</v>
      </c>
      <c r="N222" s="142">
        <f t="shared" si="52"/>
        <v>0</v>
      </c>
      <c r="O222" s="59">
        <f t="shared" si="53"/>
        <v>300</v>
      </c>
      <c r="P222" s="142">
        <f t="shared" si="54"/>
        <v>0</v>
      </c>
      <c r="Q222" s="142">
        <f t="shared" si="55"/>
        <v>0</v>
      </c>
      <c r="R222" s="142">
        <f t="shared" si="56"/>
        <v>0</v>
      </c>
      <c r="S222" s="142">
        <f t="shared" si="57"/>
        <v>0</v>
      </c>
      <c r="T222" s="142">
        <f t="shared" si="58"/>
        <v>0</v>
      </c>
      <c r="U222" s="60">
        <f t="shared" si="59"/>
        <v>0</v>
      </c>
    </row>
    <row r="223" spans="1:21" x14ac:dyDescent="0.2">
      <c r="A223" s="115"/>
      <c r="B223" s="139" t="s">
        <v>368</v>
      </c>
      <c r="C223" s="140" t="s">
        <v>349</v>
      </c>
      <c r="D223" s="141">
        <v>45603</v>
      </c>
      <c r="E223" s="141">
        <v>45663</v>
      </c>
      <c r="F223" s="57">
        <v>20380</v>
      </c>
      <c r="G223" s="58">
        <f t="shared" si="45"/>
        <v>-359</v>
      </c>
      <c r="H223" s="142">
        <f t="shared" si="46"/>
        <v>20380</v>
      </c>
      <c r="I223" s="142">
        <f t="shared" si="47"/>
        <v>0</v>
      </c>
      <c r="J223" s="143">
        <f t="shared" si="48"/>
        <v>0</v>
      </c>
      <c r="K223" s="143">
        <f t="shared" si="49"/>
        <v>0</v>
      </c>
      <c r="L223" s="142">
        <f t="shared" si="50"/>
        <v>0</v>
      </c>
      <c r="M223" s="142">
        <f t="shared" si="51"/>
        <v>0</v>
      </c>
      <c r="N223" s="142">
        <f t="shared" si="52"/>
        <v>0</v>
      </c>
      <c r="O223" s="59">
        <f t="shared" si="53"/>
        <v>20380</v>
      </c>
      <c r="P223" s="142">
        <f t="shared" si="54"/>
        <v>0</v>
      </c>
      <c r="Q223" s="142">
        <f t="shared" si="55"/>
        <v>0</v>
      </c>
      <c r="R223" s="142">
        <f t="shared" si="56"/>
        <v>0</v>
      </c>
      <c r="S223" s="142">
        <f t="shared" si="57"/>
        <v>0</v>
      </c>
      <c r="T223" s="142">
        <f t="shared" si="58"/>
        <v>0</v>
      </c>
      <c r="U223" s="60">
        <f t="shared" si="59"/>
        <v>0</v>
      </c>
    </row>
    <row r="224" spans="1:21" x14ac:dyDescent="0.2">
      <c r="A224" s="115"/>
      <c r="B224" s="139" t="s">
        <v>368</v>
      </c>
      <c r="C224" s="140" t="s">
        <v>159</v>
      </c>
      <c r="D224" s="141">
        <v>44742</v>
      </c>
      <c r="E224" s="141">
        <v>45667</v>
      </c>
      <c r="F224" s="57">
        <v>36100</v>
      </c>
      <c r="G224" s="58">
        <f t="shared" si="45"/>
        <v>-355</v>
      </c>
      <c r="H224" s="142">
        <f t="shared" si="46"/>
        <v>36100</v>
      </c>
      <c r="I224" s="142">
        <f t="shared" si="47"/>
        <v>0</v>
      </c>
      <c r="J224" s="143">
        <f t="shared" si="48"/>
        <v>0</v>
      </c>
      <c r="K224" s="143">
        <f t="shared" si="49"/>
        <v>0</v>
      </c>
      <c r="L224" s="142">
        <f t="shared" si="50"/>
        <v>0</v>
      </c>
      <c r="M224" s="142">
        <f t="shared" si="51"/>
        <v>0</v>
      </c>
      <c r="N224" s="142">
        <f t="shared" si="52"/>
        <v>0</v>
      </c>
      <c r="O224" s="59">
        <f t="shared" si="53"/>
        <v>36100</v>
      </c>
      <c r="P224" s="142">
        <f t="shared" si="54"/>
        <v>0</v>
      </c>
      <c r="Q224" s="142">
        <f t="shared" si="55"/>
        <v>0</v>
      </c>
      <c r="R224" s="142">
        <f t="shared" si="56"/>
        <v>0</v>
      </c>
      <c r="S224" s="142">
        <f t="shared" si="57"/>
        <v>0</v>
      </c>
      <c r="T224" s="142">
        <f t="shared" si="58"/>
        <v>0</v>
      </c>
      <c r="U224" s="60">
        <f t="shared" si="59"/>
        <v>0</v>
      </c>
    </row>
    <row r="225" spans="1:21" x14ac:dyDescent="0.2">
      <c r="A225" s="115"/>
      <c r="B225" s="139" t="s">
        <v>368</v>
      </c>
      <c r="C225" s="140" t="s">
        <v>160</v>
      </c>
      <c r="D225" s="141">
        <v>44834</v>
      </c>
      <c r="E225" s="141">
        <v>45667</v>
      </c>
      <c r="F225" s="57">
        <v>5780</v>
      </c>
      <c r="G225" s="58">
        <f t="shared" si="45"/>
        <v>-355</v>
      </c>
      <c r="H225" s="142">
        <f t="shared" si="46"/>
        <v>5780</v>
      </c>
      <c r="I225" s="142">
        <f t="shared" si="47"/>
        <v>0</v>
      </c>
      <c r="J225" s="143">
        <f t="shared" si="48"/>
        <v>0</v>
      </c>
      <c r="K225" s="143">
        <f t="shared" si="49"/>
        <v>0</v>
      </c>
      <c r="L225" s="142">
        <f t="shared" si="50"/>
        <v>0</v>
      </c>
      <c r="M225" s="142">
        <f t="shared" si="51"/>
        <v>0</v>
      </c>
      <c r="N225" s="142">
        <f t="shared" si="52"/>
        <v>0</v>
      </c>
      <c r="O225" s="59">
        <f t="shared" si="53"/>
        <v>5780</v>
      </c>
      <c r="P225" s="142">
        <f t="shared" si="54"/>
        <v>0</v>
      </c>
      <c r="Q225" s="142">
        <f t="shared" si="55"/>
        <v>0</v>
      </c>
      <c r="R225" s="142">
        <f t="shared" si="56"/>
        <v>0</v>
      </c>
      <c r="S225" s="142">
        <f t="shared" si="57"/>
        <v>0</v>
      </c>
      <c r="T225" s="142">
        <f t="shared" si="58"/>
        <v>0</v>
      </c>
      <c r="U225" s="60">
        <f t="shared" si="59"/>
        <v>0</v>
      </c>
    </row>
    <row r="226" spans="1:21" x14ac:dyDescent="0.2">
      <c r="A226" s="115"/>
      <c r="B226" s="139" t="s">
        <v>368</v>
      </c>
      <c r="C226" s="140" t="s">
        <v>161</v>
      </c>
      <c r="D226" s="141">
        <v>44873</v>
      </c>
      <c r="E226" s="141">
        <v>45667</v>
      </c>
      <c r="F226" s="57">
        <v>80</v>
      </c>
      <c r="G226" s="58">
        <f t="shared" si="45"/>
        <v>-355</v>
      </c>
      <c r="H226" s="142">
        <f t="shared" si="46"/>
        <v>80</v>
      </c>
      <c r="I226" s="142">
        <f t="shared" si="47"/>
        <v>0</v>
      </c>
      <c r="J226" s="143">
        <f t="shared" si="48"/>
        <v>0</v>
      </c>
      <c r="K226" s="143">
        <f t="shared" si="49"/>
        <v>0</v>
      </c>
      <c r="L226" s="142">
        <f t="shared" si="50"/>
        <v>0</v>
      </c>
      <c r="M226" s="142">
        <f t="shared" si="51"/>
        <v>0</v>
      </c>
      <c r="N226" s="142">
        <f t="shared" si="52"/>
        <v>0</v>
      </c>
      <c r="O226" s="59">
        <f t="shared" si="53"/>
        <v>80</v>
      </c>
      <c r="P226" s="142">
        <f t="shared" si="54"/>
        <v>0</v>
      </c>
      <c r="Q226" s="142">
        <f t="shared" si="55"/>
        <v>0</v>
      </c>
      <c r="R226" s="142">
        <f t="shared" si="56"/>
        <v>0</v>
      </c>
      <c r="S226" s="142">
        <f t="shared" si="57"/>
        <v>0</v>
      </c>
      <c r="T226" s="142">
        <f t="shared" si="58"/>
        <v>0</v>
      </c>
      <c r="U226" s="60">
        <f t="shared" si="59"/>
        <v>0</v>
      </c>
    </row>
    <row r="227" spans="1:21" x14ac:dyDescent="0.2">
      <c r="A227" s="115"/>
      <c r="B227" s="139" t="s">
        <v>368</v>
      </c>
      <c r="C227" s="140" t="s">
        <v>162</v>
      </c>
      <c r="D227" s="141">
        <v>44890</v>
      </c>
      <c r="E227" s="141">
        <v>45667</v>
      </c>
      <c r="F227" s="57">
        <v>156171.4</v>
      </c>
      <c r="G227" s="58">
        <f t="shared" si="45"/>
        <v>-355</v>
      </c>
      <c r="H227" s="142">
        <f t="shared" si="46"/>
        <v>156171.4</v>
      </c>
      <c r="I227" s="142">
        <f t="shared" si="47"/>
        <v>0</v>
      </c>
      <c r="J227" s="143">
        <f t="shared" si="48"/>
        <v>0</v>
      </c>
      <c r="K227" s="143">
        <f t="shared" si="49"/>
        <v>0</v>
      </c>
      <c r="L227" s="142">
        <f t="shared" si="50"/>
        <v>0</v>
      </c>
      <c r="M227" s="142">
        <f t="shared" si="51"/>
        <v>0</v>
      </c>
      <c r="N227" s="142">
        <f t="shared" si="52"/>
        <v>0</v>
      </c>
      <c r="O227" s="59">
        <f t="shared" si="53"/>
        <v>156171.4</v>
      </c>
      <c r="P227" s="142">
        <f t="shared" si="54"/>
        <v>0</v>
      </c>
      <c r="Q227" s="142">
        <f t="shared" si="55"/>
        <v>0</v>
      </c>
      <c r="R227" s="142">
        <f t="shared" si="56"/>
        <v>0</v>
      </c>
      <c r="S227" s="142">
        <f t="shared" si="57"/>
        <v>0</v>
      </c>
      <c r="T227" s="142">
        <f t="shared" si="58"/>
        <v>0</v>
      </c>
      <c r="U227" s="60">
        <f t="shared" si="59"/>
        <v>0</v>
      </c>
    </row>
    <row r="228" spans="1:21" x14ac:dyDescent="0.2">
      <c r="A228" s="115"/>
      <c r="B228" s="139" t="s">
        <v>368</v>
      </c>
      <c r="C228" s="140" t="s">
        <v>428</v>
      </c>
      <c r="D228" s="141">
        <v>45597</v>
      </c>
      <c r="E228" s="141">
        <v>45697</v>
      </c>
      <c r="F228" s="57">
        <v>13295</v>
      </c>
      <c r="G228" s="58">
        <f t="shared" si="45"/>
        <v>-325</v>
      </c>
      <c r="H228" s="142">
        <f t="shared" si="46"/>
        <v>13295</v>
      </c>
      <c r="I228" s="142">
        <f t="shared" si="47"/>
        <v>0</v>
      </c>
      <c r="J228" s="143">
        <f t="shared" si="48"/>
        <v>0</v>
      </c>
      <c r="K228" s="143">
        <f t="shared" si="49"/>
        <v>0</v>
      </c>
      <c r="L228" s="142">
        <f t="shared" si="50"/>
        <v>0</v>
      </c>
      <c r="M228" s="142">
        <f t="shared" si="51"/>
        <v>0</v>
      </c>
      <c r="N228" s="142">
        <f t="shared" si="52"/>
        <v>0</v>
      </c>
      <c r="O228" s="59">
        <f t="shared" si="53"/>
        <v>13295</v>
      </c>
      <c r="P228" s="142">
        <f t="shared" si="54"/>
        <v>0</v>
      </c>
      <c r="Q228" s="142">
        <f t="shared" si="55"/>
        <v>0</v>
      </c>
      <c r="R228" s="142">
        <f t="shared" si="56"/>
        <v>0</v>
      </c>
      <c r="S228" s="142">
        <f t="shared" si="57"/>
        <v>0</v>
      </c>
      <c r="T228" s="142">
        <f t="shared" si="58"/>
        <v>0</v>
      </c>
      <c r="U228" s="60">
        <f t="shared" si="59"/>
        <v>0</v>
      </c>
    </row>
    <row r="229" spans="1:21" x14ac:dyDescent="0.2">
      <c r="A229" s="115"/>
      <c r="B229" s="139" t="s">
        <v>368</v>
      </c>
      <c r="C229" s="140" t="s">
        <v>786</v>
      </c>
      <c r="D229" s="141">
        <v>45936</v>
      </c>
      <c r="E229" s="141">
        <v>45996</v>
      </c>
      <c r="F229" s="57">
        <v>16704.54</v>
      </c>
      <c r="G229" s="58">
        <f t="shared" si="45"/>
        <v>-26</v>
      </c>
      <c r="H229" s="142">
        <f t="shared" si="46"/>
        <v>0</v>
      </c>
      <c r="I229" s="142">
        <f t="shared" si="47"/>
        <v>0</v>
      </c>
      <c r="J229" s="143">
        <f t="shared" si="48"/>
        <v>0</v>
      </c>
      <c r="K229" s="143">
        <f t="shared" si="49"/>
        <v>0</v>
      </c>
      <c r="L229" s="142">
        <f t="shared" si="50"/>
        <v>0</v>
      </c>
      <c r="M229" s="142">
        <f t="shared" si="51"/>
        <v>0</v>
      </c>
      <c r="N229" s="142">
        <f t="shared" si="52"/>
        <v>16704.54</v>
      </c>
      <c r="O229" s="59">
        <f t="shared" si="53"/>
        <v>16704.54</v>
      </c>
      <c r="P229" s="142">
        <f t="shared" si="54"/>
        <v>0</v>
      </c>
      <c r="Q229" s="142">
        <f t="shared" si="55"/>
        <v>0</v>
      </c>
      <c r="R229" s="142">
        <f t="shared" si="56"/>
        <v>0</v>
      </c>
      <c r="S229" s="142">
        <f t="shared" si="57"/>
        <v>0</v>
      </c>
      <c r="T229" s="142">
        <f t="shared" si="58"/>
        <v>0</v>
      </c>
      <c r="U229" s="60">
        <f t="shared" si="59"/>
        <v>0</v>
      </c>
    </row>
    <row r="230" spans="1:21" x14ac:dyDescent="0.2">
      <c r="A230" s="115"/>
      <c r="B230" s="139" t="s">
        <v>368</v>
      </c>
      <c r="C230" s="140" t="s">
        <v>806</v>
      </c>
      <c r="D230" s="141">
        <v>45936</v>
      </c>
      <c r="E230" s="141">
        <v>45996</v>
      </c>
      <c r="F230" s="57">
        <v>30078.91</v>
      </c>
      <c r="G230" s="58">
        <f t="shared" si="45"/>
        <v>-26</v>
      </c>
      <c r="H230" s="142">
        <f t="shared" si="46"/>
        <v>0</v>
      </c>
      <c r="I230" s="142">
        <f t="shared" si="47"/>
        <v>0</v>
      </c>
      <c r="J230" s="143">
        <f t="shared" si="48"/>
        <v>0</v>
      </c>
      <c r="K230" s="143">
        <f t="shared" si="49"/>
        <v>0</v>
      </c>
      <c r="L230" s="142">
        <f t="shared" si="50"/>
        <v>0</v>
      </c>
      <c r="M230" s="142">
        <f t="shared" si="51"/>
        <v>0</v>
      </c>
      <c r="N230" s="142">
        <f t="shared" si="52"/>
        <v>30078.91</v>
      </c>
      <c r="O230" s="59">
        <f t="shared" si="53"/>
        <v>30078.91</v>
      </c>
      <c r="P230" s="142">
        <f t="shared" si="54"/>
        <v>0</v>
      </c>
      <c r="Q230" s="142">
        <f t="shared" si="55"/>
        <v>0</v>
      </c>
      <c r="R230" s="142">
        <f t="shared" si="56"/>
        <v>0</v>
      </c>
      <c r="S230" s="142">
        <f t="shared" si="57"/>
        <v>0</v>
      </c>
      <c r="T230" s="142">
        <f t="shared" si="58"/>
        <v>0</v>
      </c>
      <c r="U230" s="60">
        <f t="shared" si="59"/>
        <v>0</v>
      </c>
    </row>
    <row r="231" spans="1:21" x14ac:dyDescent="0.2">
      <c r="A231" s="115"/>
      <c r="B231" s="139" t="s">
        <v>368</v>
      </c>
      <c r="C231" s="140" t="s">
        <v>811</v>
      </c>
      <c r="D231" s="141">
        <v>45936</v>
      </c>
      <c r="E231" s="141">
        <v>45996</v>
      </c>
      <c r="F231" s="57">
        <v>32796.46</v>
      </c>
      <c r="G231" s="58">
        <f t="shared" si="45"/>
        <v>-26</v>
      </c>
      <c r="H231" s="142">
        <f t="shared" si="46"/>
        <v>0</v>
      </c>
      <c r="I231" s="142">
        <f t="shared" si="47"/>
        <v>0</v>
      </c>
      <c r="J231" s="143">
        <f t="shared" si="48"/>
        <v>0</v>
      </c>
      <c r="K231" s="143">
        <f t="shared" si="49"/>
        <v>0</v>
      </c>
      <c r="L231" s="142">
        <f t="shared" si="50"/>
        <v>0</v>
      </c>
      <c r="M231" s="142">
        <f t="shared" si="51"/>
        <v>0</v>
      </c>
      <c r="N231" s="142">
        <f t="shared" si="52"/>
        <v>32796.46</v>
      </c>
      <c r="O231" s="59">
        <f t="shared" si="53"/>
        <v>32796.46</v>
      </c>
      <c r="P231" s="142">
        <f t="shared" si="54"/>
        <v>0</v>
      </c>
      <c r="Q231" s="142">
        <f t="shared" si="55"/>
        <v>0</v>
      </c>
      <c r="R231" s="142">
        <f t="shared" si="56"/>
        <v>0</v>
      </c>
      <c r="S231" s="142">
        <f t="shared" si="57"/>
        <v>0</v>
      </c>
      <c r="T231" s="142">
        <f t="shared" si="58"/>
        <v>0</v>
      </c>
      <c r="U231" s="60">
        <f t="shared" si="59"/>
        <v>0</v>
      </c>
    </row>
    <row r="232" spans="1:21" x14ac:dyDescent="0.2">
      <c r="A232" s="115"/>
      <c r="B232" s="139" t="s">
        <v>368</v>
      </c>
      <c r="C232" s="140" t="s">
        <v>815</v>
      </c>
      <c r="D232" s="141">
        <v>45937</v>
      </c>
      <c r="E232" s="141">
        <v>45997</v>
      </c>
      <c r="F232" s="57">
        <v>34142.54</v>
      </c>
      <c r="G232" s="58">
        <f t="shared" si="45"/>
        <v>-25</v>
      </c>
      <c r="H232" s="142">
        <f t="shared" si="46"/>
        <v>0</v>
      </c>
      <c r="I232" s="142">
        <f t="shared" si="47"/>
        <v>0</v>
      </c>
      <c r="J232" s="143">
        <f t="shared" si="48"/>
        <v>0</v>
      </c>
      <c r="K232" s="143">
        <f t="shared" si="49"/>
        <v>0</v>
      </c>
      <c r="L232" s="142">
        <f t="shared" si="50"/>
        <v>0</v>
      </c>
      <c r="M232" s="142">
        <f t="shared" si="51"/>
        <v>0</v>
      </c>
      <c r="N232" s="142">
        <f t="shared" si="52"/>
        <v>34142.54</v>
      </c>
      <c r="O232" s="59">
        <f t="shared" si="53"/>
        <v>34142.54</v>
      </c>
      <c r="P232" s="142">
        <f t="shared" si="54"/>
        <v>0</v>
      </c>
      <c r="Q232" s="142">
        <f t="shared" si="55"/>
        <v>0</v>
      </c>
      <c r="R232" s="142">
        <f t="shared" si="56"/>
        <v>0</v>
      </c>
      <c r="S232" s="142">
        <f t="shared" si="57"/>
        <v>0</v>
      </c>
      <c r="T232" s="142">
        <f t="shared" si="58"/>
        <v>0</v>
      </c>
      <c r="U232" s="60">
        <f t="shared" si="59"/>
        <v>0</v>
      </c>
    </row>
    <row r="233" spans="1:21" x14ac:dyDescent="0.2">
      <c r="A233" s="115"/>
      <c r="B233" s="139" t="s">
        <v>368</v>
      </c>
      <c r="C233" s="140" t="s">
        <v>943</v>
      </c>
      <c r="D233" s="141">
        <v>46001</v>
      </c>
      <c r="E233" s="141">
        <v>46061</v>
      </c>
      <c r="F233" s="57">
        <v>19067.599999999999</v>
      </c>
      <c r="G233" s="58">
        <f t="shared" si="45"/>
        <v>39</v>
      </c>
      <c r="H233" s="142">
        <f t="shared" si="46"/>
        <v>0</v>
      </c>
      <c r="I233" s="142">
        <f t="shared" si="47"/>
        <v>0</v>
      </c>
      <c r="J233" s="143">
        <f t="shared" si="48"/>
        <v>0</v>
      </c>
      <c r="K233" s="143">
        <f t="shared" si="49"/>
        <v>0</v>
      </c>
      <c r="L233" s="142">
        <f t="shared" si="50"/>
        <v>0</v>
      </c>
      <c r="M233" s="142">
        <f t="shared" si="51"/>
        <v>0</v>
      </c>
      <c r="N233" s="142">
        <f t="shared" si="52"/>
        <v>0</v>
      </c>
      <c r="O233" s="59">
        <f t="shared" si="53"/>
        <v>0</v>
      </c>
      <c r="P233" s="142">
        <f t="shared" si="54"/>
        <v>0</v>
      </c>
      <c r="Q233" s="142">
        <f t="shared" si="55"/>
        <v>19067.599999999999</v>
      </c>
      <c r="R233" s="142">
        <f t="shared" si="56"/>
        <v>0</v>
      </c>
      <c r="S233" s="142">
        <f t="shared" si="57"/>
        <v>0</v>
      </c>
      <c r="T233" s="142">
        <f t="shared" si="58"/>
        <v>0</v>
      </c>
      <c r="U233" s="60">
        <f t="shared" si="59"/>
        <v>19067.599999999999</v>
      </c>
    </row>
    <row r="234" spans="1:21" x14ac:dyDescent="0.2">
      <c r="A234" s="115"/>
      <c r="B234" s="139" t="s">
        <v>368</v>
      </c>
      <c r="C234" s="140" t="s">
        <v>944</v>
      </c>
      <c r="D234" s="141">
        <v>46001</v>
      </c>
      <c r="E234" s="141">
        <v>46061</v>
      </c>
      <c r="F234" s="57">
        <v>7119.82</v>
      </c>
      <c r="G234" s="58">
        <f t="shared" si="45"/>
        <v>39</v>
      </c>
      <c r="H234" s="142">
        <f t="shared" si="46"/>
        <v>0</v>
      </c>
      <c r="I234" s="142">
        <f t="shared" si="47"/>
        <v>0</v>
      </c>
      <c r="J234" s="143">
        <f t="shared" si="48"/>
        <v>0</v>
      </c>
      <c r="K234" s="143">
        <f t="shared" si="49"/>
        <v>0</v>
      </c>
      <c r="L234" s="142">
        <f t="shared" si="50"/>
        <v>0</v>
      </c>
      <c r="M234" s="142">
        <f t="shared" si="51"/>
        <v>0</v>
      </c>
      <c r="N234" s="142">
        <f t="shared" si="52"/>
        <v>0</v>
      </c>
      <c r="O234" s="59">
        <f t="shared" si="53"/>
        <v>0</v>
      </c>
      <c r="P234" s="142">
        <f t="shared" si="54"/>
        <v>0</v>
      </c>
      <c r="Q234" s="142">
        <f t="shared" si="55"/>
        <v>7119.82</v>
      </c>
      <c r="R234" s="142">
        <f t="shared" si="56"/>
        <v>0</v>
      </c>
      <c r="S234" s="142">
        <f t="shared" si="57"/>
        <v>0</v>
      </c>
      <c r="T234" s="142">
        <f t="shared" si="58"/>
        <v>0</v>
      </c>
      <c r="U234" s="60">
        <f t="shared" si="59"/>
        <v>7119.82</v>
      </c>
    </row>
    <row r="235" spans="1:21" x14ac:dyDescent="0.2">
      <c r="A235" s="115"/>
      <c r="B235" s="139" t="s">
        <v>62</v>
      </c>
      <c r="C235" s="140" t="s">
        <v>164</v>
      </c>
      <c r="D235" s="141">
        <v>45131</v>
      </c>
      <c r="E235" s="141">
        <v>45191</v>
      </c>
      <c r="F235" s="57">
        <v>9430</v>
      </c>
      <c r="G235" s="58">
        <f t="shared" si="45"/>
        <v>-831</v>
      </c>
      <c r="H235" s="142">
        <f t="shared" si="46"/>
        <v>9430</v>
      </c>
      <c r="I235" s="142">
        <f t="shared" si="47"/>
        <v>0</v>
      </c>
      <c r="J235" s="143">
        <f t="shared" si="48"/>
        <v>0</v>
      </c>
      <c r="K235" s="143">
        <f t="shared" si="49"/>
        <v>0</v>
      </c>
      <c r="L235" s="142">
        <f t="shared" si="50"/>
        <v>0</v>
      </c>
      <c r="M235" s="142">
        <f t="shared" si="51"/>
        <v>0</v>
      </c>
      <c r="N235" s="142">
        <f t="shared" si="52"/>
        <v>0</v>
      </c>
      <c r="O235" s="59">
        <f t="shared" si="53"/>
        <v>9430</v>
      </c>
      <c r="P235" s="142">
        <f t="shared" si="54"/>
        <v>0</v>
      </c>
      <c r="Q235" s="142">
        <f t="shared" si="55"/>
        <v>0</v>
      </c>
      <c r="R235" s="142">
        <f t="shared" si="56"/>
        <v>0</v>
      </c>
      <c r="S235" s="142">
        <f t="shared" si="57"/>
        <v>0</v>
      </c>
      <c r="T235" s="142">
        <f t="shared" si="58"/>
        <v>0</v>
      </c>
      <c r="U235" s="60">
        <f t="shared" si="59"/>
        <v>0</v>
      </c>
    </row>
    <row r="236" spans="1:21" x14ac:dyDescent="0.2">
      <c r="A236" s="115"/>
      <c r="B236" s="139" t="s">
        <v>512</v>
      </c>
      <c r="C236" s="140" t="s">
        <v>767</v>
      </c>
      <c r="D236" s="141">
        <v>45944</v>
      </c>
      <c r="E236" s="141">
        <v>46034</v>
      </c>
      <c r="F236" s="57">
        <v>10107.24</v>
      </c>
      <c r="G236" s="58">
        <f t="shared" si="45"/>
        <v>12</v>
      </c>
      <c r="H236" s="142">
        <f t="shared" si="46"/>
        <v>0</v>
      </c>
      <c r="I236" s="142">
        <f t="shared" si="47"/>
        <v>0</v>
      </c>
      <c r="J236" s="143">
        <f t="shared" si="48"/>
        <v>0</v>
      </c>
      <c r="K236" s="143">
        <f t="shared" si="49"/>
        <v>0</v>
      </c>
      <c r="L236" s="142">
        <f t="shared" si="50"/>
        <v>0</v>
      </c>
      <c r="M236" s="142">
        <f t="shared" si="51"/>
        <v>0</v>
      </c>
      <c r="N236" s="142">
        <f t="shared" si="52"/>
        <v>0</v>
      </c>
      <c r="O236" s="59">
        <f t="shared" si="53"/>
        <v>0</v>
      </c>
      <c r="P236" s="142">
        <f t="shared" si="54"/>
        <v>10107.24</v>
      </c>
      <c r="Q236" s="142">
        <f t="shared" si="55"/>
        <v>0</v>
      </c>
      <c r="R236" s="142">
        <f t="shared" si="56"/>
        <v>0</v>
      </c>
      <c r="S236" s="142">
        <f t="shared" si="57"/>
        <v>0</v>
      </c>
      <c r="T236" s="142">
        <f t="shared" si="58"/>
        <v>0</v>
      </c>
      <c r="U236" s="60">
        <f t="shared" si="59"/>
        <v>10107.24</v>
      </c>
    </row>
    <row r="237" spans="1:21" x14ac:dyDescent="0.2">
      <c r="A237" s="115"/>
      <c r="B237" s="139" t="s">
        <v>512</v>
      </c>
      <c r="C237" s="140" t="s">
        <v>767</v>
      </c>
      <c r="D237" s="141">
        <v>45944</v>
      </c>
      <c r="E237" s="141">
        <v>46064</v>
      </c>
      <c r="F237" s="57">
        <v>10107.24</v>
      </c>
      <c r="G237" s="58">
        <f t="shared" si="45"/>
        <v>42</v>
      </c>
      <c r="H237" s="142">
        <f t="shared" si="46"/>
        <v>0</v>
      </c>
      <c r="I237" s="142">
        <f t="shared" si="47"/>
        <v>0</v>
      </c>
      <c r="J237" s="143">
        <f t="shared" si="48"/>
        <v>0</v>
      </c>
      <c r="K237" s="143">
        <f t="shared" si="49"/>
        <v>0</v>
      </c>
      <c r="L237" s="142">
        <f t="shared" si="50"/>
        <v>0</v>
      </c>
      <c r="M237" s="142">
        <f t="shared" si="51"/>
        <v>0</v>
      </c>
      <c r="N237" s="142">
        <f t="shared" si="52"/>
        <v>0</v>
      </c>
      <c r="O237" s="59">
        <f t="shared" si="53"/>
        <v>0</v>
      </c>
      <c r="P237" s="142">
        <f t="shared" si="54"/>
        <v>0</v>
      </c>
      <c r="Q237" s="142">
        <f t="shared" si="55"/>
        <v>10107.24</v>
      </c>
      <c r="R237" s="142">
        <f t="shared" si="56"/>
        <v>0</v>
      </c>
      <c r="S237" s="142">
        <f t="shared" si="57"/>
        <v>0</v>
      </c>
      <c r="T237" s="142">
        <f t="shared" si="58"/>
        <v>0</v>
      </c>
      <c r="U237" s="60">
        <f t="shared" si="59"/>
        <v>10107.24</v>
      </c>
    </row>
    <row r="238" spans="1:21" x14ac:dyDescent="0.2">
      <c r="A238" s="115"/>
      <c r="B238" s="139" t="s">
        <v>369</v>
      </c>
      <c r="C238" s="140" t="s">
        <v>638</v>
      </c>
      <c r="D238" s="141">
        <v>45911</v>
      </c>
      <c r="E238" s="141">
        <v>46001</v>
      </c>
      <c r="F238" s="57">
        <v>118600</v>
      </c>
      <c r="G238" s="58">
        <f t="shared" si="45"/>
        <v>-21</v>
      </c>
      <c r="H238" s="142">
        <f t="shared" si="46"/>
        <v>0</v>
      </c>
      <c r="I238" s="142">
        <f t="shared" si="47"/>
        <v>0</v>
      </c>
      <c r="J238" s="143">
        <f t="shared" si="48"/>
        <v>0</v>
      </c>
      <c r="K238" s="143">
        <f t="shared" si="49"/>
        <v>0</v>
      </c>
      <c r="L238" s="142">
        <f t="shared" si="50"/>
        <v>0</v>
      </c>
      <c r="M238" s="142">
        <f t="shared" si="51"/>
        <v>0</v>
      </c>
      <c r="N238" s="142">
        <f t="shared" si="52"/>
        <v>118600</v>
      </c>
      <c r="O238" s="59">
        <f t="shared" si="53"/>
        <v>118600</v>
      </c>
      <c r="P238" s="142">
        <f t="shared" si="54"/>
        <v>0</v>
      </c>
      <c r="Q238" s="142">
        <f t="shared" si="55"/>
        <v>0</v>
      </c>
      <c r="R238" s="142">
        <f t="shared" si="56"/>
        <v>0</v>
      </c>
      <c r="S238" s="142">
        <f t="shared" si="57"/>
        <v>0</v>
      </c>
      <c r="T238" s="142">
        <f t="shared" si="58"/>
        <v>0</v>
      </c>
      <c r="U238" s="60">
        <f t="shared" si="59"/>
        <v>0</v>
      </c>
    </row>
    <row r="239" spans="1:21" x14ac:dyDescent="0.2">
      <c r="A239" s="115"/>
      <c r="B239" s="139" t="s">
        <v>639</v>
      </c>
      <c r="C239" s="140" t="s">
        <v>640</v>
      </c>
      <c r="D239" s="141">
        <v>45915</v>
      </c>
      <c r="E239" s="141">
        <v>45975</v>
      </c>
      <c r="F239" s="57">
        <v>189480</v>
      </c>
      <c r="G239" s="58">
        <f t="shared" si="45"/>
        <v>-47</v>
      </c>
      <c r="H239" s="142">
        <f t="shared" si="46"/>
        <v>0</v>
      </c>
      <c r="I239" s="142">
        <f t="shared" si="47"/>
        <v>0</v>
      </c>
      <c r="J239" s="143">
        <f t="shared" si="48"/>
        <v>0</v>
      </c>
      <c r="K239" s="143">
        <f t="shared" si="49"/>
        <v>0</v>
      </c>
      <c r="L239" s="142">
        <f t="shared" si="50"/>
        <v>0</v>
      </c>
      <c r="M239" s="142">
        <f t="shared" si="51"/>
        <v>189480</v>
      </c>
      <c r="N239" s="142">
        <f t="shared" si="52"/>
        <v>0</v>
      </c>
      <c r="O239" s="59">
        <f t="shared" si="53"/>
        <v>189480</v>
      </c>
      <c r="P239" s="142">
        <f t="shared" si="54"/>
        <v>0</v>
      </c>
      <c r="Q239" s="142">
        <f t="shared" si="55"/>
        <v>0</v>
      </c>
      <c r="R239" s="142">
        <f t="shared" si="56"/>
        <v>0</v>
      </c>
      <c r="S239" s="142">
        <f t="shared" si="57"/>
        <v>0</v>
      </c>
      <c r="T239" s="142">
        <f t="shared" si="58"/>
        <v>0</v>
      </c>
      <c r="U239" s="60">
        <f t="shared" si="59"/>
        <v>0</v>
      </c>
    </row>
    <row r="240" spans="1:21" x14ac:dyDescent="0.2">
      <c r="A240" s="115"/>
      <c r="B240" s="139" t="s">
        <v>57</v>
      </c>
      <c r="C240" s="140" t="s">
        <v>166</v>
      </c>
      <c r="D240" s="141">
        <v>43157</v>
      </c>
      <c r="E240" s="141">
        <v>43187</v>
      </c>
      <c r="F240" s="57">
        <v>2700</v>
      </c>
      <c r="G240" s="58">
        <f t="shared" si="45"/>
        <v>-2835</v>
      </c>
      <c r="H240" s="142">
        <f t="shared" si="46"/>
        <v>2700</v>
      </c>
      <c r="I240" s="142">
        <f t="shared" si="47"/>
        <v>0</v>
      </c>
      <c r="J240" s="143">
        <f t="shared" si="48"/>
        <v>0</v>
      </c>
      <c r="K240" s="143">
        <f t="shared" si="49"/>
        <v>0</v>
      </c>
      <c r="L240" s="142">
        <f t="shared" si="50"/>
        <v>0</v>
      </c>
      <c r="M240" s="142">
        <f t="shared" si="51"/>
        <v>0</v>
      </c>
      <c r="N240" s="142">
        <f t="shared" si="52"/>
        <v>0</v>
      </c>
      <c r="O240" s="59">
        <f t="shared" si="53"/>
        <v>2700</v>
      </c>
      <c r="P240" s="142">
        <f t="shared" si="54"/>
        <v>0</v>
      </c>
      <c r="Q240" s="142">
        <f t="shared" si="55"/>
        <v>0</v>
      </c>
      <c r="R240" s="142">
        <f t="shared" si="56"/>
        <v>0</v>
      </c>
      <c r="S240" s="142">
        <f t="shared" si="57"/>
        <v>0</v>
      </c>
      <c r="T240" s="142">
        <f t="shared" si="58"/>
        <v>0</v>
      </c>
      <c r="U240" s="60">
        <f t="shared" si="59"/>
        <v>0</v>
      </c>
    </row>
    <row r="241" spans="1:21" x14ac:dyDescent="0.2">
      <c r="A241" s="115"/>
      <c r="B241" s="139" t="s">
        <v>57</v>
      </c>
      <c r="C241" s="140" t="s">
        <v>167</v>
      </c>
      <c r="D241" s="141">
        <v>43181</v>
      </c>
      <c r="E241" s="141">
        <v>43211</v>
      </c>
      <c r="F241" s="57">
        <v>1350</v>
      </c>
      <c r="G241" s="58">
        <f t="shared" si="45"/>
        <v>-2811</v>
      </c>
      <c r="H241" s="142">
        <f t="shared" si="46"/>
        <v>1350</v>
      </c>
      <c r="I241" s="142">
        <f t="shared" si="47"/>
        <v>0</v>
      </c>
      <c r="J241" s="143">
        <f t="shared" si="48"/>
        <v>0</v>
      </c>
      <c r="K241" s="143">
        <f t="shared" si="49"/>
        <v>0</v>
      </c>
      <c r="L241" s="142">
        <f t="shared" si="50"/>
        <v>0</v>
      </c>
      <c r="M241" s="142">
        <f t="shared" si="51"/>
        <v>0</v>
      </c>
      <c r="N241" s="142">
        <f t="shared" si="52"/>
        <v>0</v>
      </c>
      <c r="O241" s="59">
        <f t="shared" si="53"/>
        <v>1350</v>
      </c>
      <c r="P241" s="142">
        <f t="shared" si="54"/>
        <v>0</v>
      </c>
      <c r="Q241" s="142">
        <f t="shared" si="55"/>
        <v>0</v>
      </c>
      <c r="R241" s="142">
        <f t="shared" si="56"/>
        <v>0</v>
      </c>
      <c r="S241" s="142">
        <f t="shared" si="57"/>
        <v>0</v>
      </c>
      <c r="T241" s="142">
        <f t="shared" si="58"/>
        <v>0</v>
      </c>
      <c r="U241" s="60">
        <f t="shared" si="59"/>
        <v>0</v>
      </c>
    </row>
    <row r="242" spans="1:21" x14ac:dyDescent="0.2">
      <c r="A242" s="115"/>
      <c r="B242" s="139" t="s">
        <v>57</v>
      </c>
      <c r="C242" s="140" t="s">
        <v>168</v>
      </c>
      <c r="D242" s="141">
        <v>43157</v>
      </c>
      <c r="E242" s="141">
        <v>43217</v>
      </c>
      <c r="F242" s="57">
        <v>2700</v>
      </c>
      <c r="G242" s="58">
        <f t="shared" si="45"/>
        <v>-2805</v>
      </c>
      <c r="H242" s="142">
        <f t="shared" si="46"/>
        <v>2700</v>
      </c>
      <c r="I242" s="142">
        <f t="shared" si="47"/>
        <v>0</v>
      </c>
      <c r="J242" s="143">
        <f t="shared" si="48"/>
        <v>0</v>
      </c>
      <c r="K242" s="143">
        <f t="shared" si="49"/>
        <v>0</v>
      </c>
      <c r="L242" s="142">
        <f t="shared" si="50"/>
        <v>0</v>
      </c>
      <c r="M242" s="142">
        <f t="shared" si="51"/>
        <v>0</v>
      </c>
      <c r="N242" s="142">
        <f t="shared" si="52"/>
        <v>0</v>
      </c>
      <c r="O242" s="59">
        <f t="shared" si="53"/>
        <v>2700</v>
      </c>
      <c r="P242" s="142">
        <f t="shared" si="54"/>
        <v>0</v>
      </c>
      <c r="Q242" s="142">
        <f t="shared" si="55"/>
        <v>0</v>
      </c>
      <c r="R242" s="142">
        <f t="shared" si="56"/>
        <v>0</v>
      </c>
      <c r="S242" s="142">
        <f t="shared" si="57"/>
        <v>0</v>
      </c>
      <c r="T242" s="142">
        <f t="shared" si="58"/>
        <v>0</v>
      </c>
      <c r="U242" s="60">
        <f t="shared" si="59"/>
        <v>0</v>
      </c>
    </row>
    <row r="243" spans="1:21" x14ac:dyDescent="0.2">
      <c r="A243" s="115"/>
      <c r="B243" s="139" t="s">
        <v>57</v>
      </c>
      <c r="C243" s="140" t="s">
        <v>169</v>
      </c>
      <c r="D243" s="141">
        <v>43188</v>
      </c>
      <c r="E243" s="141">
        <v>43218</v>
      </c>
      <c r="F243" s="57">
        <v>675</v>
      </c>
      <c r="G243" s="58">
        <f t="shared" si="45"/>
        <v>-2804</v>
      </c>
      <c r="H243" s="142">
        <f t="shared" si="46"/>
        <v>675</v>
      </c>
      <c r="I243" s="142">
        <f t="shared" si="47"/>
        <v>0</v>
      </c>
      <c r="J243" s="143">
        <f t="shared" si="48"/>
        <v>0</v>
      </c>
      <c r="K243" s="143">
        <f t="shared" si="49"/>
        <v>0</v>
      </c>
      <c r="L243" s="142">
        <f t="shared" si="50"/>
        <v>0</v>
      </c>
      <c r="M243" s="142">
        <f t="shared" si="51"/>
        <v>0</v>
      </c>
      <c r="N243" s="142">
        <f t="shared" si="52"/>
        <v>0</v>
      </c>
      <c r="O243" s="59">
        <f t="shared" si="53"/>
        <v>675</v>
      </c>
      <c r="P243" s="142">
        <f t="shared" si="54"/>
        <v>0</v>
      </c>
      <c r="Q243" s="142">
        <f t="shared" si="55"/>
        <v>0</v>
      </c>
      <c r="R243" s="142">
        <f t="shared" si="56"/>
        <v>0</v>
      </c>
      <c r="S243" s="142">
        <f t="shared" si="57"/>
        <v>0</v>
      </c>
      <c r="T243" s="142">
        <f t="shared" si="58"/>
        <v>0</v>
      </c>
      <c r="U243" s="60">
        <f t="shared" si="59"/>
        <v>0</v>
      </c>
    </row>
    <row r="244" spans="1:21" x14ac:dyDescent="0.2">
      <c r="A244" s="115"/>
      <c r="B244" s="139" t="s">
        <v>57</v>
      </c>
      <c r="C244" s="140" t="s">
        <v>170</v>
      </c>
      <c r="D244" s="141">
        <v>43181</v>
      </c>
      <c r="E244" s="141">
        <v>43241</v>
      </c>
      <c r="F244" s="57">
        <v>1350</v>
      </c>
      <c r="G244" s="58">
        <f t="shared" si="45"/>
        <v>-2781</v>
      </c>
      <c r="H244" s="142">
        <f t="shared" si="46"/>
        <v>1350</v>
      </c>
      <c r="I244" s="142">
        <f t="shared" si="47"/>
        <v>0</v>
      </c>
      <c r="J244" s="143">
        <f t="shared" si="48"/>
        <v>0</v>
      </c>
      <c r="K244" s="143">
        <f t="shared" si="49"/>
        <v>0</v>
      </c>
      <c r="L244" s="142">
        <f t="shared" si="50"/>
        <v>0</v>
      </c>
      <c r="M244" s="142">
        <f t="shared" si="51"/>
        <v>0</v>
      </c>
      <c r="N244" s="142">
        <f t="shared" si="52"/>
        <v>0</v>
      </c>
      <c r="O244" s="59">
        <f t="shared" si="53"/>
        <v>1350</v>
      </c>
      <c r="P244" s="142">
        <f t="shared" si="54"/>
        <v>0</v>
      </c>
      <c r="Q244" s="142">
        <f t="shared" si="55"/>
        <v>0</v>
      </c>
      <c r="R244" s="142">
        <f t="shared" si="56"/>
        <v>0</v>
      </c>
      <c r="S244" s="142">
        <f t="shared" si="57"/>
        <v>0</v>
      </c>
      <c r="T244" s="142">
        <f t="shared" si="58"/>
        <v>0</v>
      </c>
      <c r="U244" s="60">
        <f t="shared" si="59"/>
        <v>0</v>
      </c>
    </row>
    <row r="245" spans="1:21" x14ac:dyDescent="0.2">
      <c r="A245" s="115"/>
      <c r="B245" s="139" t="s">
        <v>57</v>
      </c>
      <c r="C245" s="140" t="s">
        <v>171</v>
      </c>
      <c r="D245" s="141">
        <v>43157</v>
      </c>
      <c r="E245" s="141">
        <v>43247</v>
      </c>
      <c r="F245" s="57">
        <v>2700</v>
      </c>
      <c r="G245" s="58">
        <f t="shared" si="45"/>
        <v>-2775</v>
      </c>
      <c r="H245" s="142">
        <f t="shared" si="46"/>
        <v>2700</v>
      </c>
      <c r="I245" s="142">
        <f t="shared" si="47"/>
        <v>0</v>
      </c>
      <c r="J245" s="143">
        <f t="shared" si="48"/>
        <v>0</v>
      </c>
      <c r="K245" s="143">
        <f t="shared" si="49"/>
        <v>0</v>
      </c>
      <c r="L245" s="142">
        <f t="shared" si="50"/>
        <v>0</v>
      </c>
      <c r="M245" s="142">
        <f t="shared" si="51"/>
        <v>0</v>
      </c>
      <c r="N245" s="142">
        <f t="shared" si="52"/>
        <v>0</v>
      </c>
      <c r="O245" s="59">
        <f t="shared" si="53"/>
        <v>2700</v>
      </c>
      <c r="P245" s="142">
        <f t="shared" si="54"/>
        <v>0</v>
      </c>
      <c r="Q245" s="142">
        <f t="shared" si="55"/>
        <v>0</v>
      </c>
      <c r="R245" s="142">
        <f t="shared" si="56"/>
        <v>0</v>
      </c>
      <c r="S245" s="142">
        <f t="shared" si="57"/>
        <v>0</v>
      </c>
      <c r="T245" s="142">
        <f t="shared" si="58"/>
        <v>0</v>
      </c>
      <c r="U245" s="60">
        <f t="shared" si="59"/>
        <v>0</v>
      </c>
    </row>
    <row r="246" spans="1:21" x14ac:dyDescent="0.2">
      <c r="A246" s="115"/>
      <c r="B246" s="139" t="s">
        <v>57</v>
      </c>
      <c r="C246" s="140" t="s">
        <v>172</v>
      </c>
      <c r="D246" s="141">
        <v>43188</v>
      </c>
      <c r="E246" s="141">
        <v>43248</v>
      </c>
      <c r="F246" s="57">
        <v>675</v>
      </c>
      <c r="G246" s="58">
        <f t="shared" si="45"/>
        <v>-2774</v>
      </c>
      <c r="H246" s="142">
        <f t="shared" si="46"/>
        <v>675</v>
      </c>
      <c r="I246" s="142">
        <f t="shared" si="47"/>
        <v>0</v>
      </c>
      <c r="J246" s="143">
        <f t="shared" si="48"/>
        <v>0</v>
      </c>
      <c r="K246" s="143">
        <f t="shared" si="49"/>
        <v>0</v>
      </c>
      <c r="L246" s="142">
        <f t="shared" si="50"/>
        <v>0</v>
      </c>
      <c r="M246" s="142">
        <f t="shared" si="51"/>
        <v>0</v>
      </c>
      <c r="N246" s="142">
        <f t="shared" si="52"/>
        <v>0</v>
      </c>
      <c r="O246" s="59">
        <f t="shared" si="53"/>
        <v>675</v>
      </c>
      <c r="P246" s="142">
        <f t="shared" si="54"/>
        <v>0</v>
      </c>
      <c r="Q246" s="142">
        <f t="shared" si="55"/>
        <v>0</v>
      </c>
      <c r="R246" s="142">
        <f t="shared" si="56"/>
        <v>0</v>
      </c>
      <c r="S246" s="142">
        <f t="shared" si="57"/>
        <v>0</v>
      </c>
      <c r="T246" s="142">
        <f t="shared" si="58"/>
        <v>0</v>
      </c>
      <c r="U246" s="60">
        <f t="shared" si="59"/>
        <v>0</v>
      </c>
    </row>
    <row r="247" spans="1:21" x14ac:dyDescent="0.2">
      <c r="A247" s="115"/>
      <c r="B247" s="139" t="s">
        <v>57</v>
      </c>
      <c r="C247" s="140" t="s">
        <v>173</v>
      </c>
      <c r="D247" s="141">
        <v>43181</v>
      </c>
      <c r="E247" s="141">
        <v>43271</v>
      </c>
      <c r="F247" s="57">
        <v>1350</v>
      </c>
      <c r="G247" s="58">
        <f t="shared" si="45"/>
        <v>-2751</v>
      </c>
      <c r="H247" s="142">
        <f t="shared" si="46"/>
        <v>1350</v>
      </c>
      <c r="I247" s="142">
        <f t="shared" si="47"/>
        <v>0</v>
      </c>
      <c r="J247" s="143">
        <f t="shared" si="48"/>
        <v>0</v>
      </c>
      <c r="K247" s="143">
        <f t="shared" si="49"/>
        <v>0</v>
      </c>
      <c r="L247" s="142">
        <f t="shared" si="50"/>
        <v>0</v>
      </c>
      <c r="M247" s="142">
        <f t="shared" si="51"/>
        <v>0</v>
      </c>
      <c r="N247" s="142">
        <f t="shared" si="52"/>
        <v>0</v>
      </c>
      <c r="O247" s="59">
        <f t="shared" si="53"/>
        <v>1350</v>
      </c>
      <c r="P247" s="142">
        <f t="shared" si="54"/>
        <v>0</v>
      </c>
      <c r="Q247" s="142">
        <f t="shared" si="55"/>
        <v>0</v>
      </c>
      <c r="R247" s="142">
        <f t="shared" si="56"/>
        <v>0</v>
      </c>
      <c r="S247" s="142">
        <f t="shared" si="57"/>
        <v>0</v>
      </c>
      <c r="T247" s="142">
        <f t="shared" si="58"/>
        <v>0</v>
      </c>
      <c r="U247" s="60">
        <f t="shared" si="59"/>
        <v>0</v>
      </c>
    </row>
    <row r="248" spans="1:21" x14ac:dyDescent="0.2">
      <c r="A248" s="115"/>
      <c r="B248" s="139" t="s">
        <v>57</v>
      </c>
      <c r="C248" s="140" t="s">
        <v>174</v>
      </c>
      <c r="D248" s="141">
        <v>43157</v>
      </c>
      <c r="E248" s="141">
        <v>43277</v>
      </c>
      <c r="F248" s="57">
        <v>2700</v>
      </c>
      <c r="G248" s="58">
        <f t="shared" si="45"/>
        <v>-2745</v>
      </c>
      <c r="H248" s="142">
        <f t="shared" si="46"/>
        <v>2700</v>
      </c>
      <c r="I248" s="142">
        <f t="shared" si="47"/>
        <v>0</v>
      </c>
      <c r="J248" s="143">
        <f t="shared" si="48"/>
        <v>0</v>
      </c>
      <c r="K248" s="143">
        <f t="shared" si="49"/>
        <v>0</v>
      </c>
      <c r="L248" s="142">
        <f t="shared" si="50"/>
        <v>0</v>
      </c>
      <c r="M248" s="142">
        <f t="shared" si="51"/>
        <v>0</v>
      </c>
      <c r="N248" s="142">
        <f t="shared" si="52"/>
        <v>0</v>
      </c>
      <c r="O248" s="59">
        <f t="shared" si="53"/>
        <v>2700</v>
      </c>
      <c r="P248" s="142">
        <f t="shared" si="54"/>
        <v>0</v>
      </c>
      <c r="Q248" s="142">
        <f t="shared" si="55"/>
        <v>0</v>
      </c>
      <c r="R248" s="142">
        <f t="shared" si="56"/>
        <v>0</v>
      </c>
      <c r="S248" s="142">
        <f t="shared" si="57"/>
        <v>0</v>
      </c>
      <c r="T248" s="142">
        <f t="shared" si="58"/>
        <v>0</v>
      </c>
      <c r="U248" s="60">
        <f t="shared" si="59"/>
        <v>0</v>
      </c>
    </row>
    <row r="249" spans="1:21" x14ac:dyDescent="0.2">
      <c r="A249" s="115"/>
      <c r="B249" s="139" t="s">
        <v>57</v>
      </c>
      <c r="C249" s="140" t="s">
        <v>175</v>
      </c>
      <c r="D249" s="141">
        <v>43188</v>
      </c>
      <c r="E249" s="141">
        <v>43278</v>
      </c>
      <c r="F249" s="57">
        <v>675</v>
      </c>
      <c r="G249" s="58">
        <f t="shared" si="45"/>
        <v>-2744</v>
      </c>
      <c r="H249" s="142">
        <f t="shared" si="46"/>
        <v>675</v>
      </c>
      <c r="I249" s="142">
        <f t="shared" si="47"/>
        <v>0</v>
      </c>
      <c r="J249" s="143">
        <f t="shared" si="48"/>
        <v>0</v>
      </c>
      <c r="K249" s="143">
        <f t="shared" si="49"/>
        <v>0</v>
      </c>
      <c r="L249" s="142">
        <f t="shared" si="50"/>
        <v>0</v>
      </c>
      <c r="M249" s="142">
        <f t="shared" si="51"/>
        <v>0</v>
      </c>
      <c r="N249" s="142">
        <f t="shared" si="52"/>
        <v>0</v>
      </c>
      <c r="O249" s="59">
        <f t="shared" si="53"/>
        <v>675</v>
      </c>
      <c r="P249" s="142">
        <f t="shared" si="54"/>
        <v>0</v>
      </c>
      <c r="Q249" s="142">
        <f t="shared" si="55"/>
        <v>0</v>
      </c>
      <c r="R249" s="142">
        <f t="shared" si="56"/>
        <v>0</v>
      </c>
      <c r="S249" s="142">
        <f t="shared" si="57"/>
        <v>0</v>
      </c>
      <c r="T249" s="142">
        <f t="shared" si="58"/>
        <v>0</v>
      </c>
      <c r="U249" s="60">
        <f t="shared" si="59"/>
        <v>0</v>
      </c>
    </row>
    <row r="250" spans="1:21" x14ac:dyDescent="0.2">
      <c r="A250" s="115"/>
      <c r="B250" s="139" t="s">
        <v>57</v>
      </c>
      <c r="C250" s="140" t="s">
        <v>176</v>
      </c>
      <c r="D250" s="141">
        <v>43130</v>
      </c>
      <c r="E250" s="141">
        <v>43281</v>
      </c>
      <c r="F250" s="57">
        <v>675</v>
      </c>
      <c r="G250" s="58">
        <f t="shared" si="45"/>
        <v>-2741</v>
      </c>
      <c r="H250" s="142">
        <f t="shared" si="46"/>
        <v>675</v>
      </c>
      <c r="I250" s="142">
        <f t="shared" si="47"/>
        <v>0</v>
      </c>
      <c r="J250" s="143">
        <f t="shared" si="48"/>
        <v>0</v>
      </c>
      <c r="K250" s="143">
        <f t="shared" si="49"/>
        <v>0</v>
      </c>
      <c r="L250" s="142">
        <f t="shared" si="50"/>
        <v>0</v>
      </c>
      <c r="M250" s="142">
        <f t="shared" si="51"/>
        <v>0</v>
      </c>
      <c r="N250" s="142">
        <f t="shared" si="52"/>
        <v>0</v>
      </c>
      <c r="O250" s="59">
        <f t="shared" si="53"/>
        <v>675</v>
      </c>
      <c r="P250" s="142">
        <f t="shared" si="54"/>
        <v>0</v>
      </c>
      <c r="Q250" s="142">
        <f t="shared" si="55"/>
        <v>0</v>
      </c>
      <c r="R250" s="142">
        <f t="shared" si="56"/>
        <v>0</v>
      </c>
      <c r="S250" s="142">
        <f t="shared" si="57"/>
        <v>0</v>
      </c>
      <c r="T250" s="142">
        <f t="shared" si="58"/>
        <v>0</v>
      </c>
      <c r="U250" s="60">
        <f t="shared" si="59"/>
        <v>0</v>
      </c>
    </row>
    <row r="251" spans="1:21" x14ac:dyDescent="0.2">
      <c r="A251" s="115"/>
      <c r="B251" s="139" t="s">
        <v>57</v>
      </c>
      <c r="C251" s="140" t="s">
        <v>177</v>
      </c>
      <c r="D251" s="141">
        <v>43270</v>
      </c>
      <c r="E251" s="141">
        <v>43300</v>
      </c>
      <c r="F251" s="57">
        <v>675</v>
      </c>
      <c r="G251" s="58">
        <f t="shared" si="45"/>
        <v>-2722</v>
      </c>
      <c r="H251" s="142">
        <f t="shared" si="46"/>
        <v>675</v>
      </c>
      <c r="I251" s="142">
        <f t="shared" si="47"/>
        <v>0</v>
      </c>
      <c r="J251" s="143">
        <f t="shared" si="48"/>
        <v>0</v>
      </c>
      <c r="K251" s="143">
        <f t="shared" si="49"/>
        <v>0</v>
      </c>
      <c r="L251" s="142">
        <f t="shared" si="50"/>
        <v>0</v>
      </c>
      <c r="M251" s="142">
        <f t="shared" si="51"/>
        <v>0</v>
      </c>
      <c r="N251" s="142">
        <f t="shared" si="52"/>
        <v>0</v>
      </c>
      <c r="O251" s="59">
        <f t="shared" si="53"/>
        <v>675</v>
      </c>
      <c r="P251" s="142">
        <f t="shared" si="54"/>
        <v>0</v>
      </c>
      <c r="Q251" s="142">
        <f t="shared" si="55"/>
        <v>0</v>
      </c>
      <c r="R251" s="142">
        <f t="shared" si="56"/>
        <v>0</v>
      </c>
      <c r="S251" s="142">
        <f t="shared" si="57"/>
        <v>0</v>
      </c>
      <c r="T251" s="142">
        <f t="shared" si="58"/>
        <v>0</v>
      </c>
      <c r="U251" s="60">
        <f t="shared" si="59"/>
        <v>0</v>
      </c>
    </row>
    <row r="252" spans="1:21" x14ac:dyDescent="0.2">
      <c r="A252" s="115"/>
      <c r="B252" s="139" t="s">
        <v>57</v>
      </c>
      <c r="C252" s="140" t="s">
        <v>178</v>
      </c>
      <c r="D252" s="141">
        <v>43181</v>
      </c>
      <c r="E252" s="141">
        <v>43301</v>
      </c>
      <c r="F252" s="57">
        <v>1350</v>
      </c>
      <c r="G252" s="58">
        <f t="shared" si="45"/>
        <v>-2721</v>
      </c>
      <c r="H252" s="142">
        <f t="shared" si="46"/>
        <v>1350</v>
      </c>
      <c r="I252" s="142">
        <f t="shared" si="47"/>
        <v>0</v>
      </c>
      <c r="J252" s="143">
        <f t="shared" si="48"/>
        <v>0</v>
      </c>
      <c r="K252" s="143">
        <f t="shared" si="49"/>
        <v>0</v>
      </c>
      <c r="L252" s="142">
        <f t="shared" si="50"/>
        <v>0</v>
      </c>
      <c r="M252" s="142">
        <f t="shared" si="51"/>
        <v>0</v>
      </c>
      <c r="N252" s="142">
        <f t="shared" si="52"/>
        <v>0</v>
      </c>
      <c r="O252" s="59">
        <f t="shared" si="53"/>
        <v>1350</v>
      </c>
      <c r="P252" s="142">
        <f t="shared" si="54"/>
        <v>0</v>
      </c>
      <c r="Q252" s="142">
        <f t="shared" si="55"/>
        <v>0</v>
      </c>
      <c r="R252" s="142">
        <f t="shared" si="56"/>
        <v>0</v>
      </c>
      <c r="S252" s="142">
        <f t="shared" si="57"/>
        <v>0</v>
      </c>
      <c r="T252" s="142">
        <f t="shared" si="58"/>
        <v>0</v>
      </c>
      <c r="U252" s="60">
        <f t="shared" si="59"/>
        <v>0</v>
      </c>
    </row>
    <row r="253" spans="1:21" x14ac:dyDescent="0.2">
      <c r="A253" s="115"/>
      <c r="B253" s="139" t="s">
        <v>57</v>
      </c>
      <c r="C253" s="140" t="s">
        <v>179</v>
      </c>
      <c r="D253" s="141">
        <v>43188</v>
      </c>
      <c r="E253" s="141">
        <v>43308</v>
      </c>
      <c r="F253" s="57">
        <v>675</v>
      </c>
      <c r="G253" s="58">
        <f t="shared" si="45"/>
        <v>-2714</v>
      </c>
      <c r="H253" s="142">
        <f t="shared" si="46"/>
        <v>675</v>
      </c>
      <c r="I253" s="142">
        <f t="shared" si="47"/>
        <v>0</v>
      </c>
      <c r="J253" s="143">
        <f t="shared" si="48"/>
        <v>0</v>
      </c>
      <c r="K253" s="143">
        <f t="shared" si="49"/>
        <v>0</v>
      </c>
      <c r="L253" s="142">
        <f t="shared" si="50"/>
        <v>0</v>
      </c>
      <c r="M253" s="142">
        <f t="shared" si="51"/>
        <v>0</v>
      </c>
      <c r="N253" s="142">
        <f t="shared" si="52"/>
        <v>0</v>
      </c>
      <c r="O253" s="59">
        <f t="shared" si="53"/>
        <v>675</v>
      </c>
      <c r="P253" s="142">
        <f t="shared" si="54"/>
        <v>0</v>
      </c>
      <c r="Q253" s="142">
        <f t="shared" si="55"/>
        <v>0</v>
      </c>
      <c r="R253" s="142">
        <f t="shared" si="56"/>
        <v>0</v>
      </c>
      <c r="S253" s="142">
        <f t="shared" si="57"/>
        <v>0</v>
      </c>
      <c r="T253" s="142">
        <f t="shared" si="58"/>
        <v>0</v>
      </c>
      <c r="U253" s="60">
        <f t="shared" si="59"/>
        <v>0</v>
      </c>
    </row>
    <row r="254" spans="1:21" x14ac:dyDescent="0.2">
      <c r="A254" s="115"/>
      <c r="B254" s="139" t="s">
        <v>57</v>
      </c>
      <c r="C254" s="140" t="s">
        <v>180</v>
      </c>
      <c r="D254" s="141">
        <v>43270</v>
      </c>
      <c r="E254" s="141">
        <v>43330</v>
      </c>
      <c r="F254" s="57">
        <v>675</v>
      </c>
      <c r="G254" s="58">
        <f t="shared" si="45"/>
        <v>-2692</v>
      </c>
      <c r="H254" s="142">
        <f t="shared" si="46"/>
        <v>675</v>
      </c>
      <c r="I254" s="142">
        <f t="shared" si="47"/>
        <v>0</v>
      </c>
      <c r="J254" s="143">
        <f t="shared" si="48"/>
        <v>0</v>
      </c>
      <c r="K254" s="143">
        <f t="shared" si="49"/>
        <v>0</v>
      </c>
      <c r="L254" s="142">
        <f t="shared" si="50"/>
        <v>0</v>
      </c>
      <c r="M254" s="142">
        <f t="shared" si="51"/>
        <v>0</v>
      </c>
      <c r="N254" s="142">
        <f t="shared" si="52"/>
        <v>0</v>
      </c>
      <c r="O254" s="59">
        <f t="shared" si="53"/>
        <v>675</v>
      </c>
      <c r="P254" s="142">
        <f t="shared" si="54"/>
        <v>0</v>
      </c>
      <c r="Q254" s="142">
        <f t="shared" si="55"/>
        <v>0</v>
      </c>
      <c r="R254" s="142">
        <f t="shared" si="56"/>
        <v>0</v>
      </c>
      <c r="S254" s="142">
        <f t="shared" si="57"/>
        <v>0</v>
      </c>
      <c r="T254" s="142">
        <f t="shared" si="58"/>
        <v>0</v>
      </c>
      <c r="U254" s="60">
        <f t="shared" si="59"/>
        <v>0</v>
      </c>
    </row>
    <row r="255" spans="1:21" x14ac:dyDescent="0.2">
      <c r="A255" s="115"/>
      <c r="B255" s="139" t="s">
        <v>57</v>
      </c>
      <c r="C255" s="140" t="s">
        <v>181</v>
      </c>
      <c r="D255" s="141">
        <v>43270</v>
      </c>
      <c r="E255" s="141">
        <v>43360</v>
      </c>
      <c r="F255" s="57">
        <v>675</v>
      </c>
      <c r="G255" s="58">
        <f t="shared" si="45"/>
        <v>-2662</v>
      </c>
      <c r="H255" s="142">
        <f t="shared" si="46"/>
        <v>675</v>
      </c>
      <c r="I255" s="142">
        <f t="shared" si="47"/>
        <v>0</v>
      </c>
      <c r="J255" s="143">
        <f t="shared" si="48"/>
        <v>0</v>
      </c>
      <c r="K255" s="143">
        <f t="shared" si="49"/>
        <v>0</v>
      </c>
      <c r="L255" s="142">
        <f t="shared" si="50"/>
        <v>0</v>
      </c>
      <c r="M255" s="142">
        <f t="shared" si="51"/>
        <v>0</v>
      </c>
      <c r="N255" s="142">
        <f t="shared" si="52"/>
        <v>0</v>
      </c>
      <c r="O255" s="59">
        <f t="shared" si="53"/>
        <v>675</v>
      </c>
      <c r="P255" s="142">
        <f t="shared" si="54"/>
        <v>0</v>
      </c>
      <c r="Q255" s="142">
        <f t="shared" si="55"/>
        <v>0</v>
      </c>
      <c r="R255" s="142">
        <f t="shared" si="56"/>
        <v>0</v>
      </c>
      <c r="S255" s="142">
        <f t="shared" si="57"/>
        <v>0</v>
      </c>
      <c r="T255" s="142">
        <f t="shared" si="58"/>
        <v>0</v>
      </c>
      <c r="U255" s="60">
        <f t="shared" si="59"/>
        <v>0</v>
      </c>
    </row>
    <row r="256" spans="1:21" x14ac:dyDescent="0.2">
      <c r="A256" s="115"/>
      <c r="B256" s="139" t="s">
        <v>57</v>
      </c>
      <c r="C256" s="140" t="s">
        <v>182</v>
      </c>
      <c r="D256" s="141">
        <v>43270</v>
      </c>
      <c r="E256" s="141">
        <v>43390</v>
      </c>
      <c r="F256" s="57">
        <v>675</v>
      </c>
      <c r="G256" s="58">
        <f t="shared" si="45"/>
        <v>-2632</v>
      </c>
      <c r="H256" s="142">
        <f t="shared" si="46"/>
        <v>675</v>
      </c>
      <c r="I256" s="142">
        <f t="shared" si="47"/>
        <v>0</v>
      </c>
      <c r="J256" s="143">
        <f t="shared" si="48"/>
        <v>0</v>
      </c>
      <c r="K256" s="143">
        <f t="shared" si="49"/>
        <v>0</v>
      </c>
      <c r="L256" s="142">
        <f t="shared" si="50"/>
        <v>0</v>
      </c>
      <c r="M256" s="142">
        <f t="shared" si="51"/>
        <v>0</v>
      </c>
      <c r="N256" s="142">
        <f t="shared" si="52"/>
        <v>0</v>
      </c>
      <c r="O256" s="59">
        <f t="shared" si="53"/>
        <v>675</v>
      </c>
      <c r="P256" s="142">
        <f t="shared" si="54"/>
        <v>0</v>
      </c>
      <c r="Q256" s="142">
        <f t="shared" si="55"/>
        <v>0</v>
      </c>
      <c r="R256" s="142">
        <f t="shared" si="56"/>
        <v>0</v>
      </c>
      <c r="S256" s="142">
        <f t="shared" si="57"/>
        <v>0</v>
      </c>
      <c r="T256" s="142">
        <f t="shared" si="58"/>
        <v>0</v>
      </c>
      <c r="U256" s="60">
        <f t="shared" si="59"/>
        <v>0</v>
      </c>
    </row>
    <row r="257" spans="1:21" x14ac:dyDescent="0.2">
      <c r="A257" s="115"/>
      <c r="B257" s="139" t="s">
        <v>57</v>
      </c>
      <c r="C257" s="140" t="s">
        <v>183</v>
      </c>
      <c r="D257" s="141">
        <v>43361</v>
      </c>
      <c r="E257" s="141">
        <v>43391</v>
      </c>
      <c r="F257" s="57">
        <v>675</v>
      </c>
      <c r="G257" s="58">
        <f t="shared" si="45"/>
        <v>-2631</v>
      </c>
      <c r="H257" s="142">
        <f t="shared" si="46"/>
        <v>675</v>
      </c>
      <c r="I257" s="142">
        <f t="shared" si="47"/>
        <v>0</v>
      </c>
      <c r="J257" s="143">
        <f t="shared" si="48"/>
        <v>0</v>
      </c>
      <c r="K257" s="143">
        <f t="shared" si="49"/>
        <v>0</v>
      </c>
      <c r="L257" s="142">
        <f t="shared" si="50"/>
        <v>0</v>
      </c>
      <c r="M257" s="142">
        <f t="shared" si="51"/>
        <v>0</v>
      </c>
      <c r="N257" s="142">
        <f t="shared" si="52"/>
        <v>0</v>
      </c>
      <c r="O257" s="59">
        <f t="shared" si="53"/>
        <v>675</v>
      </c>
      <c r="P257" s="142">
        <f t="shared" si="54"/>
        <v>0</v>
      </c>
      <c r="Q257" s="142">
        <f t="shared" si="55"/>
        <v>0</v>
      </c>
      <c r="R257" s="142">
        <f t="shared" si="56"/>
        <v>0</v>
      </c>
      <c r="S257" s="142">
        <f t="shared" si="57"/>
        <v>0</v>
      </c>
      <c r="T257" s="142">
        <f t="shared" si="58"/>
        <v>0</v>
      </c>
      <c r="U257" s="60">
        <f t="shared" si="59"/>
        <v>0</v>
      </c>
    </row>
    <row r="258" spans="1:21" x14ac:dyDescent="0.2">
      <c r="A258" s="115"/>
      <c r="B258" s="139" t="s">
        <v>57</v>
      </c>
      <c r="C258" s="140" t="s">
        <v>184</v>
      </c>
      <c r="D258" s="141">
        <v>43361</v>
      </c>
      <c r="E258" s="141">
        <v>43421</v>
      </c>
      <c r="F258" s="57">
        <v>675</v>
      </c>
      <c r="G258" s="58">
        <f t="shared" si="45"/>
        <v>-2601</v>
      </c>
      <c r="H258" s="142">
        <f t="shared" si="46"/>
        <v>675</v>
      </c>
      <c r="I258" s="142">
        <f t="shared" si="47"/>
        <v>0</v>
      </c>
      <c r="J258" s="143">
        <f t="shared" si="48"/>
        <v>0</v>
      </c>
      <c r="K258" s="143">
        <f t="shared" si="49"/>
        <v>0</v>
      </c>
      <c r="L258" s="142">
        <f t="shared" si="50"/>
        <v>0</v>
      </c>
      <c r="M258" s="142">
        <f t="shared" si="51"/>
        <v>0</v>
      </c>
      <c r="N258" s="142">
        <f t="shared" si="52"/>
        <v>0</v>
      </c>
      <c r="O258" s="59">
        <f t="shared" si="53"/>
        <v>675</v>
      </c>
      <c r="P258" s="142">
        <f t="shared" si="54"/>
        <v>0</v>
      </c>
      <c r="Q258" s="142">
        <f t="shared" si="55"/>
        <v>0</v>
      </c>
      <c r="R258" s="142">
        <f t="shared" si="56"/>
        <v>0</v>
      </c>
      <c r="S258" s="142">
        <f t="shared" si="57"/>
        <v>0</v>
      </c>
      <c r="T258" s="142">
        <f t="shared" si="58"/>
        <v>0</v>
      </c>
      <c r="U258" s="60">
        <f t="shared" si="59"/>
        <v>0</v>
      </c>
    </row>
    <row r="259" spans="1:21" x14ac:dyDescent="0.2">
      <c r="A259" s="115"/>
      <c r="B259" s="139" t="s">
        <v>57</v>
      </c>
      <c r="C259" s="140" t="s">
        <v>185</v>
      </c>
      <c r="D259" s="141">
        <v>43361</v>
      </c>
      <c r="E259" s="141">
        <v>43451</v>
      </c>
      <c r="F259" s="57">
        <v>675</v>
      </c>
      <c r="G259" s="58">
        <f t="shared" si="45"/>
        <v>-2571</v>
      </c>
      <c r="H259" s="142">
        <f t="shared" si="46"/>
        <v>675</v>
      </c>
      <c r="I259" s="142">
        <f t="shared" si="47"/>
        <v>0</v>
      </c>
      <c r="J259" s="143">
        <f t="shared" si="48"/>
        <v>0</v>
      </c>
      <c r="K259" s="143">
        <f t="shared" si="49"/>
        <v>0</v>
      </c>
      <c r="L259" s="142">
        <f t="shared" si="50"/>
        <v>0</v>
      </c>
      <c r="M259" s="142">
        <f t="shared" si="51"/>
        <v>0</v>
      </c>
      <c r="N259" s="142">
        <f t="shared" si="52"/>
        <v>0</v>
      </c>
      <c r="O259" s="59">
        <f t="shared" si="53"/>
        <v>675</v>
      </c>
      <c r="P259" s="142">
        <f t="shared" si="54"/>
        <v>0</v>
      </c>
      <c r="Q259" s="142">
        <f t="shared" si="55"/>
        <v>0</v>
      </c>
      <c r="R259" s="142">
        <f t="shared" si="56"/>
        <v>0</v>
      </c>
      <c r="S259" s="142">
        <f t="shared" si="57"/>
        <v>0</v>
      </c>
      <c r="T259" s="142">
        <f t="shared" si="58"/>
        <v>0</v>
      </c>
      <c r="U259" s="60">
        <f t="shared" si="59"/>
        <v>0</v>
      </c>
    </row>
    <row r="260" spans="1:21" x14ac:dyDescent="0.2">
      <c r="A260" s="115"/>
      <c r="B260" s="139" t="s">
        <v>57</v>
      </c>
      <c r="C260" s="140" t="s">
        <v>165</v>
      </c>
      <c r="D260" s="141">
        <v>43361</v>
      </c>
      <c r="E260" s="141">
        <v>43481</v>
      </c>
      <c r="F260" s="57">
        <v>675</v>
      </c>
      <c r="G260" s="58">
        <f t="shared" si="45"/>
        <v>-2541</v>
      </c>
      <c r="H260" s="142">
        <f t="shared" si="46"/>
        <v>675</v>
      </c>
      <c r="I260" s="142">
        <f t="shared" si="47"/>
        <v>0</v>
      </c>
      <c r="J260" s="143">
        <f t="shared" si="48"/>
        <v>0</v>
      </c>
      <c r="K260" s="143">
        <f t="shared" si="49"/>
        <v>0</v>
      </c>
      <c r="L260" s="142">
        <f t="shared" si="50"/>
        <v>0</v>
      </c>
      <c r="M260" s="142">
        <f t="shared" si="51"/>
        <v>0</v>
      </c>
      <c r="N260" s="142">
        <f t="shared" si="52"/>
        <v>0</v>
      </c>
      <c r="O260" s="59">
        <f t="shared" si="53"/>
        <v>675</v>
      </c>
      <c r="P260" s="142">
        <f t="shared" si="54"/>
        <v>0</v>
      </c>
      <c r="Q260" s="142">
        <f t="shared" si="55"/>
        <v>0</v>
      </c>
      <c r="R260" s="142">
        <f t="shared" si="56"/>
        <v>0</v>
      </c>
      <c r="S260" s="142">
        <f t="shared" si="57"/>
        <v>0</v>
      </c>
      <c r="T260" s="142">
        <f t="shared" si="58"/>
        <v>0</v>
      </c>
      <c r="U260" s="60">
        <f t="shared" si="59"/>
        <v>0</v>
      </c>
    </row>
    <row r="261" spans="1:21" x14ac:dyDescent="0.2">
      <c r="A261" s="115"/>
      <c r="B261" s="139" t="s">
        <v>51</v>
      </c>
      <c r="C261" s="140" t="s">
        <v>186</v>
      </c>
      <c r="D261" s="141">
        <v>42269</v>
      </c>
      <c r="E261" s="141">
        <v>42408</v>
      </c>
      <c r="F261" s="57">
        <v>18900</v>
      </c>
      <c r="G261" s="58">
        <f t="shared" si="45"/>
        <v>-3614</v>
      </c>
      <c r="H261" s="142">
        <f t="shared" si="46"/>
        <v>18900</v>
      </c>
      <c r="I261" s="142">
        <f t="shared" si="47"/>
        <v>0</v>
      </c>
      <c r="J261" s="143">
        <f t="shared" si="48"/>
        <v>0</v>
      </c>
      <c r="K261" s="143">
        <f t="shared" si="49"/>
        <v>0</v>
      </c>
      <c r="L261" s="142">
        <f t="shared" si="50"/>
        <v>0</v>
      </c>
      <c r="M261" s="142">
        <f t="shared" si="51"/>
        <v>0</v>
      </c>
      <c r="N261" s="142">
        <f t="shared" si="52"/>
        <v>0</v>
      </c>
      <c r="O261" s="59">
        <f t="shared" si="53"/>
        <v>18900</v>
      </c>
      <c r="P261" s="142">
        <f t="shared" si="54"/>
        <v>0</v>
      </c>
      <c r="Q261" s="142">
        <f t="shared" si="55"/>
        <v>0</v>
      </c>
      <c r="R261" s="142">
        <f t="shared" si="56"/>
        <v>0</v>
      </c>
      <c r="S261" s="142">
        <f t="shared" si="57"/>
        <v>0</v>
      </c>
      <c r="T261" s="142">
        <f t="shared" si="58"/>
        <v>0</v>
      </c>
      <c r="U261" s="60">
        <f t="shared" si="59"/>
        <v>0</v>
      </c>
    </row>
    <row r="262" spans="1:21" x14ac:dyDescent="0.2">
      <c r="A262" s="115"/>
      <c r="B262" s="139" t="s">
        <v>51</v>
      </c>
      <c r="C262" s="140" t="s">
        <v>187</v>
      </c>
      <c r="D262" s="141">
        <v>42314</v>
      </c>
      <c r="E262" s="141">
        <v>42447</v>
      </c>
      <c r="F262" s="57">
        <v>23800</v>
      </c>
      <c r="G262" s="58">
        <f t="shared" si="45"/>
        <v>-3575</v>
      </c>
      <c r="H262" s="142">
        <f t="shared" si="46"/>
        <v>23800</v>
      </c>
      <c r="I262" s="142">
        <f t="shared" si="47"/>
        <v>0</v>
      </c>
      <c r="J262" s="143">
        <f t="shared" si="48"/>
        <v>0</v>
      </c>
      <c r="K262" s="143">
        <f t="shared" si="49"/>
        <v>0</v>
      </c>
      <c r="L262" s="142">
        <f t="shared" si="50"/>
        <v>0</v>
      </c>
      <c r="M262" s="142">
        <f t="shared" si="51"/>
        <v>0</v>
      </c>
      <c r="N262" s="142">
        <f t="shared" si="52"/>
        <v>0</v>
      </c>
      <c r="O262" s="59">
        <f t="shared" si="53"/>
        <v>23800</v>
      </c>
      <c r="P262" s="142">
        <f t="shared" si="54"/>
        <v>0</v>
      </c>
      <c r="Q262" s="142">
        <f t="shared" si="55"/>
        <v>0</v>
      </c>
      <c r="R262" s="142">
        <f t="shared" si="56"/>
        <v>0</v>
      </c>
      <c r="S262" s="142">
        <f t="shared" si="57"/>
        <v>0</v>
      </c>
      <c r="T262" s="142">
        <f t="shared" si="58"/>
        <v>0</v>
      </c>
      <c r="U262" s="60">
        <f t="shared" si="59"/>
        <v>0</v>
      </c>
    </row>
    <row r="263" spans="1:21" x14ac:dyDescent="0.2">
      <c r="A263" s="115"/>
      <c r="B263" s="139" t="s">
        <v>51</v>
      </c>
      <c r="C263" s="140" t="s">
        <v>189</v>
      </c>
      <c r="D263" s="141">
        <v>42319</v>
      </c>
      <c r="E263" s="141">
        <v>42457</v>
      </c>
      <c r="F263" s="57">
        <v>11900</v>
      </c>
      <c r="G263" s="58">
        <f t="shared" ref="G263:G326" si="60">E263-$H$3</f>
        <v>-3565</v>
      </c>
      <c r="H263" s="142">
        <f t="shared" ref="H263:H326" si="61">IF(AND($G263&gt;=-8000,$G263&lt;=-181),$F263,0)</f>
        <v>11900</v>
      </c>
      <c r="I263" s="142">
        <f t="shared" ref="I263:I326" si="62">IF(AND($G263&gt;=-180,$G263&lt;=-151),$F263,0)</f>
        <v>0</v>
      </c>
      <c r="J263" s="143">
        <f t="shared" ref="J263:J326" si="63">IF(AND($G263&gt;=-150,$G263&lt;=-121),$F263,0)</f>
        <v>0</v>
      </c>
      <c r="K263" s="143">
        <f t="shared" ref="K263:K326" si="64">IF(AND($G263&gt;=-120,$G263&lt;=-91),$F263,0)</f>
        <v>0</v>
      </c>
      <c r="L263" s="142">
        <f t="shared" ref="L263:L326" si="65">IF(AND($G263&gt;=-90,$G263&lt;=-61),$F263,0)</f>
        <v>0</v>
      </c>
      <c r="M263" s="142">
        <f t="shared" ref="M263:M326" si="66">IF(AND($G263&gt;=-60,$G263&lt;=-31),$F263,0)</f>
        <v>0</v>
      </c>
      <c r="N263" s="142">
        <f t="shared" ref="N263:N326" si="67">IF(AND($G263&gt;=-30,$G263&lt;=-1),$F263,0)</f>
        <v>0</v>
      </c>
      <c r="O263" s="59">
        <f t="shared" ref="O263:O326" si="68">SUM(H263:N263)</f>
        <v>11900</v>
      </c>
      <c r="P263" s="142">
        <f t="shared" ref="P263:P326" si="69">IF(AND($G263&lt;=30,$G263&gt;=0),$F263,0)</f>
        <v>0</v>
      </c>
      <c r="Q263" s="142">
        <f t="shared" ref="Q263:Q326" si="70">IF(AND($G263&lt;=60,$G263&gt;=31),$F263,0)</f>
        <v>0</v>
      </c>
      <c r="R263" s="142">
        <f t="shared" ref="R263:R326" si="71">IF(AND($G263&lt;=90,$G263&gt;=61),$F263,0)</f>
        <v>0</v>
      </c>
      <c r="S263" s="142">
        <f t="shared" ref="S263:S326" si="72">IF(AND($G263&lt;=120,$G263&gt;=91),$F263,0)</f>
        <v>0</v>
      </c>
      <c r="T263" s="142">
        <f t="shared" ref="T263:T326" si="73">IF(G263&gt;=121,F263,0)</f>
        <v>0</v>
      </c>
      <c r="U263" s="60">
        <f t="shared" ref="U263:U326" si="74">SUM(P263:T263)</f>
        <v>0</v>
      </c>
    </row>
    <row r="264" spans="1:21" x14ac:dyDescent="0.2">
      <c r="A264" s="115"/>
      <c r="B264" s="139" t="s">
        <v>51</v>
      </c>
      <c r="C264" s="140" t="s">
        <v>188</v>
      </c>
      <c r="D264" s="141">
        <v>42321</v>
      </c>
      <c r="E264" s="141">
        <v>42457</v>
      </c>
      <c r="F264" s="57">
        <v>5950</v>
      </c>
      <c r="G264" s="58">
        <f t="shared" si="60"/>
        <v>-3565</v>
      </c>
      <c r="H264" s="142">
        <f t="shared" si="61"/>
        <v>5950</v>
      </c>
      <c r="I264" s="142">
        <f t="shared" si="62"/>
        <v>0</v>
      </c>
      <c r="J264" s="143">
        <f t="shared" si="63"/>
        <v>0</v>
      </c>
      <c r="K264" s="143">
        <f t="shared" si="64"/>
        <v>0</v>
      </c>
      <c r="L264" s="142">
        <f t="shared" si="65"/>
        <v>0</v>
      </c>
      <c r="M264" s="142">
        <f t="shared" si="66"/>
        <v>0</v>
      </c>
      <c r="N264" s="142">
        <f t="shared" si="67"/>
        <v>0</v>
      </c>
      <c r="O264" s="59">
        <f t="shared" si="68"/>
        <v>5950</v>
      </c>
      <c r="P264" s="142">
        <f t="shared" si="69"/>
        <v>0</v>
      </c>
      <c r="Q264" s="142">
        <f t="shared" si="70"/>
        <v>0</v>
      </c>
      <c r="R264" s="142">
        <f t="shared" si="71"/>
        <v>0</v>
      </c>
      <c r="S264" s="142">
        <f t="shared" si="72"/>
        <v>0</v>
      </c>
      <c r="T264" s="142">
        <f t="shared" si="73"/>
        <v>0</v>
      </c>
      <c r="U264" s="60">
        <f t="shared" si="74"/>
        <v>0</v>
      </c>
    </row>
    <row r="265" spans="1:21" x14ac:dyDescent="0.2">
      <c r="A265" s="115"/>
      <c r="B265" s="139" t="s">
        <v>51</v>
      </c>
      <c r="C265" s="140" t="s">
        <v>190</v>
      </c>
      <c r="D265" s="141">
        <v>42325</v>
      </c>
      <c r="E265" s="141">
        <v>42457</v>
      </c>
      <c r="F265" s="57">
        <v>11900</v>
      </c>
      <c r="G265" s="58">
        <f t="shared" si="60"/>
        <v>-3565</v>
      </c>
      <c r="H265" s="142">
        <f t="shared" si="61"/>
        <v>11900</v>
      </c>
      <c r="I265" s="142">
        <f t="shared" si="62"/>
        <v>0</v>
      </c>
      <c r="J265" s="143">
        <f t="shared" si="63"/>
        <v>0</v>
      </c>
      <c r="K265" s="143">
        <f t="shared" si="64"/>
        <v>0</v>
      </c>
      <c r="L265" s="142">
        <f t="shared" si="65"/>
        <v>0</v>
      </c>
      <c r="M265" s="142">
        <f t="shared" si="66"/>
        <v>0</v>
      </c>
      <c r="N265" s="142">
        <f t="shared" si="67"/>
        <v>0</v>
      </c>
      <c r="O265" s="59">
        <f t="shared" si="68"/>
        <v>11900</v>
      </c>
      <c r="P265" s="142">
        <f t="shared" si="69"/>
        <v>0</v>
      </c>
      <c r="Q265" s="142">
        <f t="shared" si="70"/>
        <v>0</v>
      </c>
      <c r="R265" s="142">
        <f t="shared" si="71"/>
        <v>0</v>
      </c>
      <c r="S265" s="142">
        <f t="shared" si="72"/>
        <v>0</v>
      </c>
      <c r="T265" s="142">
        <f t="shared" si="73"/>
        <v>0</v>
      </c>
      <c r="U265" s="60">
        <f t="shared" si="74"/>
        <v>0</v>
      </c>
    </row>
    <row r="266" spans="1:21" x14ac:dyDescent="0.2">
      <c r="A266" s="115"/>
      <c r="B266" s="139" t="s">
        <v>51</v>
      </c>
      <c r="C266" s="140" t="s">
        <v>191</v>
      </c>
      <c r="D266" s="141">
        <v>42314</v>
      </c>
      <c r="E266" s="141">
        <v>42478</v>
      </c>
      <c r="F266" s="57">
        <v>17850</v>
      </c>
      <c r="G266" s="58">
        <f t="shared" si="60"/>
        <v>-3544</v>
      </c>
      <c r="H266" s="142">
        <f t="shared" si="61"/>
        <v>17850</v>
      </c>
      <c r="I266" s="142">
        <f t="shared" si="62"/>
        <v>0</v>
      </c>
      <c r="J266" s="143">
        <f t="shared" si="63"/>
        <v>0</v>
      </c>
      <c r="K266" s="143">
        <f t="shared" si="64"/>
        <v>0</v>
      </c>
      <c r="L266" s="142">
        <f t="shared" si="65"/>
        <v>0</v>
      </c>
      <c r="M266" s="142">
        <f t="shared" si="66"/>
        <v>0</v>
      </c>
      <c r="N266" s="142">
        <f t="shared" si="67"/>
        <v>0</v>
      </c>
      <c r="O266" s="59">
        <f t="shared" si="68"/>
        <v>17850</v>
      </c>
      <c r="P266" s="142">
        <f t="shared" si="69"/>
        <v>0</v>
      </c>
      <c r="Q266" s="142">
        <f t="shared" si="70"/>
        <v>0</v>
      </c>
      <c r="R266" s="142">
        <f t="shared" si="71"/>
        <v>0</v>
      </c>
      <c r="S266" s="142">
        <f t="shared" si="72"/>
        <v>0</v>
      </c>
      <c r="T266" s="142">
        <f t="shared" si="73"/>
        <v>0</v>
      </c>
      <c r="U266" s="60">
        <f t="shared" si="74"/>
        <v>0</v>
      </c>
    </row>
    <row r="267" spans="1:21" x14ac:dyDescent="0.2">
      <c r="A267" s="115"/>
      <c r="B267" s="139" t="s">
        <v>51</v>
      </c>
      <c r="C267" s="140" t="s">
        <v>192</v>
      </c>
      <c r="D267" s="141">
        <v>42395</v>
      </c>
      <c r="E267" s="141">
        <v>42516</v>
      </c>
      <c r="F267" s="57">
        <v>5950</v>
      </c>
      <c r="G267" s="58">
        <f t="shared" si="60"/>
        <v>-3506</v>
      </c>
      <c r="H267" s="142">
        <f t="shared" si="61"/>
        <v>5950</v>
      </c>
      <c r="I267" s="142">
        <f t="shared" si="62"/>
        <v>0</v>
      </c>
      <c r="J267" s="143">
        <f t="shared" si="63"/>
        <v>0</v>
      </c>
      <c r="K267" s="143">
        <f t="shared" si="64"/>
        <v>0</v>
      </c>
      <c r="L267" s="142">
        <f t="shared" si="65"/>
        <v>0</v>
      </c>
      <c r="M267" s="142">
        <f t="shared" si="66"/>
        <v>0</v>
      </c>
      <c r="N267" s="142">
        <f t="shared" si="67"/>
        <v>0</v>
      </c>
      <c r="O267" s="59">
        <f t="shared" si="68"/>
        <v>5950</v>
      </c>
      <c r="P267" s="142">
        <f t="shared" si="69"/>
        <v>0</v>
      </c>
      <c r="Q267" s="142">
        <f t="shared" si="70"/>
        <v>0</v>
      </c>
      <c r="R267" s="142">
        <f t="shared" si="71"/>
        <v>0</v>
      </c>
      <c r="S267" s="142">
        <f t="shared" si="72"/>
        <v>0</v>
      </c>
      <c r="T267" s="142">
        <f t="shared" si="73"/>
        <v>0</v>
      </c>
      <c r="U267" s="60">
        <f t="shared" si="74"/>
        <v>0</v>
      </c>
    </row>
    <row r="268" spans="1:21" x14ac:dyDescent="0.2">
      <c r="A268" s="115"/>
      <c r="B268" s="139" t="s">
        <v>51</v>
      </c>
      <c r="C268" s="140" t="s">
        <v>193</v>
      </c>
      <c r="D268" s="141">
        <v>42387</v>
      </c>
      <c r="E268" s="141">
        <v>42519</v>
      </c>
      <c r="F268" s="57">
        <v>5950</v>
      </c>
      <c r="G268" s="58">
        <f t="shared" si="60"/>
        <v>-3503</v>
      </c>
      <c r="H268" s="142">
        <f t="shared" si="61"/>
        <v>5950</v>
      </c>
      <c r="I268" s="142">
        <f t="shared" si="62"/>
        <v>0</v>
      </c>
      <c r="J268" s="143">
        <f t="shared" si="63"/>
        <v>0</v>
      </c>
      <c r="K268" s="143">
        <f t="shared" si="64"/>
        <v>0</v>
      </c>
      <c r="L268" s="142">
        <f t="shared" si="65"/>
        <v>0</v>
      </c>
      <c r="M268" s="142">
        <f t="shared" si="66"/>
        <v>0</v>
      </c>
      <c r="N268" s="142">
        <f t="shared" si="67"/>
        <v>0</v>
      </c>
      <c r="O268" s="59">
        <f t="shared" si="68"/>
        <v>5950</v>
      </c>
      <c r="P268" s="142">
        <f t="shared" si="69"/>
        <v>0</v>
      </c>
      <c r="Q268" s="142">
        <f t="shared" si="70"/>
        <v>0</v>
      </c>
      <c r="R268" s="142">
        <f t="shared" si="71"/>
        <v>0</v>
      </c>
      <c r="S268" s="142">
        <f t="shared" si="72"/>
        <v>0</v>
      </c>
      <c r="T268" s="142">
        <f t="shared" si="73"/>
        <v>0</v>
      </c>
      <c r="U268" s="60">
        <f t="shared" si="74"/>
        <v>0</v>
      </c>
    </row>
    <row r="269" spans="1:21" x14ac:dyDescent="0.2">
      <c r="A269" s="115"/>
      <c r="B269" s="139" t="s">
        <v>51</v>
      </c>
      <c r="C269" s="140" t="s">
        <v>194</v>
      </c>
      <c r="D269" s="141">
        <v>42423</v>
      </c>
      <c r="E269" s="141">
        <v>42638</v>
      </c>
      <c r="F269" s="57">
        <v>4892.5</v>
      </c>
      <c r="G269" s="58">
        <f t="shared" si="60"/>
        <v>-3384</v>
      </c>
      <c r="H269" s="142">
        <f t="shared" si="61"/>
        <v>4892.5</v>
      </c>
      <c r="I269" s="142">
        <f t="shared" si="62"/>
        <v>0</v>
      </c>
      <c r="J269" s="143">
        <f t="shared" si="63"/>
        <v>0</v>
      </c>
      <c r="K269" s="143">
        <f t="shared" si="64"/>
        <v>0</v>
      </c>
      <c r="L269" s="142">
        <f t="shared" si="65"/>
        <v>0</v>
      </c>
      <c r="M269" s="142">
        <f t="shared" si="66"/>
        <v>0</v>
      </c>
      <c r="N269" s="142">
        <f t="shared" si="67"/>
        <v>0</v>
      </c>
      <c r="O269" s="59">
        <f t="shared" si="68"/>
        <v>4892.5</v>
      </c>
      <c r="P269" s="142">
        <f t="shared" si="69"/>
        <v>0</v>
      </c>
      <c r="Q269" s="142">
        <f t="shared" si="70"/>
        <v>0</v>
      </c>
      <c r="R269" s="142">
        <f t="shared" si="71"/>
        <v>0</v>
      </c>
      <c r="S269" s="142">
        <f t="shared" si="72"/>
        <v>0</v>
      </c>
      <c r="T269" s="142">
        <f t="shared" si="73"/>
        <v>0</v>
      </c>
      <c r="U269" s="60">
        <f t="shared" si="74"/>
        <v>0</v>
      </c>
    </row>
    <row r="270" spans="1:21" x14ac:dyDescent="0.2">
      <c r="A270" s="115"/>
      <c r="B270" s="139" t="s">
        <v>51</v>
      </c>
      <c r="C270" s="140" t="s">
        <v>195</v>
      </c>
      <c r="D270" s="141">
        <v>42269</v>
      </c>
      <c r="E270" s="141">
        <v>42643</v>
      </c>
      <c r="F270" s="57">
        <v>3800</v>
      </c>
      <c r="G270" s="58">
        <f t="shared" si="60"/>
        <v>-3379</v>
      </c>
      <c r="H270" s="142">
        <f t="shared" si="61"/>
        <v>3800</v>
      </c>
      <c r="I270" s="142">
        <f t="shared" si="62"/>
        <v>0</v>
      </c>
      <c r="J270" s="143">
        <f t="shared" si="63"/>
        <v>0</v>
      </c>
      <c r="K270" s="143">
        <f t="shared" si="64"/>
        <v>0</v>
      </c>
      <c r="L270" s="142">
        <f t="shared" si="65"/>
        <v>0</v>
      </c>
      <c r="M270" s="142">
        <f t="shared" si="66"/>
        <v>0</v>
      </c>
      <c r="N270" s="142">
        <f t="shared" si="67"/>
        <v>0</v>
      </c>
      <c r="O270" s="59">
        <f t="shared" si="68"/>
        <v>3800</v>
      </c>
      <c r="P270" s="142">
        <f t="shared" si="69"/>
        <v>0</v>
      </c>
      <c r="Q270" s="142">
        <f t="shared" si="70"/>
        <v>0</v>
      </c>
      <c r="R270" s="142">
        <f t="shared" si="71"/>
        <v>0</v>
      </c>
      <c r="S270" s="142">
        <f t="shared" si="72"/>
        <v>0</v>
      </c>
      <c r="T270" s="142">
        <f t="shared" si="73"/>
        <v>0</v>
      </c>
      <c r="U270" s="60">
        <f t="shared" si="74"/>
        <v>0</v>
      </c>
    </row>
    <row r="271" spans="1:21" x14ac:dyDescent="0.2">
      <c r="A271" s="115"/>
      <c r="B271" s="139" t="s">
        <v>513</v>
      </c>
      <c r="C271" s="140" t="s">
        <v>196</v>
      </c>
      <c r="D271" s="141">
        <v>45215</v>
      </c>
      <c r="E271" s="141">
        <v>45245</v>
      </c>
      <c r="F271" s="57">
        <v>15531</v>
      </c>
      <c r="G271" s="58">
        <f t="shared" si="60"/>
        <v>-777</v>
      </c>
      <c r="H271" s="142">
        <f t="shared" si="61"/>
        <v>15531</v>
      </c>
      <c r="I271" s="142">
        <f t="shared" si="62"/>
        <v>0</v>
      </c>
      <c r="J271" s="143">
        <f t="shared" si="63"/>
        <v>0</v>
      </c>
      <c r="K271" s="143">
        <f t="shared" si="64"/>
        <v>0</v>
      </c>
      <c r="L271" s="142">
        <f t="shared" si="65"/>
        <v>0</v>
      </c>
      <c r="M271" s="142">
        <f t="shared" si="66"/>
        <v>0</v>
      </c>
      <c r="N271" s="142">
        <f t="shared" si="67"/>
        <v>0</v>
      </c>
      <c r="O271" s="59">
        <f t="shared" si="68"/>
        <v>15531</v>
      </c>
      <c r="P271" s="142">
        <f t="shared" si="69"/>
        <v>0</v>
      </c>
      <c r="Q271" s="142">
        <f t="shared" si="70"/>
        <v>0</v>
      </c>
      <c r="R271" s="142">
        <f t="shared" si="71"/>
        <v>0</v>
      </c>
      <c r="S271" s="142">
        <f t="shared" si="72"/>
        <v>0</v>
      </c>
      <c r="T271" s="142">
        <f t="shared" si="73"/>
        <v>0</v>
      </c>
      <c r="U271" s="60">
        <f t="shared" si="74"/>
        <v>0</v>
      </c>
    </row>
    <row r="272" spans="1:21" x14ac:dyDescent="0.2">
      <c r="A272" s="115"/>
      <c r="B272" s="139" t="s">
        <v>472</v>
      </c>
      <c r="C272" s="140" t="s">
        <v>855</v>
      </c>
      <c r="D272" s="141">
        <v>45968</v>
      </c>
      <c r="E272" s="141">
        <v>46028</v>
      </c>
      <c r="F272" s="57">
        <v>4180</v>
      </c>
      <c r="G272" s="58">
        <f t="shared" si="60"/>
        <v>6</v>
      </c>
      <c r="H272" s="142">
        <f t="shared" si="61"/>
        <v>0</v>
      </c>
      <c r="I272" s="142">
        <f t="shared" si="62"/>
        <v>0</v>
      </c>
      <c r="J272" s="143">
        <f t="shared" si="63"/>
        <v>0</v>
      </c>
      <c r="K272" s="143">
        <f t="shared" si="64"/>
        <v>0</v>
      </c>
      <c r="L272" s="142">
        <f t="shared" si="65"/>
        <v>0</v>
      </c>
      <c r="M272" s="142">
        <f t="shared" si="66"/>
        <v>0</v>
      </c>
      <c r="N272" s="142">
        <f t="shared" si="67"/>
        <v>0</v>
      </c>
      <c r="O272" s="59">
        <f t="shared" si="68"/>
        <v>0</v>
      </c>
      <c r="P272" s="142">
        <f t="shared" si="69"/>
        <v>4180</v>
      </c>
      <c r="Q272" s="142">
        <f t="shared" si="70"/>
        <v>0</v>
      </c>
      <c r="R272" s="142">
        <f t="shared" si="71"/>
        <v>0</v>
      </c>
      <c r="S272" s="142">
        <f t="shared" si="72"/>
        <v>0</v>
      </c>
      <c r="T272" s="142">
        <f t="shared" si="73"/>
        <v>0</v>
      </c>
      <c r="U272" s="60">
        <f t="shared" si="74"/>
        <v>4180</v>
      </c>
    </row>
    <row r="273" spans="1:21" x14ac:dyDescent="0.2">
      <c r="A273" s="115"/>
      <c r="B273" s="139" t="s">
        <v>472</v>
      </c>
      <c r="C273" s="140" t="s">
        <v>856</v>
      </c>
      <c r="D273" s="141">
        <v>45968</v>
      </c>
      <c r="E273" s="141">
        <v>46028</v>
      </c>
      <c r="F273" s="57">
        <v>4180</v>
      </c>
      <c r="G273" s="58">
        <f t="shared" si="60"/>
        <v>6</v>
      </c>
      <c r="H273" s="142">
        <f t="shared" si="61"/>
        <v>0</v>
      </c>
      <c r="I273" s="142">
        <f t="shared" si="62"/>
        <v>0</v>
      </c>
      <c r="J273" s="143">
        <f t="shared" si="63"/>
        <v>0</v>
      </c>
      <c r="K273" s="143">
        <f t="shared" si="64"/>
        <v>0</v>
      </c>
      <c r="L273" s="142">
        <f t="shared" si="65"/>
        <v>0</v>
      </c>
      <c r="M273" s="142">
        <f t="shared" si="66"/>
        <v>0</v>
      </c>
      <c r="N273" s="142">
        <f t="shared" si="67"/>
        <v>0</v>
      </c>
      <c r="O273" s="59">
        <f t="shared" si="68"/>
        <v>0</v>
      </c>
      <c r="P273" s="142">
        <f t="shared" si="69"/>
        <v>4180</v>
      </c>
      <c r="Q273" s="142">
        <f t="shared" si="70"/>
        <v>0</v>
      </c>
      <c r="R273" s="142">
        <f t="shared" si="71"/>
        <v>0</v>
      </c>
      <c r="S273" s="142">
        <f t="shared" si="72"/>
        <v>0</v>
      </c>
      <c r="T273" s="142">
        <f t="shared" si="73"/>
        <v>0</v>
      </c>
      <c r="U273" s="60">
        <f t="shared" si="74"/>
        <v>4180</v>
      </c>
    </row>
    <row r="274" spans="1:21" x14ac:dyDescent="0.2">
      <c r="A274" s="115"/>
      <c r="B274" s="139" t="s">
        <v>472</v>
      </c>
      <c r="C274" s="140" t="s">
        <v>857</v>
      </c>
      <c r="D274" s="141">
        <v>45968</v>
      </c>
      <c r="E274" s="141">
        <v>46028</v>
      </c>
      <c r="F274" s="57">
        <v>7260</v>
      </c>
      <c r="G274" s="58">
        <f t="shared" si="60"/>
        <v>6</v>
      </c>
      <c r="H274" s="142">
        <f t="shared" si="61"/>
        <v>0</v>
      </c>
      <c r="I274" s="142">
        <f t="shared" si="62"/>
        <v>0</v>
      </c>
      <c r="J274" s="143">
        <f t="shared" si="63"/>
        <v>0</v>
      </c>
      <c r="K274" s="143">
        <f t="shared" si="64"/>
        <v>0</v>
      </c>
      <c r="L274" s="142">
        <f t="shared" si="65"/>
        <v>0</v>
      </c>
      <c r="M274" s="142">
        <f t="shared" si="66"/>
        <v>0</v>
      </c>
      <c r="N274" s="142">
        <f t="shared" si="67"/>
        <v>0</v>
      </c>
      <c r="O274" s="59">
        <f t="shared" si="68"/>
        <v>0</v>
      </c>
      <c r="P274" s="142">
        <f t="shared" si="69"/>
        <v>7260</v>
      </c>
      <c r="Q274" s="142">
        <f t="shared" si="70"/>
        <v>0</v>
      </c>
      <c r="R274" s="142">
        <f t="shared" si="71"/>
        <v>0</v>
      </c>
      <c r="S274" s="142">
        <f t="shared" si="72"/>
        <v>0</v>
      </c>
      <c r="T274" s="142">
        <f t="shared" si="73"/>
        <v>0</v>
      </c>
      <c r="U274" s="60">
        <f t="shared" si="74"/>
        <v>7260</v>
      </c>
    </row>
    <row r="275" spans="1:21" x14ac:dyDescent="0.2">
      <c r="A275" s="115"/>
      <c r="B275" s="139" t="s">
        <v>472</v>
      </c>
      <c r="C275" s="140" t="s">
        <v>858</v>
      </c>
      <c r="D275" s="141">
        <v>45986</v>
      </c>
      <c r="E275" s="141">
        <v>46046</v>
      </c>
      <c r="F275" s="57">
        <v>7799</v>
      </c>
      <c r="G275" s="58">
        <f t="shared" si="60"/>
        <v>24</v>
      </c>
      <c r="H275" s="142">
        <f t="shared" si="61"/>
        <v>0</v>
      </c>
      <c r="I275" s="142">
        <f t="shared" si="62"/>
        <v>0</v>
      </c>
      <c r="J275" s="143">
        <f t="shared" si="63"/>
        <v>0</v>
      </c>
      <c r="K275" s="143">
        <f t="shared" si="64"/>
        <v>0</v>
      </c>
      <c r="L275" s="142">
        <f t="shared" si="65"/>
        <v>0</v>
      </c>
      <c r="M275" s="142">
        <f t="shared" si="66"/>
        <v>0</v>
      </c>
      <c r="N275" s="142">
        <f t="shared" si="67"/>
        <v>0</v>
      </c>
      <c r="O275" s="59">
        <f t="shared" si="68"/>
        <v>0</v>
      </c>
      <c r="P275" s="142">
        <f t="shared" si="69"/>
        <v>7799</v>
      </c>
      <c r="Q275" s="142">
        <f t="shared" si="70"/>
        <v>0</v>
      </c>
      <c r="R275" s="142">
        <f t="shared" si="71"/>
        <v>0</v>
      </c>
      <c r="S275" s="142">
        <f t="shared" si="72"/>
        <v>0</v>
      </c>
      <c r="T275" s="142">
        <f t="shared" si="73"/>
        <v>0</v>
      </c>
      <c r="U275" s="60">
        <f t="shared" si="74"/>
        <v>7799</v>
      </c>
    </row>
    <row r="276" spans="1:21" x14ac:dyDescent="0.2">
      <c r="A276" s="115"/>
      <c r="B276" s="139" t="s">
        <v>472</v>
      </c>
      <c r="C276" s="140" t="s">
        <v>859</v>
      </c>
      <c r="D276" s="141">
        <v>45986</v>
      </c>
      <c r="E276" s="141">
        <v>46046</v>
      </c>
      <c r="F276" s="57">
        <v>4334</v>
      </c>
      <c r="G276" s="58">
        <f t="shared" si="60"/>
        <v>24</v>
      </c>
      <c r="H276" s="142">
        <f t="shared" si="61"/>
        <v>0</v>
      </c>
      <c r="I276" s="142">
        <f t="shared" si="62"/>
        <v>0</v>
      </c>
      <c r="J276" s="143">
        <f t="shared" si="63"/>
        <v>0</v>
      </c>
      <c r="K276" s="143">
        <f t="shared" si="64"/>
        <v>0</v>
      </c>
      <c r="L276" s="142">
        <f t="shared" si="65"/>
        <v>0</v>
      </c>
      <c r="M276" s="142">
        <f t="shared" si="66"/>
        <v>0</v>
      </c>
      <c r="N276" s="142">
        <f t="shared" si="67"/>
        <v>0</v>
      </c>
      <c r="O276" s="59">
        <f t="shared" si="68"/>
        <v>0</v>
      </c>
      <c r="P276" s="142">
        <f t="shared" si="69"/>
        <v>4334</v>
      </c>
      <c r="Q276" s="142">
        <f t="shared" si="70"/>
        <v>0</v>
      </c>
      <c r="R276" s="142">
        <f t="shared" si="71"/>
        <v>0</v>
      </c>
      <c r="S276" s="142">
        <f t="shared" si="72"/>
        <v>0</v>
      </c>
      <c r="T276" s="142">
        <f t="shared" si="73"/>
        <v>0</v>
      </c>
      <c r="U276" s="60">
        <f t="shared" si="74"/>
        <v>4334</v>
      </c>
    </row>
    <row r="277" spans="1:21" x14ac:dyDescent="0.2">
      <c r="A277" s="115"/>
      <c r="B277" s="139" t="s">
        <v>472</v>
      </c>
      <c r="C277" s="140" t="s">
        <v>860</v>
      </c>
      <c r="D277" s="141">
        <v>45986</v>
      </c>
      <c r="E277" s="141">
        <v>46046</v>
      </c>
      <c r="F277" s="57">
        <v>4334</v>
      </c>
      <c r="G277" s="58">
        <f t="shared" si="60"/>
        <v>24</v>
      </c>
      <c r="H277" s="142">
        <f t="shared" si="61"/>
        <v>0</v>
      </c>
      <c r="I277" s="142">
        <f t="shared" si="62"/>
        <v>0</v>
      </c>
      <c r="J277" s="143">
        <f t="shared" si="63"/>
        <v>0</v>
      </c>
      <c r="K277" s="143">
        <f t="shared" si="64"/>
        <v>0</v>
      </c>
      <c r="L277" s="142">
        <f t="shared" si="65"/>
        <v>0</v>
      </c>
      <c r="M277" s="142">
        <f t="shared" si="66"/>
        <v>0</v>
      </c>
      <c r="N277" s="142">
        <f t="shared" si="67"/>
        <v>0</v>
      </c>
      <c r="O277" s="59">
        <f t="shared" si="68"/>
        <v>0</v>
      </c>
      <c r="P277" s="142">
        <f t="shared" si="69"/>
        <v>4334</v>
      </c>
      <c r="Q277" s="142">
        <f t="shared" si="70"/>
        <v>0</v>
      </c>
      <c r="R277" s="142">
        <f t="shared" si="71"/>
        <v>0</v>
      </c>
      <c r="S277" s="142">
        <f t="shared" si="72"/>
        <v>0</v>
      </c>
      <c r="T277" s="142">
        <f t="shared" si="73"/>
        <v>0</v>
      </c>
      <c r="U277" s="60">
        <f t="shared" si="74"/>
        <v>4334</v>
      </c>
    </row>
    <row r="278" spans="1:21" x14ac:dyDescent="0.2">
      <c r="A278" s="115"/>
      <c r="B278" s="139" t="s">
        <v>497</v>
      </c>
      <c r="C278" s="140" t="s">
        <v>357</v>
      </c>
      <c r="D278" s="141">
        <v>44922</v>
      </c>
      <c r="E278" s="141">
        <v>44982</v>
      </c>
      <c r="F278" s="57">
        <v>105756</v>
      </c>
      <c r="G278" s="58">
        <f t="shared" si="60"/>
        <v>-1040</v>
      </c>
      <c r="H278" s="142">
        <f t="shared" si="61"/>
        <v>105756</v>
      </c>
      <c r="I278" s="142">
        <f t="shared" si="62"/>
        <v>0</v>
      </c>
      <c r="J278" s="143">
        <f t="shared" si="63"/>
        <v>0</v>
      </c>
      <c r="K278" s="143">
        <f t="shared" si="64"/>
        <v>0</v>
      </c>
      <c r="L278" s="142">
        <f t="shared" si="65"/>
        <v>0</v>
      </c>
      <c r="M278" s="142">
        <f t="shared" si="66"/>
        <v>0</v>
      </c>
      <c r="N278" s="142">
        <f t="shared" si="67"/>
        <v>0</v>
      </c>
      <c r="O278" s="59">
        <f t="shared" si="68"/>
        <v>105756</v>
      </c>
      <c r="P278" s="142">
        <f t="shared" si="69"/>
        <v>0</v>
      </c>
      <c r="Q278" s="142">
        <f t="shared" si="70"/>
        <v>0</v>
      </c>
      <c r="R278" s="142">
        <f t="shared" si="71"/>
        <v>0</v>
      </c>
      <c r="S278" s="142">
        <f t="shared" si="72"/>
        <v>0</v>
      </c>
      <c r="T278" s="142">
        <f t="shared" si="73"/>
        <v>0</v>
      </c>
      <c r="U278" s="60">
        <f t="shared" si="74"/>
        <v>0</v>
      </c>
    </row>
    <row r="279" spans="1:21" x14ac:dyDescent="0.2">
      <c r="A279" s="115"/>
      <c r="B279" s="139" t="s">
        <v>488</v>
      </c>
      <c r="C279" s="140" t="s">
        <v>826</v>
      </c>
      <c r="D279" s="141">
        <v>45931</v>
      </c>
      <c r="E279" s="141">
        <v>46021</v>
      </c>
      <c r="F279" s="57">
        <v>40749.1</v>
      </c>
      <c r="G279" s="58">
        <f t="shared" si="60"/>
        <v>-1</v>
      </c>
      <c r="H279" s="142">
        <f t="shared" si="61"/>
        <v>0</v>
      </c>
      <c r="I279" s="142">
        <f t="shared" si="62"/>
        <v>0</v>
      </c>
      <c r="J279" s="143">
        <f t="shared" si="63"/>
        <v>0</v>
      </c>
      <c r="K279" s="143">
        <f t="shared" si="64"/>
        <v>0</v>
      </c>
      <c r="L279" s="142">
        <f t="shared" si="65"/>
        <v>0</v>
      </c>
      <c r="M279" s="142">
        <f t="shared" si="66"/>
        <v>0</v>
      </c>
      <c r="N279" s="142">
        <f t="shared" si="67"/>
        <v>40749.1</v>
      </c>
      <c r="O279" s="59">
        <f t="shared" si="68"/>
        <v>40749.1</v>
      </c>
      <c r="P279" s="142">
        <f t="shared" si="69"/>
        <v>0</v>
      </c>
      <c r="Q279" s="142">
        <f t="shared" si="70"/>
        <v>0</v>
      </c>
      <c r="R279" s="142">
        <f t="shared" si="71"/>
        <v>0</v>
      </c>
      <c r="S279" s="142">
        <f t="shared" si="72"/>
        <v>0</v>
      </c>
      <c r="T279" s="142">
        <f t="shared" si="73"/>
        <v>0</v>
      </c>
      <c r="U279" s="60">
        <f t="shared" si="74"/>
        <v>0</v>
      </c>
    </row>
    <row r="280" spans="1:21" x14ac:dyDescent="0.2">
      <c r="A280" s="115"/>
      <c r="B280" s="139" t="s">
        <v>488</v>
      </c>
      <c r="C280" s="140" t="s">
        <v>784</v>
      </c>
      <c r="D280" s="141">
        <v>45932</v>
      </c>
      <c r="E280" s="141">
        <v>46022</v>
      </c>
      <c r="F280" s="57">
        <v>14467.86</v>
      </c>
      <c r="G280" s="58">
        <f t="shared" si="60"/>
        <v>0</v>
      </c>
      <c r="H280" s="142">
        <f t="shared" si="61"/>
        <v>0</v>
      </c>
      <c r="I280" s="142">
        <f t="shared" si="62"/>
        <v>0</v>
      </c>
      <c r="J280" s="143">
        <f t="shared" si="63"/>
        <v>0</v>
      </c>
      <c r="K280" s="143">
        <f t="shared" si="64"/>
        <v>0</v>
      </c>
      <c r="L280" s="142">
        <f t="shared" si="65"/>
        <v>0</v>
      </c>
      <c r="M280" s="142">
        <f t="shared" si="66"/>
        <v>0</v>
      </c>
      <c r="N280" s="142">
        <f t="shared" si="67"/>
        <v>0</v>
      </c>
      <c r="O280" s="59">
        <f t="shared" si="68"/>
        <v>0</v>
      </c>
      <c r="P280" s="142">
        <f t="shared" si="69"/>
        <v>14467.86</v>
      </c>
      <c r="Q280" s="142">
        <f t="shared" si="70"/>
        <v>0</v>
      </c>
      <c r="R280" s="142">
        <f t="shared" si="71"/>
        <v>0</v>
      </c>
      <c r="S280" s="142">
        <f t="shared" si="72"/>
        <v>0</v>
      </c>
      <c r="T280" s="142">
        <f t="shared" si="73"/>
        <v>0</v>
      </c>
      <c r="U280" s="60">
        <f t="shared" si="74"/>
        <v>14467.86</v>
      </c>
    </row>
    <row r="281" spans="1:21" x14ac:dyDescent="0.2">
      <c r="A281" s="115"/>
      <c r="B281" s="139" t="s">
        <v>488</v>
      </c>
      <c r="C281" s="140" t="s">
        <v>861</v>
      </c>
      <c r="D281" s="141">
        <v>45965</v>
      </c>
      <c r="E281" s="141">
        <v>46055</v>
      </c>
      <c r="F281" s="57">
        <v>41147.089999999997</v>
      </c>
      <c r="G281" s="58">
        <f t="shared" si="60"/>
        <v>33</v>
      </c>
      <c r="H281" s="142">
        <f t="shared" si="61"/>
        <v>0</v>
      </c>
      <c r="I281" s="142">
        <f t="shared" si="62"/>
        <v>0</v>
      </c>
      <c r="J281" s="143">
        <f t="shared" si="63"/>
        <v>0</v>
      </c>
      <c r="K281" s="143">
        <f t="shared" si="64"/>
        <v>0</v>
      </c>
      <c r="L281" s="142">
        <f t="shared" si="65"/>
        <v>0</v>
      </c>
      <c r="M281" s="142">
        <f t="shared" si="66"/>
        <v>0</v>
      </c>
      <c r="N281" s="142">
        <f t="shared" si="67"/>
        <v>0</v>
      </c>
      <c r="O281" s="59">
        <f t="shared" si="68"/>
        <v>0</v>
      </c>
      <c r="P281" s="142">
        <f t="shared" si="69"/>
        <v>0</v>
      </c>
      <c r="Q281" s="142">
        <f t="shared" si="70"/>
        <v>41147.089999999997</v>
      </c>
      <c r="R281" s="142">
        <f t="shared" si="71"/>
        <v>0</v>
      </c>
      <c r="S281" s="142">
        <f t="shared" si="72"/>
        <v>0</v>
      </c>
      <c r="T281" s="142">
        <f t="shared" si="73"/>
        <v>0</v>
      </c>
      <c r="U281" s="60">
        <f t="shared" si="74"/>
        <v>41147.089999999997</v>
      </c>
    </row>
    <row r="282" spans="1:21" x14ac:dyDescent="0.2">
      <c r="A282" s="115"/>
      <c r="B282" s="139" t="s">
        <v>488</v>
      </c>
      <c r="C282" s="140" t="s">
        <v>862</v>
      </c>
      <c r="D282" s="141">
        <v>45973</v>
      </c>
      <c r="E282" s="141">
        <v>46063</v>
      </c>
      <c r="F282" s="57">
        <v>13883.19</v>
      </c>
      <c r="G282" s="58">
        <f t="shared" si="60"/>
        <v>41</v>
      </c>
      <c r="H282" s="142">
        <f t="shared" si="61"/>
        <v>0</v>
      </c>
      <c r="I282" s="142">
        <f t="shared" si="62"/>
        <v>0</v>
      </c>
      <c r="J282" s="143">
        <f t="shared" si="63"/>
        <v>0</v>
      </c>
      <c r="K282" s="143">
        <f t="shared" si="64"/>
        <v>0</v>
      </c>
      <c r="L282" s="142">
        <f t="shared" si="65"/>
        <v>0</v>
      </c>
      <c r="M282" s="142">
        <f t="shared" si="66"/>
        <v>0</v>
      </c>
      <c r="N282" s="142">
        <f t="shared" si="67"/>
        <v>0</v>
      </c>
      <c r="O282" s="59">
        <f t="shared" si="68"/>
        <v>0</v>
      </c>
      <c r="P282" s="142">
        <f t="shared" si="69"/>
        <v>0</v>
      </c>
      <c r="Q282" s="142">
        <f t="shared" si="70"/>
        <v>13883.19</v>
      </c>
      <c r="R282" s="142">
        <f t="shared" si="71"/>
        <v>0</v>
      </c>
      <c r="S282" s="142">
        <f t="shared" si="72"/>
        <v>0</v>
      </c>
      <c r="T282" s="142">
        <f t="shared" si="73"/>
        <v>0</v>
      </c>
      <c r="U282" s="60">
        <f t="shared" si="74"/>
        <v>13883.19</v>
      </c>
    </row>
    <row r="283" spans="1:21" x14ac:dyDescent="0.2">
      <c r="A283" s="115"/>
      <c r="B283" s="139" t="s">
        <v>488</v>
      </c>
      <c r="C283" s="140" t="s">
        <v>863</v>
      </c>
      <c r="D283" s="141">
        <v>45988</v>
      </c>
      <c r="E283" s="141">
        <v>46078</v>
      </c>
      <c r="F283" s="57">
        <v>53064.82</v>
      </c>
      <c r="G283" s="58">
        <f t="shared" si="60"/>
        <v>56</v>
      </c>
      <c r="H283" s="142">
        <f t="shared" si="61"/>
        <v>0</v>
      </c>
      <c r="I283" s="142">
        <f t="shared" si="62"/>
        <v>0</v>
      </c>
      <c r="J283" s="143">
        <f t="shared" si="63"/>
        <v>0</v>
      </c>
      <c r="K283" s="143">
        <f t="shared" si="64"/>
        <v>0</v>
      </c>
      <c r="L283" s="142">
        <f t="shared" si="65"/>
        <v>0</v>
      </c>
      <c r="M283" s="142">
        <f t="shared" si="66"/>
        <v>0</v>
      </c>
      <c r="N283" s="142">
        <f t="shared" si="67"/>
        <v>0</v>
      </c>
      <c r="O283" s="59">
        <f t="shared" si="68"/>
        <v>0</v>
      </c>
      <c r="P283" s="142">
        <f t="shared" si="69"/>
        <v>0</v>
      </c>
      <c r="Q283" s="142">
        <f t="shared" si="70"/>
        <v>53064.82</v>
      </c>
      <c r="R283" s="142">
        <f t="shared" si="71"/>
        <v>0</v>
      </c>
      <c r="S283" s="142">
        <f t="shared" si="72"/>
        <v>0</v>
      </c>
      <c r="T283" s="142">
        <f t="shared" si="73"/>
        <v>0</v>
      </c>
      <c r="U283" s="60">
        <f t="shared" si="74"/>
        <v>53064.82</v>
      </c>
    </row>
    <row r="284" spans="1:21" x14ac:dyDescent="0.2">
      <c r="A284" s="115"/>
      <c r="B284" s="139" t="s">
        <v>488</v>
      </c>
      <c r="C284" s="140" t="s">
        <v>864</v>
      </c>
      <c r="D284" s="141">
        <v>45988</v>
      </c>
      <c r="E284" s="141">
        <v>46078</v>
      </c>
      <c r="F284" s="57">
        <v>41332.76</v>
      </c>
      <c r="G284" s="58">
        <f t="shared" si="60"/>
        <v>56</v>
      </c>
      <c r="H284" s="142">
        <f t="shared" si="61"/>
        <v>0</v>
      </c>
      <c r="I284" s="142">
        <f t="shared" si="62"/>
        <v>0</v>
      </c>
      <c r="J284" s="143">
        <f t="shared" si="63"/>
        <v>0</v>
      </c>
      <c r="K284" s="143">
        <f t="shared" si="64"/>
        <v>0</v>
      </c>
      <c r="L284" s="142">
        <f t="shared" si="65"/>
        <v>0</v>
      </c>
      <c r="M284" s="142">
        <f t="shared" si="66"/>
        <v>0</v>
      </c>
      <c r="N284" s="142">
        <f t="shared" si="67"/>
        <v>0</v>
      </c>
      <c r="O284" s="59">
        <f t="shared" si="68"/>
        <v>0</v>
      </c>
      <c r="P284" s="142">
        <f t="shared" si="69"/>
        <v>0</v>
      </c>
      <c r="Q284" s="142">
        <f t="shared" si="70"/>
        <v>41332.76</v>
      </c>
      <c r="R284" s="142">
        <f t="shared" si="71"/>
        <v>0</v>
      </c>
      <c r="S284" s="142">
        <f t="shared" si="72"/>
        <v>0</v>
      </c>
      <c r="T284" s="142">
        <f t="shared" si="73"/>
        <v>0</v>
      </c>
      <c r="U284" s="60">
        <f t="shared" si="74"/>
        <v>41332.76</v>
      </c>
    </row>
    <row r="285" spans="1:21" x14ac:dyDescent="0.2">
      <c r="A285" s="115"/>
      <c r="B285" s="139" t="s">
        <v>488</v>
      </c>
      <c r="C285" s="140" t="s">
        <v>945</v>
      </c>
      <c r="D285" s="141">
        <v>45993</v>
      </c>
      <c r="E285" s="141">
        <v>46083</v>
      </c>
      <c r="F285" s="57">
        <v>24206.799999999999</v>
      </c>
      <c r="G285" s="58">
        <f t="shared" si="60"/>
        <v>61</v>
      </c>
      <c r="H285" s="142">
        <f t="shared" si="61"/>
        <v>0</v>
      </c>
      <c r="I285" s="142">
        <f t="shared" si="62"/>
        <v>0</v>
      </c>
      <c r="J285" s="143">
        <f t="shared" si="63"/>
        <v>0</v>
      </c>
      <c r="K285" s="143">
        <f t="shared" si="64"/>
        <v>0</v>
      </c>
      <c r="L285" s="142">
        <f t="shared" si="65"/>
        <v>0</v>
      </c>
      <c r="M285" s="142">
        <f t="shared" si="66"/>
        <v>0</v>
      </c>
      <c r="N285" s="142">
        <f t="shared" si="67"/>
        <v>0</v>
      </c>
      <c r="O285" s="59">
        <f t="shared" si="68"/>
        <v>0</v>
      </c>
      <c r="P285" s="142">
        <f t="shared" si="69"/>
        <v>0</v>
      </c>
      <c r="Q285" s="142">
        <f t="shared" si="70"/>
        <v>0</v>
      </c>
      <c r="R285" s="142">
        <f t="shared" si="71"/>
        <v>24206.799999999999</v>
      </c>
      <c r="S285" s="142">
        <f t="shared" si="72"/>
        <v>0</v>
      </c>
      <c r="T285" s="142">
        <f t="shared" si="73"/>
        <v>0</v>
      </c>
      <c r="U285" s="60">
        <f t="shared" si="74"/>
        <v>24206.799999999999</v>
      </c>
    </row>
    <row r="286" spans="1:21" x14ac:dyDescent="0.2">
      <c r="A286" s="115"/>
      <c r="B286" s="139" t="s">
        <v>53</v>
      </c>
      <c r="C286" s="140" t="s">
        <v>197</v>
      </c>
      <c r="D286" s="141">
        <v>44771</v>
      </c>
      <c r="E286" s="141">
        <v>44801</v>
      </c>
      <c r="F286" s="57">
        <v>85930.5</v>
      </c>
      <c r="G286" s="58">
        <f t="shared" si="60"/>
        <v>-1221</v>
      </c>
      <c r="H286" s="142">
        <f t="shared" si="61"/>
        <v>85930.5</v>
      </c>
      <c r="I286" s="142">
        <f t="shared" si="62"/>
        <v>0</v>
      </c>
      <c r="J286" s="143">
        <f t="shared" si="63"/>
        <v>0</v>
      </c>
      <c r="K286" s="143">
        <f t="shared" si="64"/>
        <v>0</v>
      </c>
      <c r="L286" s="142">
        <f t="shared" si="65"/>
        <v>0</v>
      </c>
      <c r="M286" s="142">
        <f t="shared" si="66"/>
        <v>0</v>
      </c>
      <c r="N286" s="142">
        <f t="shared" si="67"/>
        <v>0</v>
      </c>
      <c r="O286" s="59">
        <f t="shared" si="68"/>
        <v>85930.5</v>
      </c>
      <c r="P286" s="142">
        <f t="shared" si="69"/>
        <v>0</v>
      </c>
      <c r="Q286" s="142">
        <f t="shared" si="70"/>
        <v>0</v>
      </c>
      <c r="R286" s="142">
        <f t="shared" si="71"/>
        <v>0</v>
      </c>
      <c r="S286" s="142">
        <f t="shared" si="72"/>
        <v>0</v>
      </c>
      <c r="T286" s="142">
        <f t="shared" si="73"/>
        <v>0</v>
      </c>
      <c r="U286" s="60">
        <f t="shared" si="74"/>
        <v>0</v>
      </c>
    </row>
    <row r="287" spans="1:21" x14ac:dyDescent="0.2">
      <c r="A287" s="115"/>
      <c r="B287" s="139" t="s">
        <v>408</v>
      </c>
      <c r="C287" s="140" t="s">
        <v>641</v>
      </c>
      <c r="D287" s="141">
        <v>45911</v>
      </c>
      <c r="E287" s="141">
        <v>46032</v>
      </c>
      <c r="F287" s="57">
        <v>147853</v>
      </c>
      <c r="G287" s="58">
        <f t="shared" si="60"/>
        <v>10</v>
      </c>
      <c r="H287" s="142">
        <f t="shared" si="61"/>
        <v>0</v>
      </c>
      <c r="I287" s="142">
        <f t="shared" si="62"/>
        <v>0</v>
      </c>
      <c r="J287" s="143">
        <f t="shared" si="63"/>
        <v>0</v>
      </c>
      <c r="K287" s="143">
        <f t="shared" si="64"/>
        <v>0</v>
      </c>
      <c r="L287" s="142">
        <f t="shared" si="65"/>
        <v>0</v>
      </c>
      <c r="M287" s="142">
        <f t="shared" si="66"/>
        <v>0</v>
      </c>
      <c r="N287" s="142">
        <f t="shared" si="67"/>
        <v>0</v>
      </c>
      <c r="O287" s="59">
        <f t="shared" si="68"/>
        <v>0</v>
      </c>
      <c r="P287" s="142">
        <f t="shared" si="69"/>
        <v>147853</v>
      </c>
      <c r="Q287" s="142">
        <f t="shared" si="70"/>
        <v>0</v>
      </c>
      <c r="R287" s="142">
        <f t="shared" si="71"/>
        <v>0</v>
      </c>
      <c r="S287" s="142">
        <f t="shared" si="72"/>
        <v>0</v>
      </c>
      <c r="T287" s="142">
        <f t="shared" si="73"/>
        <v>0</v>
      </c>
      <c r="U287" s="60">
        <f t="shared" si="74"/>
        <v>147853</v>
      </c>
    </row>
    <row r="288" spans="1:21" x14ac:dyDescent="0.2">
      <c r="A288" s="115"/>
      <c r="B288" s="139" t="s">
        <v>946</v>
      </c>
      <c r="C288" s="140" t="s">
        <v>947</v>
      </c>
      <c r="D288" s="141">
        <v>45995</v>
      </c>
      <c r="E288" s="141">
        <v>46025</v>
      </c>
      <c r="F288" s="57">
        <v>31382.5</v>
      </c>
      <c r="G288" s="58">
        <f t="shared" si="60"/>
        <v>3</v>
      </c>
      <c r="H288" s="142">
        <f t="shared" si="61"/>
        <v>0</v>
      </c>
      <c r="I288" s="142">
        <f t="shared" si="62"/>
        <v>0</v>
      </c>
      <c r="J288" s="143">
        <f t="shared" si="63"/>
        <v>0</v>
      </c>
      <c r="K288" s="143">
        <f t="shared" si="64"/>
        <v>0</v>
      </c>
      <c r="L288" s="142">
        <f t="shared" si="65"/>
        <v>0</v>
      </c>
      <c r="M288" s="142">
        <f t="shared" si="66"/>
        <v>0</v>
      </c>
      <c r="N288" s="142">
        <f t="shared" si="67"/>
        <v>0</v>
      </c>
      <c r="O288" s="59">
        <f t="shared" si="68"/>
        <v>0</v>
      </c>
      <c r="P288" s="142">
        <f t="shared" si="69"/>
        <v>31382.5</v>
      </c>
      <c r="Q288" s="142">
        <f t="shared" si="70"/>
        <v>0</v>
      </c>
      <c r="R288" s="142">
        <f t="shared" si="71"/>
        <v>0</v>
      </c>
      <c r="S288" s="142">
        <f t="shared" si="72"/>
        <v>0</v>
      </c>
      <c r="T288" s="142">
        <f t="shared" si="73"/>
        <v>0</v>
      </c>
      <c r="U288" s="60">
        <f t="shared" si="74"/>
        <v>31382.5</v>
      </c>
    </row>
    <row r="289" spans="1:21" x14ac:dyDescent="0.2">
      <c r="A289" s="115"/>
      <c r="B289" s="139" t="s">
        <v>946</v>
      </c>
      <c r="C289" s="140" t="s">
        <v>947</v>
      </c>
      <c r="D289" s="141">
        <v>45995</v>
      </c>
      <c r="E289" s="141">
        <v>46055</v>
      </c>
      <c r="F289" s="57">
        <v>31382.5</v>
      </c>
      <c r="G289" s="58">
        <f t="shared" si="60"/>
        <v>33</v>
      </c>
      <c r="H289" s="142">
        <f t="shared" si="61"/>
        <v>0</v>
      </c>
      <c r="I289" s="142">
        <f t="shared" si="62"/>
        <v>0</v>
      </c>
      <c r="J289" s="143">
        <f t="shared" si="63"/>
        <v>0</v>
      </c>
      <c r="K289" s="143">
        <f t="shared" si="64"/>
        <v>0</v>
      </c>
      <c r="L289" s="142">
        <f t="shared" si="65"/>
        <v>0</v>
      </c>
      <c r="M289" s="142">
        <f t="shared" si="66"/>
        <v>0</v>
      </c>
      <c r="N289" s="142">
        <f t="shared" si="67"/>
        <v>0</v>
      </c>
      <c r="O289" s="59">
        <f t="shared" si="68"/>
        <v>0</v>
      </c>
      <c r="P289" s="142">
        <f t="shared" si="69"/>
        <v>0</v>
      </c>
      <c r="Q289" s="142">
        <f t="shared" si="70"/>
        <v>31382.5</v>
      </c>
      <c r="R289" s="142">
        <f t="shared" si="71"/>
        <v>0</v>
      </c>
      <c r="S289" s="142">
        <f t="shared" si="72"/>
        <v>0</v>
      </c>
      <c r="T289" s="142">
        <f t="shared" si="73"/>
        <v>0</v>
      </c>
      <c r="U289" s="60">
        <f t="shared" si="74"/>
        <v>31382.5</v>
      </c>
    </row>
    <row r="290" spans="1:21" x14ac:dyDescent="0.2">
      <c r="A290" s="115"/>
      <c r="B290" s="139" t="s">
        <v>865</v>
      </c>
      <c r="C290" s="140" t="s">
        <v>866</v>
      </c>
      <c r="D290" s="141">
        <v>45985</v>
      </c>
      <c r="E290" s="141">
        <v>46105</v>
      </c>
      <c r="F290" s="57">
        <v>320000</v>
      </c>
      <c r="G290" s="58">
        <f t="shared" si="60"/>
        <v>83</v>
      </c>
      <c r="H290" s="142">
        <f t="shared" si="61"/>
        <v>0</v>
      </c>
      <c r="I290" s="142">
        <f t="shared" si="62"/>
        <v>0</v>
      </c>
      <c r="J290" s="143">
        <f t="shared" si="63"/>
        <v>0</v>
      </c>
      <c r="K290" s="143">
        <f t="shared" si="64"/>
        <v>0</v>
      </c>
      <c r="L290" s="142">
        <f t="shared" si="65"/>
        <v>0</v>
      </c>
      <c r="M290" s="142">
        <f t="shared" si="66"/>
        <v>0</v>
      </c>
      <c r="N290" s="142">
        <f t="shared" si="67"/>
        <v>0</v>
      </c>
      <c r="O290" s="59">
        <f t="shared" si="68"/>
        <v>0</v>
      </c>
      <c r="P290" s="142">
        <f t="shared" si="69"/>
        <v>0</v>
      </c>
      <c r="Q290" s="142">
        <f t="shared" si="70"/>
        <v>0</v>
      </c>
      <c r="R290" s="142">
        <f t="shared" si="71"/>
        <v>320000</v>
      </c>
      <c r="S290" s="142">
        <f t="shared" si="72"/>
        <v>0</v>
      </c>
      <c r="T290" s="142">
        <f t="shared" si="73"/>
        <v>0</v>
      </c>
      <c r="U290" s="60">
        <f t="shared" si="74"/>
        <v>320000</v>
      </c>
    </row>
    <row r="291" spans="1:21" x14ac:dyDescent="0.2">
      <c r="A291" s="115"/>
      <c r="B291" s="139" t="s">
        <v>865</v>
      </c>
      <c r="C291" s="140" t="s">
        <v>948</v>
      </c>
      <c r="D291" s="141">
        <v>45995</v>
      </c>
      <c r="E291" s="141">
        <v>46115</v>
      </c>
      <c r="F291" s="57">
        <v>111840.73</v>
      </c>
      <c r="G291" s="58">
        <f t="shared" si="60"/>
        <v>93</v>
      </c>
      <c r="H291" s="142">
        <f t="shared" si="61"/>
        <v>0</v>
      </c>
      <c r="I291" s="142">
        <f t="shared" si="62"/>
        <v>0</v>
      </c>
      <c r="J291" s="143">
        <f t="shared" si="63"/>
        <v>0</v>
      </c>
      <c r="K291" s="143">
        <f t="shared" si="64"/>
        <v>0</v>
      </c>
      <c r="L291" s="142">
        <f t="shared" si="65"/>
        <v>0</v>
      </c>
      <c r="M291" s="142">
        <f t="shared" si="66"/>
        <v>0</v>
      </c>
      <c r="N291" s="142">
        <f t="shared" si="67"/>
        <v>0</v>
      </c>
      <c r="O291" s="59">
        <f t="shared" si="68"/>
        <v>0</v>
      </c>
      <c r="P291" s="142">
        <f t="shared" si="69"/>
        <v>0</v>
      </c>
      <c r="Q291" s="142">
        <f t="shared" si="70"/>
        <v>0</v>
      </c>
      <c r="R291" s="142">
        <f t="shared" si="71"/>
        <v>0</v>
      </c>
      <c r="S291" s="142">
        <f t="shared" si="72"/>
        <v>111840.73</v>
      </c>
      <c r="T291" s="142">
        <f t="shared" si="73"/>
        <v>0</v>
      </c>
      <c r="U291" s="60">
        <f t="shared" si="74"/>
        <v>111840.73</v>
      </c>
    </row>
    <row r="292" spans="1:21" x14ac:dyDescent="0.2">
      <c r="A292" s="115"/>
      <c r="B292" s="139" t="s">
        <v>865</v>
      </c>
      <c r="C292" s="140" t="s">
        <v>949</v>
      </c>
      <c r="D292" s="141">
        <v>46008</v>
      </c>
      <c r="E292" s="141">
        <v>46128</v>
      </c>
      <c r="F292" s="57">
        <v>117036.53</v>
      </c>
      <c r="G292" s="58">
        <f t="shared" si="60"/>
        <v>106</v>
      </c>
      <c r="H292" s="142">
        <f t="shared" si="61"/>
        <v>0</v>
      </c>
      <c r="I292" s="142">
        <f t="shared" si="62"/>
        <v>0</v>
      </c>
      <c r="J292" s="143">
        <f t="shared" si="63"/>
        <v>0</v>
      </c>
      <c r="K292" s="143">
        <f t="shared" si="64"/>
        <v>0</v>
      </c>
      <c r="L292" s="142">
        <f t="shared" si="65"/>
        <v>0</v>
      </c>
      <c r="M292" s="142">
        <f t="shared" si="66"/>
        <v>0</v>
      </c>
      <c r="N292" s="142">
        <f t="shared" si="67"/>
        <v>0</v>
      </c>
      <c r="O292" s="59">
        <f t="shared" si="68"/>
        <v>0</v>
      </c>
      <c r="P292" s="142">
        <f t="shared" si="69"/>
        <v>0</v>
      </c>
      <c r="Q292" s="142">
        <f t="shared" si="70"/>
        <v>0</v>
      </c>
      <c r="R292" s="142">
        <f t="shared" si="71"/>
        <v>0</v>
      </c>
      <c r="S292" s="142">
        <f t="shared" si="72"/>
        <v>117036.53</v>
      </c>
      <c r="T292" s="142">
        <f t="shared" si="73"/>
        <v>0</v>
      </c>
      <c r="U292" s="60">
        <f t="shared" si="74"/>
        <v>117036.53</v>
      </c>
    </row>
    <row r="293" spans="1:21" x14ac:dyDescent="0.2">
      <c r="A293" s="115"/>
      <c r="B293" s="139" t="s">
        <v>574</v>
      </c>
      <c r="C293" s="140" t="s">
        <v>575</v>
      </c>
      <c r="D293" s="141">
        <v>45889</v>
      </c>
      <c r="E293" s="141">
        <v>46042</v>
      </c>
      <c r="F293" s="57">
        <v>6300</v>
      </c>
      <c r="G293" s="58">
        <f t="shared" si="60"/>
        <v>20</v>
      </c>
      <c r="H293" s="142">
        <f t="shared" si="61"/>
        <v>0</v>
      </c>
      <c r="I293" s="142">
        <f t="shared" si="62"/>
        <v>0</v>
      </c>
      <c r="J293" s="143">
        <f t="shared" si="63"/>
        <v>0</v>
      </c>
      <c r="K293" s="143">
        <f t="shared" si="64"/>
        <v>0</v>
      </c>
      <c r="L293" s="142">
        <f t="shared" si="65"/>
        <v>0</v>
      </c>
      <c r="M293" s="142">
        <f t="shared" si="66"/>
        <v>0</v>
      </c>
      <c r="N293" s="142">
        <f t="shared" si="67"/>
        <v>0</v>
      </c>
      <c r="O293" s="59">
        <f t="shared" si="68"/>
        <v>0</v>
      </c>
      <c r="P293" s="142">
        <f t="shared" si="69"/>
        <v>6300</v>
      </c>
      <c r="Q293" s="142">
        <f t="shared" si="70"/>
        <v>0</v>
      </c>
      <c r="R293" s="142">
        <f t="shared" si="71"/>
        <v>0</v>
      </c>
      <c r="S293" s="142">
        <f t="shared" si="72"/>
        <v>0</v>
      </c>
      <c r="T293" s="142">
        <f t="shared" si="73"/>
        <v>0</v>
      </c>
      <c r="U293" s="60">
        <f t="shared" si="74"/>
        <v>6300</v>
      </c>
    </row>
    <row r="294" spans="1:21" x14ac:dyDescent="0.2">
      <c r="A294" s="115"/>
      <c r="B294" s="139" t="s">
        <v>574</v>
      </c>
      <c r="C294" s="140" t="s">
        <v>950</v>
      </c>
      <c r="D294" s="141">
        <v>46017</v>
      </c>
      <c r="E294" s="141">
        <v>46068</v>
      </c>
      <c r="F294" s="57">
        <v>6133.33</v>
      </c>
      <c r="G294" s="58">
        <f t="shared" si="60"/>
        <v>46</v>
      </c>
      <c r="H294" s="142">
        <f t="shared" si="61"/>
        <v>0</v>
      </c>
      <c r="I294" s="142">
        <f t="shared" si="62"/>
        <v>0</v>
      </c>
      <c r="J294" s="143">
        <f t="shared" si="63"/>
        <v>0</v>
      </c>
      <c r="K294" s="143">
        <f t="shared" si="64"/>
        <v>0</v>
      </c>
      <c r="L294" s="142">
        <f t="shared" si="65"/>
        <v>0</v>
      </c>
      <c r="M294" s="142">
        <f t="shared" si="66"/>
        <v>0</v>
      </c>
      <c r="N294" s="142">
        <f t="shared" si="67"/>
        <v>0</v>
      </c>
      <c r="O294" s="59">
        <f t="shared" si="68"/>
        <v>0</v>
      </c>
      <c r="P294" s="142">
        <f t="shared" si="69"/>
        <v>0</v>
      </c>
      <c r="Q294" s="142">
        <f t="shared" si="70"/>
        <v>6133.33</v>
      </c>
      <c r="R294" s="142">
        <f t="shared" si="71"/>
        <v>0</v>
      </c>
      <c r="S294" s="142">
        <f t="shared" si="72"/>
        <v>0</v>
      </c>
      <c r="T294" s="142">
        <f t="shared" si="73"/>
        <v>0</v>
      </c>
      <c r="U294" s="60">
        <f t="shared" si="74"/>
        <v>6133.33</v>
      </c>
    </row>
    <row r="295" spans="1:21" x14ac:dyDescent="0.2">
      <c r="A295" s="115"/>
      <c r="B295" s="139" t="s">
        <v>574</v>
      </c>
      <c r="C295" s="140" t="s">
        <v>950</v>
      </c>
      <c r="D295" s="141">
        <v>46017</v>
      </c>
      <c r="E295" s="141">
        <v>46096</v>
      </c>
      <c r="F295" s="57">
        <v>6133.33</v>
      </c>
      <c r="G295" s="58">
        <f t="shared" si="60"/>
        <v>74</v>
      </c>
      <c r="H295" s="142">
        <f t="shared" si="61"/>
        <v>0</v>
      </c>
      <c r="I295" s="142">
        <f t="shared" si="62"/>
        <v>0</v>
      </c>
      <c r="J295" s="143">
        <f t="shared" si="63"/>
        <v>0</v>
      </c>
      <c r="K295" s="143">
        <f t="shared" si="64"/>
        <v>0</v>
      </c>
      <c r="L295" s="142">
        <f t="shared" si="65"/>
        <v>0</v>
      </c>
      <c r="M295" s="142">
        <f t="shared" si="66"/>
        <v>0</v>
      </c>
      <c r="N295" s="142">
        <f t="shared" si="67"/>
        <v>0</v>
      </c>
      <c r="O295" s="59">
        <f t="shared" si="68"/>
        <v>0</v>
      </c>
      <c r="P295" s="142">
        <f t="shared" si="69"/>
        <v>0</v>
      </c>
      <c r="Q295" s="142">
        <f t="shared" si="70"/>
        <v>0</v>
      </c>
      <c r="R295" s="142">
        <f t="shared" si="71"/>
        <v>6133.33</v>
      </c>
      <c r="S295" s="142">
        <f t="shared" si="72"/>
        <v>0</v>
      </c>
      <c r="T295" s="142">
        <f t="shared" si="73"/>
        <v>0</v>
      </c>
      <c r="U295" s="60">
        <f t="shared" si="74"/>
        <v>6133.33</v>
      </c>
    </row>
    <row r="296" spans="1:21" x14ac:dyDescent="0.2">
      <c r="A296" s="115"/>
      <c r="B296" s="139" t="s">
        <v>574</v>
      </c>
      <c r="C296" s="140" t="s">
        <v>950</v>
      </c>
      <c r="D296" s="141">
        <v>46017</v>
      </c>
      <c r="E296" s="141">
        <v>46127</v>
      </c>
      <c r="F296" s="57">
        <v>6133.34</v>
      </c>
      <c r="G296" s="58">
        <f t="shared" si="60"/>
        <v>105</v>
      </c>
      <c r="H296" s="142">
        <f t="shared" si="61"/>
        <v>0</v>
      </c>
      <c r="I296" s="142">
        <f t="shared" si="62"/>
        <v>0</v>
      </c>
      <c r="J296" s="143">
        <f t="shared" si="63"/>
        <v>0</v>
      </c>
      <c r="K296" s="143">
        <f t="shared" si="64"/>
        <v>0</v>
      </c>
      <c r="L296" s="142">
        <f t="shared" si="65"/>
        <v>0</v>
      </c>
      <c r="M296" s="142">
        <f t="shared" si="66"/>
        <v>0</v>
      </c>
      <c r="N296" s="142">
        <f t="shared" si="67"/>
        <v>0</v>
      </c>
      <c r="O296" s="59">
        <f t="shared" si="68"/>
        <v>0</v>
      </c>
      <c r="P296" s="142">
        <f t="shared" si="69"/>
        <v>0</v>
      </c>
      <c r="Q296" s="142">
        <f t="shared" si="70"/>
        <v>0</v>
      </c>
      <c r="R296" s="142">
        <f t="shared" si="71"/>
        <v>0</v>
      </c>
      <c r="S296" s="142">
        <f t="shared" si="72"/>
        <v>6133.34</v>
      </c>
      <c r="T296" s="142">
        <f t="shared" si="73"/>
        <v>0</v>
      </c>
      <c r="U296" s="60">
        <f t="shared" si="74"/>
        <v>6133.34</v>
      </c>
    </row>
    <row r="297" spans="1:21" x14ac:dyDescent="0.2">
      <c r="A297" s="115"/>
      <c r="B297" s="139" t="s">
        <v>515</v>
      </c>
      <c r="C297" s="140" t="s">
        <v>198</v>
      </c>
      <c r="D297" s="141">
        <v>45358</v>
      </c>
      <c r="E297" s="141">
        <v>45514</v>
      </c>
      <c r="F297" s="57">
        <v>7371</v>
      </c>
      <c r="G297" s="58">
        <f t="shared" si="60"/>
        <v>-508</v>
      </c>
      <c r="H297" s="142">
        <f t="shared" si="61"/>
        <v>7371</v>
      </c>
      <c r="I297" s="142">
        <f t="shared" si="62"/>
        <v>0</v>
      </c>
      <c r="J297" s="143">
        <f t="shared" si="63"/>
        <v>0</v>
      </c>
      <c r="K297" s="143">
        <f t="shared" si="64"/>
        <v>0</v>
      </c>
      <c r="L297" s="142">
        <f t="shared" si="65"/>
        <v>0</v>
      </c>
      <c r="M297" s="142">
        <f t="shared" si="66"/>
        <v>0</v>
      </c>
      <c r="N297" s="142">
        <f t="shared" si="67"/>
        <v>0</v>
      </c>
      <c r="O297" s="59">
        <f t="shared" si="68"/>
        <v>7371</v>
      </c>
      <c r="P297" s="142">
        <f t="shared" si="69"/>
        <v>0</v>
      </c>
      <c r="Q297" s="142">
        <f t="shared" si="70"/>
        <v>0</v>
      </c>
      <c r="R297" s="142">
        <f t="shared" si="71"/>
        <v>0</v>
      </c>
      <c r="S297" s="142">
        <f t="shared" si="72"/>
        <v>0</v>
      </c>
      <c r="T297" s="142">
        <f t="shared" si="73"/>
        <v>0</v>
      </c>
      <c r="U297" s="60">
        <f t="shared" si="74"/>
        <v>0</v>
      </c>
    </row>
    <row r="298" spans="1:21" x14ac:dyDescent="0.2">
      <c r="A298" s="115"/>
      <c r="B298" s="139" t="s">
        <v>572</v>
      </c>
      <c r="C298" s="140" t="s">
        <v>573</v>
      </c>
      <c r="D298" s="141">
        <v>45896</v>
      </c>
      <c r="E298" s="141">
        <v>45925</v>
      </c>
      <c r="F298" s="57">
        <v>73500</v>
      </c>
      <c r="G298" s="58">
        <f t="shared" si="60"/>
        <v>-97</v>
      </c>
      <c r="H298" s="142">
        <f t="shared" si="61"/>
        <v>0</v>
      </c>
      <c r="I298" s="142">
        <f t="shared" si="62"/>
        <v>0</v>
      </c>
      <c r="J298" s="143">
        <f t="shared" si="63"/>
        <v>0</v>
      </c>
      <c r="K298" s="143">
        <f t="shared" si="64"/>
        <v>73500</v>
      </c>
      <c r="L298" s="142">
        <f t="shared" si="65"/>
        <v>0</v>
      </c>
      <c r="M298" s="142">
        <f t="shared" si="66"/>
        <v>0</v>
      </c>
      <c r="N298" s="142">
        <f t="shared" si="67"/>
        <v>0</v>
      </c>
      <c r="O298" s="59">
        <f t="shared" si="68"/>
        <v>73500</v>
      </c>
      <c r="P298" s="142">
        <f t="shared" si="69"/>
        <v>0</v>
      </c>
      <c r="Q298" s="142">
        <f t="shared" si="70"/>
        <v>0</v>
      </c>
      <c r="R298" s="142">
        <f t="shared" si="71"/>
        <v>0</v>
      </c>
      <c r="S298" s="142">
        <f t="shared" si="72"/>
        <v>0</v>
      </c>
      <c r="T298" s="142">
        <f t="shared" si="73"/>
        <v>0</v>
      </c>
      <c r="U298" s="60">
        <f t="shared" si="74"/>
        <v>0</v>
      </c>
    </row>
    <row r="299" spans="1:21" x14ac:dyDescent="0.2">
      <c r="A299" s="115"/>
      <c r="B299" s="139" t="s">
        <v>409</v>
      </c>
      <c r="C299" s="140" t="s">
        <v>867</v>
      </c>
      <c r="D299" s="141">
        <v>45971</v>
      </c>
      <c r="E299" s="141">
        <v>46031</v>
      </c>
      <c r="F299" s="57">
        <v>43899.21</v>
      </c>
      <c r="G299" s="58">
        <f t="shared" si="60"/>
        <v>9</v>
      </c>
      <c r="H299" s="142">
        <f t="shared" si="61"/>
        <v>0</v>
      </c>
      <c r="I299" s="142">
        <f t="shared" si="62"/>
        <v>0</v>
      </c>
      <c r="J299" s="143">
        <f t="shared" si="63"/>
        <v>0</v>
      </c>
      <c r="K299" s="143">
        <f t="shared" si="64"/>
        <v>0</v>
      </c>
      <c r="L299" s="142">
        <f t="shared" si="65"/>
        <v>0</v>
      </c>
      <c r="M299" s="142">
        <f t="shared" si="66"/>
        <v>0</v>
      </c>
      <c r="N299" s="142">
        <f t="shared" si="67"/>
        <v>0</v>
      </c>
      <c r="O299" s="59">
        <f t="shared" si="68"/>
        <v>0</v>
      </c>
      <c r="P299" s="142">
        <f t="shared" si="69"/>
        <v>43899.21</v>
      </c>
      <c r="Q299" s="142">
        <f t="shared" si="70"/>
        <v>0</v>
      </c>
      <c r="R299" s="142">
        <f t="shared" si="71"/>
        <v>0</v>
      </c>
      <c r="S299" s="142">
        <f t="shared" si="72"/>
        <v>0</v>
      </c>
      <c r="T299" s="142">
        <f t="shared" si="73"/>
        <v>0</v>
      </c>
      <c r="U299" s="60">
        <f t="shared" si="74"/>
        <v>43899.21</v>
      </c>
    </row>
    <row r="300" spans="1:21" x14ac:dyDescent="0.2">
      <c r="A300" s="115"/>
      <c r="B300" s="139" t="s">
        <v>409</v>
      </c>
      <c r="C300" s="140" t="s">
        <v>951</v>
      </c>
      <c r="D300" s="141">
        <v>45993</v>
      </c>
      <c r="E300" s="141">
        <v>46053</v>
      </c>
      <c r="F300" s="57">
        <v>50270.06</v>
      </c>
      <c r="G300" s="58">
        <f t="shared" si="60"/>
        <v>31</v>
      </c>
      <c r="H300" s="142">
        <f t="shared" si="61"/>
        <v>0</v>
      </c>
      <c r="I300" s="142">
        <f t="shared" si="62"/>
        <v>0</v>
      </c>
      <c r="J300" s="143">
        <f t="shared" si="63"/>
        <v>0</v>
      </c>
      <c r="K300" s="143">
        <f t="shared" si="64"/>
        <v>0</v>
      </c>
      <c r="L300" s="142">
        <f t="shared" si="65"/>
        <v>0</v>
      </c>
      <c r="M300" s="142">
        <f t="shared" si="66"/>
        <v>0</v>
      </c>
      <c r="N300" s="142">
        <f t="shared" si="67"/>
        <v>0</v>
      </c>
      <c r="O300" s="59">
        <f t="shared" si="68"/>
        <v>0</v>
      </c>
      <c r="P300" s="142">
        <f t="shared" si="69"/>
        <v>0</v>
      </c>
      <c r="Q300" s="142">
        <f t="shared" si="70"/>
        <v>50270.06</v>
      </c>
      <c r="R300" s="142">
        <f t="shared" si="71"/>
        <v>0</v>
      </c>
      <c r="S300" s="142">
        <f t="shared" si="72"/>
        <v>0</v>
      </c>
      <c r="T300" s="142">
        <f t="shared" si="73"/>
        <v>0</v>
      </c>
      <c r="U300" s="60">
        <f t="shared" si="74"/>
        <v>50270.06</v>
      </c>
    </row>
    <row r="301" spans="1:21" x14ac:dyDescent="0.2">
      <c r="A301" s="115"/>
      <c r="B301" s="139" t="s">
        <v>72</v>
      </c>
      <c r="C301" s="140" t="s">
        <v>642</v>
      </c>
      <c r="D301" s="141">
        <v>45904</v>
      </c>
      <c r="E301" s="141">
        <v>46024</v>
      </c>
      <c r="F301" s="57">
        <v>15750</v>
      </c>
      <c r="G301" s="58">
        <f t="shared" si="60"/>
        <v>2</v>
      </c>
      <c r="H301" s="142">
        <f t="shared" si="61"/>
        <v>0</v>
      </c>
      <c r="I301" s="142">
        <f t="shared" si="62"/>
        <v>0</v>
      </c>
      <c r="J301" s="143">
        <f t="shared" si="63"/>
        <v>0</v>
      </c>
      <c r="K301" s="143">
        <f t="shared" si="64"/>
        <v>0</v>
      </c>
      <c r="L301" s="142">
        <f t="shared" si="65"/>
        <v>0</v>
      </c>
      <c r="M301" s="142">
        <f t="shared" si="66"/>
        <v>0</v>
      </c>
      <c r="N301" s="142">
        <f t="shared" si="67"/>
        <v>0</v>
      </c>
      <c r="O301" s="59">
        <f t="shared" si="68"/>
        <v>0</v>
      </c>
      <c r="P301" s="142">
        <f t="shared" si="69"/>
        <v>15750</v>
      </c>
      <c r="Q301" s="142">
        <f t="shared" si="70"/>
        <v>0</v>
      </c>
      <c r="R301" s="142">
        <f t="shared" si="71"/>
        <v>0</v>
      </c>
      <c r="S301" s="142">
        <f t="shared" si="72"/>
        <v>0</v>
      </c>
      <c r="T301" s="142">
        <f t="shared" si="73"/>
        <v>0</v>
      </c>
      <c r="U301" s="60">
        <f t="shared" si="74"/>
        <v>15750</v>
      </c>
    </row>
    <row r="302" spans="1:21" x14ac:dyDescent="0.2">
      <c r="A302" s="115"/>
      <c r="B302" s="139" t="s">
        <v>72</v>
      </c>
      <c r="C302" s="140" t="s">
        <v>816</v>
      </c>
      <c r="D302" s="141">
        <v>45932</v>
      </c>
      <c r="E302" s="141">
        <v>46052</v>
      </c>
      <c r="F302" s="57">
        <v>34200</v>
      </c>
      <c r="G302" s="58">
        <f t="shared" si="60"/>
        <v>30</v>
      </c>
      <c r="H302" s="142">
        <f t="shared" si="61"/>
        <v>0</v>
      </c>
      <c r="I302" s="142">
        <f t="shared" si="62"/>
        <v>0</v>
      </c>
      <c r="J302" s="143">
        <f t="shared" si="63"/>
        <v>0</v>
      </c>
      <c r="K302" s="143">
        <f t="shared" si="64"/>
        <v>0</v>
      </c>
      <c r="L302" s="142">
        <f t="shared" si="65"/>
        <v>0</v>
      </c>
      <c r="M302" s="142">
        <f t="shared" si="66"/>
        <v>0</v>
      </c>
      <c r="N302" s="142">
        <f t="shared" si="67"/>
        <v>0</v>
      </c>
      <c r="O302" s="59">
        <f t="shared" si="68"/>
        <v>0</v>
      </c>
      <c r="P302" s="142">
        <f t="shared" si="69"/>
        <v>34200</v>
      </c>
      <c r="Q302" s="142">
        <f t="shared" si="70"/>
        <v>0</v>
      </c>
      <c r="R302" s="142">
        <f t="shared" si="71"/>
        <v>0</v>
      </c>
      <c r="S302" s="142">
        <f t="shared" si="72"/>
        <v>0</v>
      </c>
      <c r="T302" s="142">
        <f t="shared" si="73"/>
        <v>0</v>
      </c>
      <c r="U302" s="60">
        <f t="shared" si="74"/>
        <v>34200</v>
      </c>
    </row>
    <row r="303" spans="1:21" x14ac:dyDescent="0.2">
      <c r="A303" s="115"/>
      <c r="B303" s="139" t="s">
        <v>72</v>
      </c>
      <c r="C303" s="140" t="s">
        <v>803</v>
      </c>
      <c r="D303" s="141">
        <v>45933</v>
      </c>
      <c r="E303" s="141">
        <v>46053</v>
      </c>
      <c r="F303" s="57">
        <v>26600</v>
      </c>
      <c r="G303" s="58">
        <f t="shared" si="60"/>
        <v>31</v>
      </c>
      <c r="H303" s="142">
        <f t="shared" si="61"/>
        <v>0</v>
      </c>
      <c r="I303" s="142">
        <f t="shared" si="62"/>
        <v>0</v>
      </c>
      <c r="J303" s="143">
        <f t="shared" si="63"/>
        <v>0</v>
      </c>
      <c r="K303" s="143">
        <f t="shared" si="64"/>
        <v>0</v>
      </c>
      <c r="L303" s="142">
        <f t="shared" si="65"/>
        <v>0</v>
      </c>
      <c r="M303" s="142">
        <f t="shared" si="66"/>
        <v>0</v>
      </c>
      <c r="N303" s="142">
        <f t="shared" si="67"/>
        <v>0</v>
      </c>
      <c r="O303" s="59">
        <f t="shared" si="68"/>
        <v>0</v>
      </c>
      <c r="P303" s="142">
        <f t="shared" si="69"/>
        <v>0</v>
      </c>
      <c r="Q303" s="142">
        <f t="shared" si="70"/>
        <v>26600</v>
      </c>
      <c r="R303" s="142">
        <f t="shared" si="71"/>
        <v>0</v>
      </c>
      <c r="S303" s="142">
        <f t="shared" si="72"/>
        <v>0</v>
      </c>
      <c r="T303" s="142">
        <f t="shared" si="73"/>
        <v>0</v>
      </c>
      <c r="U303" s="60">
        <f t="shared" si="74"/>
        <v>26600</v>
      </c>
    </row>
    <row r="304" spans="1:21" x14ac:dyDescent="0.2">
      <c r="A304" s="115"/>
      <c r="B304" s="139" t="s">
        <v>72</v>
      </c>
      <c r="C304" s="140" t="s">
        <v>821</v>
      </c>
      <c r="D304" s="141">
        <v>45946</v>
      </c>
      <c r="E304" s="141">
        <v>46066</v>
      </c>
      <c r="F304" s="57">
        <v>38630.199999999997</v>
      </c>
      <c r="G304" s="58">
        <f t="shared" si="60"/>
        <v>44</v>
      </c>
      <c r="H304" s="142">
        <f t="shared" si="61"/>
        <v>0</v>
      </c>
      <c r="I304" s="142">
        <f t="shared" si="62"/>
        <v>0</v>
      </c>
      <c r="J304" s="143">
        <f t="shared" si="63"/>
        <v>0</v>
      </c>
      <c r="K304" s="143">
        <f t="shared" si="64"/>
        <v>0</v>
      </c>
      <c r="L304" s="142">
        <f t="shared" si="65"/>
        <v>0</v>
      </c>
      <c r="M304" s="142">
        <f t="shared" si="66"/>
        <v>0</v>
      </c>
      <c r="N304" s="142">
        <f t="shared" si="67"/>
        <v>0</v>
      </c>
      <c r="O304" s="59">
        <f t="shared" si="68"/>
        <v>0</v>
      </c>
      <c r="P304" s="142">
        <f t="shared" si="69"/>
        <v>0</v>
      </c>
      <c r="Q304" s="142">
        <f t="shared" si="70"/>
        <v>38630.199999999997</v>
      </c>
      <c r="R304" s="142">
        <f t="shared" si="71"/>
        <v>0</v>
      </c>
      <c r="S304" s="142">
        <f t="shared" si="72"/>
        <v>0</v>
      </c>
      <c r="T304" s="142">
        <f t="shared" si="73"/>
        <v>0</v>
      </c>
      <c r="U304" s="60">
        <f t="shared" si="74"/>
        <v>38630.199999999997</v>
      </c>
    </row>
    <row r="305" spans="1:21" x14ac:dyDescent="0.2">
      <c r="A305" s="115"/>
      <c r="B305" s="139" t="s">
        <v>72</v>
      </c>
      <c r="C305" s="140" t="s">
        <v>804</v>
      </c>
      <c r="D305" s="141">
        <v>45946</v>
      </c>
      <c r="E305" s="141">
        <v>46066</v>
      </c>
      <c r="F305" s="57">
        <v>27339.72</v>
      </c>
      <c r="G305" s="58">
        <f t="shared" si="60"/>
        <v>44</v>
      </c>
      <c r="H305" s="142">
        <f t="shared" si="61"/>
        <v>0</v>
      </c>
      <c r="I305" s="142">
        <f t="shared" si="62"/>
        <v>0</v>
      </c>
      <c r="J305" s="143">
        <f t="shared" si="63"/>
        <v>0</v>
      </c>
      <c r="K305" s="143">
        <f t="shared" si="64"/>
        <v>0</v>
      </c>
      <c r="L305" s="142">
        <f t="shared" si="65"/>
        <v>0</v>
      </c>
      <c r="M305" s="142">
        <f t="shared" si="66"/>
        <v>0</v>
      </c>
      <c r="N305" s="142">
        <f t="shared" si="67"/>
        <v>0</v>
      </c>
      <c r="O305" s="59">
        <f t="shared" si="68"/>
        <v>0</v>
      </c>
      <c r="P305" s="142">
        <f t="shared" si="69"/>
        <v>0</v>
      </c>
      <c r="Q305" s="142">
        <f t="shared" si="70"/>
        <v>27339.72</v>
      </c>
      <c r="R305" s="142">
        <f t="shared" si="71"/>
        <v>0</v>
      </c>
      <c r="S305" s="142">
        <f t="shared" si="72"/>
        <v>0</v>
      </c>
      <c r="T305" s="142">
        <f t="shared" si="73"/>
        <v>0</v>
      </c>
      <c r="U305" s="60">
        <f t="shared" si="74"/>
        <v>27339.72</v>
      </c>
    </row>
    <row r="306" spans="1:21" x14ac:dyDescent="0.2">
      <c r="A306" s="115"/>
      <c r="B306" s="139" t="s">
        <v>72</v>
      </c>
      <c r="C306" s="140" t="s">
        <v>739</v>
      </c>
      <c r="D306" s="141">
        <v>45952</v>
      </c>
      <c r="E306" s="141">
        <v>46072</v>
      </c>
      <c r="F306" s="57">
        <v>5213</v>
      </c>
      <c r="G306" s="58">
        <f t="shared" si="60"/>
        <v>50</v>
      </c>
      <c r="H306" s="142">
        <f t="shared" si="61"/>
        <v>0</v>
      </c>
      <c r="I306" s="142">
        <f t="shared" si="62"/>
        <v>0</v>
      </c>
      <c r="J306" s="143">
        <f t="shared" si="63"/>
        <v>0</v>
      </c>
      <c r="K306" s="143">
        <f t="shared" si="64"/>
        <v>0</v>
      </c>
      <c r="L306" s="142">
        <f t="shared" si="65"/>
        <v>0</v>
      </c>
      <c r="M306" s="142">
        <f t="shared" si="66"/>
        <v>0</v>
      </c>
      <c r="N306" s="142">
        <f t="shared" si="67"/>
        <v>0</v>
      </c>
      <c r="O306" s="59">
        <f t="shared" si="68"/>
        <v>0</v>
      </c>
      <c r="P306" s="142">
        <f t="shared" si="69"/>
        <v>0</v>
      </c>
      <c r="Q306" s="142">
        <f t="shared" si="70"/>
        <v>5213</v>
      </c>
      <c r="R306" s="142">
        <f t="shared" si="71"/>
        <v>0</v>
      </c>
      <c r="S306" s="142">
        <f t="shared" si="72"/>
        <v>0</v>
      </c>
      <c r="T306" s="142">
        <f t="shared" si="73"/>
        <v>0</v>
      </c>
      <c r="U306" s="60">
        <f t="shared" si="74"/>
        <v>5213</v>
      </c>
    </row>
    <row r="307" spans="1:21" x14ac:dyDescent="0.2">
      <c r="A307" s="115"/>
      <c r="B307" s="139" t="s">
        <v>72</v>
      </c>
      <c r="C307" s="140" t="s">
        <v>868</v>
      </c>
      <c r="D307" s="141">
        <v>45965</v>
      </c>
      <c r="E307" s="141">
        <v>46085</v>
      </c>
      <c r="F307" s="57">
        <v>17500</v>
      </c>
      <c r="G307" s="58">
        <f t="shared" si="60"/>
        <v>63</v>
      </c>
      <c r="H307" s="142">
        <f t="shared" si="61"/>
        <v>0</v>
      </c>
      <c r="I307" s="142">
        <f t="shared" si="62"/>
        <v>0</v>
      </c>
      <c r="J307" s="143">
        <f t="shared" si="63"/>
        <v>0</v>
      </c>
      <c r="K307" s="143">
        <f t="shared" si="64"/>
        <v>0</v>
      </c>
      <c r="L307" s="142">
        <f t="shared" si="65"/>
        <v>0</v>
      </c>
      <c r="M307" s="142">
        <f t="shared" si="66"/>
        <v>0</v>
      </c>
      <c r="N307" s="142">
        <f t="shared" si="67"/>
        <v>0</v>
      </c>
      <c r="O307" s="59">
        <f t="shared" si="68"/>
        <v>0</v>
      </c>
      <c r="P307" s="142">
        <f t="shared" si="69"/>
        <v>0</v>
      </c>
      <c r="Q307" s="142">
        <f t="shared" si="70"/>
        <v>0</v>
      </c>
      <c r="R307" s="142">
        <f t="shared" si="71"/>
        <v>17500</v>
      </c>
      <c r="S307" s="142">
        <f t="shared" si="72"/>
        <v>0</v>
      </c>
      <c r="T307" s="142">
        <f t="shared" si="73"/>
        <v>0</v>
      </c>
      <c r="U307" s="60">
        <f t="shared" si="74"/>
        <v>17500</v>
      </c>
    </row>
    <row r="308" spans="1:21" x14ac:dyDescent="0.2">
      <c r="A308" s="115"/>
      <c r="B308" s="139" t="s">
        <v>72</v>
      </c>
      <c r="C308" s="140" t="s">
        <v>869</v>
      </c>
      <c r="D308" s="141">
        <v>45987</v>
      </c>
      <c r="E308" s="141">
        <v>46107</v>
      </c>
      <c r="F308" s="57">
        <v>38630.199999999997</v>
      </c>
      <c r="G308" s="58">
        <f t="shared" si="60"/>
        <v>85</v>
      </c>
      <c r="H308" s="142">
        <f t="shared" si="61"/>
        <v>0</v>
      </c>
      <c r="I308" s="142">
        <f t="shared" si="62"/>
        <v>0</v>
      </c>
      <c r="J308" s="143">
        <f t="shared" si="63"/>
        <v>0</v>
      </c>
      <c r="K308" s="143">
        <f t="shared" si="64"/>
        <v>0</v>
      </c>
      <c r="L308" s="142">
        <f t="shared" si="65"/>
        <v>0</v>
      </c>
      <c r="M308" s="142">
        <f t="shared" si="66"/>
        <v>0</v>
      </c>
      <c r="N308" s="142">
        <f t="shared" si="67"/>
        <v>0</v>
      </c>
      <c r="O308" s="59">
        <f t="shared" si="68"/>
        <v>0</v>
      </c>
      <c r="P308" s="142">
        <f t="shared" si="69"/>
        <v>0</v>
      </c>
      <c r="Q308" s="142">
        <f t="shared" si="70"/>
        <v>0</v>
      </c>
      <c r="R308" s="142">
        <f t="shared" si="71"/>
        <v>38630.199999999997</v>
      </c>
      <c r="S308" s="142">
        <f t="shared" si="72"/>
        <v>0</v>
      </c>
      <c r="T308" s="142">
        <f t="shared" si="73"/>
        <v>0</v>
      </c>
      <c r="U308" s="60">
        <f t="shared" si="74"/>
        <v>38630.199999999997</v>
      </c>
    </row>
    <row r="309" spans="1:21" x14ac:dyDescent="0.2">
      <c r="A309" s="115"/>
      <c r="B309" s="139" t="s">
        <v>72</v>
      </c>
      <c r="C309" s="140" t="s">
        <v>870</v>
      </c>
      <c r="D309" s="141">
        <v>45987</v>
      </c>
      <c r="E309" s="141">
        <v>46107</v>
      </c>
      <c r="F309" s="57">
        <v>12600</v>
      </c>
      <c r="G309" s="58">
        <f t="shared" si="60"/>
        <v>85</v>
      </c>
      <c r="H309" s="142">
        <f t="shared" si="61"/>
        <v>0</v>
      </c>
      <c r="I309" s="142">
        <f t="shared" si="62"/>
        <v>0</v>
      </c>
      <c r="J309" s="143">
        <f t="shared" si="63"/>
        <v>0</v>
      </c>
      <c r="K309" s="143">
        <f t="shared" si="64"/>
        <v>0</v>
      </c>
      <c r="L309" s="142">
        <f t="shared" si="65"/>
        <v>0</v>
      </c>
      <c r="M309" s="142">
        <f t="shared" si="66"/>
        <v>0</v>
      </c>
      <c r="N309" s="142">
        <f t="shared" si="67"/>
        <v>0</v>
      </c>
      <c r="O309" s="59">
        <f t="shared" si="68"/>
        <v>0</v>
      </c>
      <c r="P309" s="142">
        <f t="shared" si="69"/>
        <v>0</v>
      </c>
      <c r="Q309" s="142">
        <f t="shared" si="70"/>
        <v>0</v>
      </c>
      <c r="R309" s="142">
        <f t="shared" si="71"/>
        <v>12600</v>
      </c>
      <c r="S309" s="142">
        <f t="shared" si="72"/>
        <v>0</v>
      </c>
      <c r="T309" s="142">
        <f t="shared" si="73"/>
        <v>0</v>
      </c>
      <c r="U309" s="60">
        <f t="shared" si="74"/>
        <v>12600</v>
      </c>
    </row>
    <row r="310" spans="1:21" x14ac:dyDescent="0.2">
      <c r="A310" s="115"/>
      <c r="B310" s="139" t="s">
        <v>72</v>
      </c>
      <c r="C310" s="140" t="s">
        <v>871</v>
      </c>
      <c r="D310" s="141">
        <v>45987</v>
      </c>
      <c r="E310" s="141">
        <v>46107</v>
      </c>
      <c r="F310" s="57">
        <v>38630.199999999997</v>
      </c>
      <c r="G310" s="58">
        <f t="shared" si="60"/>
        <v>85</v>
      </c>
      <c r="H310" s="142">
        <f t="shared" si="61"/>
        <v>0</v>
      </c>
      <c r="I310" s="142">
        <f t="shared" si="62"/>
        <v>0</v>
      </c>
      <c r="J310" s="143">
        <f t="shared" si="63"/>
        <v>0</v>
      </c>
      <c r="K310" s="143">
        <f t="shared" si="64"/>
        <v>0</v>
      </c>
      <c r="L310" s="142">
        <f t="shared" si="65"/>
        <v>0</v>
      </c>
      <c r="M310" s="142">
        <f t="shared" si="66"/>
        <v>0</v>
      </c>
      <c r="N310" s="142">
        <f t="shared" si="67"/>
        <v>0</v>
      </c>
      <c r="O310" s="59">
        <f t="shared" si="68"/>
        <v>0</v>
      </c>
      <c r="P310" s="142">
        <f t="shared" si="69"/>
        <v>0</v>
      </c>
      <c r="Q310" s="142">
        <f t="shared" si="70"/>
        <v>0</v>
      </c>
      <c r="R310" s="142">
        <f t="shared" si="71"/>
        <v>38630.199999999997</v>
      </c>
      <c r="S310" s="142">
        <f t="shared" si="72"/>
        <v>0</v>
      </c>
      <c r="T310" s="142">
        <f t="shared" si="73"/>
        <v>0</v>
      </c>
      <c r="U310" s="60">
        <f t="shared" si="74"/>
        <v>38630.199999999997</v>
      </c>
    </row>
    <row r="311" spans="1:21" x14ac:dyDescent="0.2">
      <c r="A311" s="115"/>
      <c r="B311" s="139" t="s">
        <v>72</v>
      </c>
      <c r="C311" s="140" t="s">
        <v>872</v>
      </c>
      <c r="D311" s="141">
        <v>45989</v>
      </c>
      <c r="E311" s="141">
        <v>46109</v>
      </c>
      <c r="F311" s="57">
        <v>68850</v>
      </c>
      <c r="G311" s="58">
        <f t="shared" si="60"/>
        <v>87</v>
      </c>
      <c r="H311" s="142">
        <f t="shared" si="61"/>
        <v>0</v>
      </c>
      <c r="I311" s="142">
        <f t="shared" si="62"/>
        <v>0</v>
      </c>
      <c r="J311" s="143">
        <f t="shared" si="63"/>
        <v>0</v>
      </c>
      <c r="K311" s="143">
        <f t="shared" si="64"/>
        <v>0</v>
      </c>
      <c r="L311" s="142">
        <f t="shared" si="65"/>
        <v>0</v>
      </c>
      <c r="M311" s="142">
        <f t="shared" si="66"/>
        <v>0</v>
      </c>
      <c r="N311" s="142">
        <f t="shared" si="67"/>
        <v>0</v>
      </c>
      <c r="O311" s="59">
        <f t="shared" si="68"/>
        <v>0</v>
      </c>
      <c r="P311" s="142">
        <f t="shared" si="69"/>
        <v>0</v>
      </c>
      <c r="Q311" s="142">
        <f t="shared" si="70"/>
        <v>0</v>
      </c>
      <c r="R311" s="142">
        <f t="shared" si="71"/>
        <v>68850</v>
      </c>
      <c r="S311" s="142">
        <f t="shared" si="72"/>
        <v>0</v>
      </c>
      <c r="T311" s="142">
        <f t="shared" si="73"/>
        <v>0</v>
      </c>
      <c r="U311" s="60">
        <f t="shared" si="74"/>
        <v>68850</v>
      </c>
    </row>
    <row r="312" spans="1:21" x14ac:dyDescent="0.2">
      <c r="A312" s="115"/>
      <c r="B312" s="139" t="s">
        <v>305</v>
      </c>
      <c r="C312" s="140" t="s">
        <v>833</v>
      </c>
      <c r="D312" s="141">
        <v>45960</v>
      </c>
      <c r="E312" s="141">
        <v>46050</v>
      </c>
      <c r="F312" s="57">
        <v>55467.43</v>
      </c>
      <c r="G312" s="58">
        <f t="shared" si="60"/>
        <v>28</v>
      </c>
      <c r="H312" s="142">
        <f t="shared" si="61"/>
        <v>0</v>
      </c>
      <c r="I312" s="142">
        <f t="shared" si="62"/>
        <v>0</v>
      </c>
      <c r="J312" s="143">
        <f t="shared" si="63"/>
        <v>0</v>
      </c>
      <c r="K312" s="143">
        <f t="shared" si="64"/>
        <v>0</v>
      </c>
      <c r="L312" s="142">
        <f t="shared" si="65"/>
        <v>0</v>
      </c>
      <c r="M312" s="142">
        <f t="shared" si="66"/>
        <v>0</v>
      </c>
      <c r="N312" s="142">
        <f t="shared" si="67"/>
        <v>0</v>
      </c>
      <c r="O312" s="59">
        <f t="shared" si="68"/>
        <v>0</v>
      </c>
      <c r="P312" s="142">
        <f t="shared" si="69"/>
        <v>55467.43</v>
      </c>
      <c r="Q312" s="142">
        <f t="shared" si="70"/>
        <v>0</v>
      </c>
      <c r="R312" s="142">
        <f t="shared" si="71"/>
        <v>0</v>
      </c>
      <c r="S312" s="142">
        <f t="shared" si="72"/>
        <v>0</v>
      </c>
      <c r="T312" s="142">
        <f t="shared" si="73"/>
        <v>0</v>
      </c>
      <c r="U312" s="60">
        <f t="shared" si="74"/>
        <v>55467.43</v>
      </c>
    </row>
    <row r="313" spans="1:21" x14ac:dyDescent="0.2">
      <c r="A313" s="115"/>
      <c r="B313" s="139" t="s">
        <v>305</v>
      </c>
      <c r="C313" s="140" t="s">
        <v>873</v>
      </c>
      <c r="D313" s="141">
        <v>45966</v>
      </c>
      <c r="E313" s="141">
        <v>46056</v>
      </c>
      <c r="F313" s="57">
        <v>480.76</v>
      </c>
      <c r="G313" s="58">
        <f t="shared" si="60"/>
        <v>34</v>
      </c>
      <c r="H313" s="142">
        <f t="shared" si="61"/>
        <v>0</v>
      </c>
      <c r="I313" s="142">
        <f t="shared" si="62"/>
        <v>0</v>
      </c>
      <c r="J313" s="143">
        <f t="shared" si="63"/>
        <v>0</v>
      </c>
      <c r="K313" s="143">
        <f t="shared" si="64"/>
        <v>0</v>
      </c>
      <c r="L313" s="142">
        <f t="shared" si="65"/>
        <v>0</v>
      </c>
      <c r="M313" s="142">
        <f t="shared" si="66"/>
        <v>0</v>
      </c>
      <c r="N313" s="142">
        <f t="shared" si="67"/>
        <v>0</v>
      </c>
      <c r="O313" s="59">
        <f t="shared" si="68"/>
        <v>0</v>
      </c>
      <c r="P313" s="142">
        <f t="shared" si="69"/>
        <v>0</v>
      </c>
      <c r="Q313" s="142">
        <f t="shared" si="70"/>
        <v>480.76</v>
      </c>
      <c r="R313" s="142">
        <f t="shared" si="71"/>
        <v>0</v>
      </c>
      <c r="S313" s="142">
        <f t="shared" si="72"/>
        <v>0</v>
      </c>
      <c r="T313" s="142">
        <f t="shared" si="73"/>
        <v>0</v>
      </c>
      <c r="U313" s="60">
        <f t="shared" si="74"/>
        <v>480.76</v>
      </c>
    </row>
    <row r="314" spans="1:21" x14ac:dyDescent="0.2">
      <c r="A314" s="115"/>
      <c r="B314" s="139" t="s">
        <v>305</v>
      </c>
      <c r="C314" s="140" t="s">
        <v>874</v>
      </c>
      <c r="D314" s="141">
        <v>45966</v>
      </c>
      <c r="E314" s="141">
        <v>46056</v>
      </c>
      <c r="F314" s="57">
        <v>42308.56</v>
      </c>
      <c r="G314" s="58">
        <f t="shared" si="60"/>
        <v>34</v>
      </c>
      <c r="H314" s="142">
        <f t="shared" si="61"/>
        <v>0</v>
      </c>
      <c r="I314" s="142">
        <f t="shared" si="62"/>
        <v>0</v>
      </c>
      <c r="J314" s="143">
        <f t="shared" si="63"/>
        <v>0</v>
      </c>
      <c r="K314" s="143">
        <f t="shared" si="64"/>
        <v>0</v>
      </c>
      <c r="L314" s="142">
        <f t="shared" si="65"/>
        <v>0</v>
      </c>
      <c r="M314" s="142">
        <f t="shared" si="66"/>
        <v>0</v>
      </c>
      <c r="N314" s="142">
        <f t="shared" si="67"/>
        <v>0</v>
      </c>
      <c r="O314" s="59">
        <f t="shared" si="68"/>
        <v>0</v>
      </c>
      <c r="P314" s="142">
        <f t="shared" si="69"/>
        <v>0</v>
      </c>
      <c r="Q314" s="142">
        <f t="shared" si="70"/>
        <v>42308.56</v>
      </c>
      <c r="R314" s="142">
        <f t="shared" si="71"/>
        <v>0</v>
      </c>
      <c r="S314" s="142">
        <f t="shared" si="72"/>
        <v>0</v>
      </c>
      <c r="T314" s="142">
        <f t="shared" si="73"/>
        <v>0</v>
      </c>
      <c r="U314" s="60">
        <f t="shared" si="74"/>
        <v>42308.56</v>
      </c>
    </row>
    <row r="315" spans="1:21" x14ac:dyDescent="0.2">
      <c r="A315" s="115"/>
      <c r="B315" s="139" t="s">
        <v>305</v>
      </c>
      <c r="C315" s="140" t="s">
        <v>875</v>
      </c>
      <c r="D315" s="141">
        <v>45988</v>
      </c>
      <c r="E315" s="141">
        <v>46078</v>
      </c>
      <c r="F315" s="57">
        <v>30244.34</v>
      </c>
      <c r="G315" s="58">
        <f t="shared" si="60"/>
        <v>56</v>
      </c>
      <c r="H315" s="142">
        <f t="shared" si="61"/>
        <v>0</v>
      </c>
      <c r="I315" s="142">
        <f t="shared" si="62"/>
        <v>0</v>
      </c>
      <c r="J315" s="143">
        <f t="shared" si="63"/>
        <v>0</v>
      </c>
      <c r="K315" s="143">
        <f t="shared" si="64"/>
        <v>0</v>
      </c>
      <c r="L315" s="142">
        <f t="shared" si="65"/>
        <v>0</v>
      </c>
      <c r="M315" s="142">
        <f t="shared" si="66"/>
        <v>0</v>
      </c>
      <c r="N315" s="142">
        <f t="shared" si="67"/>
        <v>0</v>
      </c>
      <c r="O315" s="59">
        <f t="shared" si="68"/>
        <v>0</v>
      </c>
      <c r="P315" s="142">
        <f t="shared" si="69"/>
        <v>0</v>
      </c>
      <c r="Q315" s="142">
        <f t="shared" si="70"/>
        <v>30244.34</v>
      </c>
      <c r="R315" s="142">
        <f t="shared" si="71"/>
        <v>0</v>
      </c>
      <c r="S315" s="142">
        <f t="shared" si="72"/>
        <v>0</v>
      </c>
      <c r="T315" s="142">
        <f t="shared" si="73"/>
        <v>0</v>
      </c>
      <c r="U315" s="60">
        <f t="shared" si="74"/>
        <v>30244.34</v>
      </c>
    </row>
    <row r="316" spans="1:21" x14ac:dyDescent="0.2">
      <c r="A316" s="115"/>
      <c r="B316" s="139" t="s">
        <v>305</v>
      </c>
      <c r="C316" s="140" t="s">
        <v>952</v>
      </c>
      <c r="D316" s="141">
        <v>46021</v>
      </c>
      <c r="E316" s="141">
        <v>46111</v>
      </c>
      <c r="F316" s="57">
        <v>42922.45</v>
      </c>
      <c r="G316" s="58">
        <f t="shared" si="60"/>
        <v>89</v>
      </c>
      <c r="H316" s="142">
        <f t="shared" si="61"/>
        <v>0</v>
      </c>
      <c r="I316" s="142">
        <f t="shared" si="62"/>
        <v>0</v>
      </c>
      <c r="J316" s="143">
        <f t="shared" si="63"/>
        <v>0</v>
      </c>
      <c r="K316" s="143">
        <f t="shared" si="64"/>
        <v>0</v>
      </c>
      <c r="L316" s="142">
        <f t="shared" si="65"/>
        <v>0</v>
      </c>
      <c r="M316" s="142">
        <f t="shared" si="66"/>
        <v>0</v>
      </c>
      <c r="N316" s="142">
        <f t="shared" si="67"/>
        <v>0</v>
      </c>
      <c r="O316" s="59">
        <f t="shared" si="68"/>
        <v>0</v>
      </c>
      <c r="P316" s="142">
        <f t="shared" si="69"/>
        <v>0</v>
      </c>
      <c r="Q316" s="142">
        <f t="shared" si="70"/>
        <v>0</v>
      </c>
      <c r="R316" s="142">
        <f t="shared" si="71"/>
        <v>42922.45</v>
      </c>
      <c r="S316" s="142">
        <f t="shared" si="72"/>
        <v>0</v>
      </c>
      <c r="T316" s="142">
        <f t="shared" si="73"/>
        <v>0</v>
      </c>
      <c r="U316" s="60">
        <f t="shared" si="74"/>
        <v>42922.45</v>
      </c>
    </row>
    <row r="317" spans="1:21" x14ac:dyDescent="0.2">
      <c r="A317" s="115"/>
      <c r="B317" s="139" t="s">
        <v>305</v>
      </c>
      <c r="C317" s="140" t="s">
        <v>953</v>
      </c>
      <c r="D317" s="141">
        <v>46021</v>
      </c>
      <c r="E317" s="141">
        <v>46111</v>
      </c>
      <c r="F317" s="57">
        <v>42308.56</v>
      </c>
      <c r="G317" s="58">
        <f t="shared" si="60"/>
        <v>89</v>
      </c>
      <c r="H317" s="142">
        <f t="shared" si="61"/>
        <v>0</v>
      </c>
      <c r="I317" s="142">
        <f t="shared" si="62"/>
        <v>0</v>
      </c>
      <c r="J317" s="143">
        <f t="shared" si="63"/>
        <v>0</v>
      </c>
      <c r="K317" s="143">
        <f t="shared" si="64"/>
        <v>0</v>
      </c>
      <c r="L317" s="142">
        <f t="shared" si="65"/>
        <v>0</v>
      </c>
      <c r="M317" s="142">
        <f t="shared" si="66"/>
        <v>0</v>
      </c>
      <c r="N317" s="142">
        <f t="shared" si="67"/>
        <v>0</v>
      </c>
      <c r="O317" s="59">
        <f t="shared" si="68"/>
        <v>0</v>
      </c>
      <c r="P317" s="142">
        <f t="shared" si="69"/>
        <v>0</v>
      </c>
      <c r="Q317" s="142">
        <f t="shared" si="70"/>
        <v>0</v>
      </c>
      <c r="R317" s="142">
        <f t="shared" si="71"/>
        <v>42308.56</v>
      </c>
      <c r="S317" s="142">
        <f t="shared" si="72"/>
        <v>0</v>
      </c>
      <c r="T317" s="142">
        <f t="shared" si="73"/>
        <v>0</v>
      </c>
      <c r="U317" s="60">
        <f t="shared" si="74"/>
        <v>42308.56</v>
      </c>
    </row>
    <row r="318" spans="1:21" x14ac:dyDescent="0.2">
      <c r="A318" s="115"/>
      <c r="B318" s="139" t="s">
        <v>305</v>
      </c>
      <c r="C318" s="140" t="s">
        <v>954</v>
      </c>
      <c r="D318" s="141">
        <v>46021</v>
      </c>
      <c r="E318" s="141">
        <v>46111</v>
      </c>
      <c r="F318" s="57">
        <v>42308.56</v>
      </c>
      <c r="G318" s="58">
        <f t="shared" si="60"/>
        <v>89</v>
      </c>
      <c r="H318" s="142">
        <f t="shared" si="61"/>
        <v>0</v>
      </c>
      <c r="I318" s="142">
        <f t="shared" si="62"/>
        <v>0</v>
      </c>
      <c r="J318" s="143">
        <f t="shared" si="63"/>
        <v>0</v>
      </c>
      <c r="K318" s="143">
        <f t="shared" si="64"/>
        <v>0</v>
      </c>
      <c r="L318" s="142">
        <f t="shared" si="65"/>
        <v>0</v>
      </c>
      <c r="M318" s="142">
        <f t="shared" si="66"/>
        <v>0</v>
      </c>
      <c r="N318" s="142">
        <f t="shared" si="67"/>
        <v>0</v>
      </c>
      <c r="O318" s="59">
        <f t="shared" si="68"/>
        <v>0</v>
      </c>
      <c r="P318" s="142">
        <f t="shared" si="69"/>
        <v>0</v>
      </c>
      <c r="Q318" s="142">
        <f t="shared" si="70"/>
        <v>0</v>
      </c>
      <c r="R318" s="142">
        <f t="shared" si="71"/>
        <v>42308.56</v>
      </c>
      <c r="S318" s="142">
        <f t="shared" si="72"/>
        <v>0</v>
      </c>
      <c r="T318" s="142">
        <f t="shared" si="73"/>
        <v>0</v>
      </c>
      <c r="U318" s="60">
        <f t="shared" si="74"/>
        <v>42308.56</v>
      </c>
    </row>
    <row r="319" spans="1:21" x14ac:dyDescent="0.2">
      <c r="A319" s="115"/>
      <c r="B319" s="139" t="s">
        <v>876</v>
      </c>
      <c r="C319" s="140" t="s">
        <v>877</v>
      </c>
      <c r="D319" s="141">
        <v>45967</v>
      </c>
      <c r="E319" s="141">
        <v>45997</v>
      </c>
      <c r="F319" s="57">
        <v>31613.34</v>
      </c>
      <c r="G319" s="58">
        <f t="shared" si="60"/>
        <v>-25</v>
      </c>
      <c r="H319" s="142">
        <f t="shared" si="61"/>
        <v>0</v>
      </c>
      <c r="I319" s="142">
        <f t="shared" si="62"/>
        <v>0</v>
      </c>
      <c r="J319" s="143">
        <f t="shared" si="63"/>
        <v>0</v>
      </c>
      <c r="K319" s="143">
        <f t="shared" si="64"/>
        <v>0</v>
      </c>
      <c r="L319" s="142">
        <f t="shared" si="65"/>
        <v>0</v>
      </c>
      <c r="M319" s="142">
        <f t="shared" si="66"/>
        <v>0</v>
      </c>
      <c r="N319" s="142">
        <f t="shared" si="67"/>
        <v>31613.34</v>
      </c>
      <c r="O319" s="59">
        <f t="shared" si="68"/>
        <v>31613.34</v>
      </c>
      <c r="P319" s="142">
        <f t="shared" si="69"/>
        <v>0</v>
      </c>
      <c r="Q319" s="142">
        <f t="shared" si="70"/>
        <v>0</v>
      </c>
      <c r="R319" s="142">
        <f t="shared" si="71"/>
        <v>0</v>
      </c>
      <c r="S319" s="142">
        <f t="shared" si="72"/>
        <v>0</v>
      </c>
      <c r="T319" s="142">
        <f t="shared" si="73"/>
        <v>0</v>
      </c>
      <c r="U319" s="60">
        <f t="shared" si="74"/>
        <v>0</v>
      </c>
    </row>
    <row r="320" spans="1:21" x14ac:dyDescent="0.2">
      <c r="A320" s="115"/>
      <c r="B320" s="139" t="s">
        <v>781</v>
      </c>
      <c r="C320" s="140" t="s">
        <v>782</v>
      </c>
      <c r="D320" s="141">
        <v>45954</v>
      </c>
      <c r="E320" s="141">
        <v>46044</v>
      </c>
      <c r="F320" s="57">
        <v>14240.38</v>
      </c>
      <c r="G320" s="58">
        <f t="shared" si="60"/>
        <v>22</v>
      </c>
      <c r="H320" s="142">
        <f t="shared" si="61"/>
        <v>0</v>
      </c>
      <c r="I320" s="142">
        <f t="shared" si="62"/>
        <v>0</v>
      </c>
      <c r="J320" s="143">
        <f t="shared" si="63"/>
        <v>0</v>
      </c>
      <c r="K320" s="143">
        <f t="shared" si="64"/>
        <v>0</v>
      </c>
      <c r="L320" s="142">
        <f t="shared" si="65"/>
        <v>0</v>
      </c>
      <c r="M320" s="142">
        <f t="shared" si="66"/>
        <v>0</v>
      </c>
      <c r="N320" s="142">
        <f t="shared" si="67"/>
        <v>0</v>
      </c>
      <c r="O320" s="59">
        <f t="shared" si="68"/>
        <v>0</v>
      </c>
      <c r="P320" s="142">
        <f t="shared" si="69"/>
        <v>14240.38</v>
      </c>
      <c r="Q320" s="142">
        <f t="shared" si="70"/>
        <v>0</v>
      </c>
      <c r="R320" s="142">
        <f t="shared" si="71"/>
        <v>0</v>
      </c>
      <c r="S320" s="142">
        <f t="shared" si="72"/>
        <v>0</v>
      </c>
      <c r="T320" s="142">
        <f t="shared" si="73"/>
        <v>0</v>
      </c>
      <c r="U320" s="60">
        <f t="shared" si="74"/>
        <v>14240.38</v>
      </c>
    </row>
    <row r="321" spans="1:21" x14ac:dyDescent="0.2">
      <c r="A321" s="115"/>
      <c r="B321" s="139" t="s">
        <v>781</v>
      </c>
      <c r="C321" s="140" t="s">
        <v>830</v>
      </c>
      <c r="D321" s="141">
        <v>45961</v>
      </c>
      <c r="E321" s="141">
        <v>46051</v>
      </c>
      <c r="F321" s="57">
        <v>43403.21</v>
      </c>
      <c r="G321" s="58">
        <f t="shared" si="60"/>
        <v>29</v>
      </c>
      <c r="H321" s="142">
        <f t="shared" si="61"/>
        <v>0</v>
      </c>
      <c r="I321" s="142">
        <f t="shared" si="62"/>
        <v>0</v>
      </c>
      <c r="J321" s="143">
        <f t="shared" si="63"/>
        <v>0</v>
      </c>
      <c r="K321" s="143">
        <f t="shared" si="64"/>
        <v>0</v>
      </c>
      <c r="L321" s="142">
        <f t="shared" si="65"/>
        <v>0</v>
      </c>
      <c r="M321" s="142">
        <f t="shared" si="66"/>
        <v>0</v>
      </c>
      <c r="N321" s="142">
        <f t="shared" si="67"/>
        <v>0</v>
      </c>
      <c r="O321" s="59">
        <f t="shared" si="68"/>
        <v>0</v>
      </c>
      <c r="P321" s="142">
        <f t="shared" si="69"/>
        <v>43403.21</v>
      </c>
      <c r="Q321" s="142">
        <f t="shared" si="70"/>
        <v>0</v>
      </c>
      <c r="R321" s="142">
        <f t="shared" si="71"/>
        <v>0</v>
      </c>
      <c r="S321" s="142">
        <f t="shared" si="72"/>
        <v>0</v>
      </c>
      <c r="T321" s="142">
        <f t="shared" si="73"/>
        <v>0</v>
      </c>
      <c r="U321" s="60">
        <f t="shared" si="74"/>
        <v>43403.21</v>
      </c>
    </row>
    <row r="322" spans="1:21" x14ac:dyDescent="0.2">
      <c r="A322" s="115"/>
      <c r="B322" s="139" t="s">
        <v>781</v>
      </c>
      <c r="C322" s="140" t="s">
        <v>783</v>
      </c>
      <c r="D322" s="141">
        <v>45961</v>
      </c>
      <c r="E322" s="141">
        <v>46051</v>
      </c>
      <c r="F322" s="57">
        <v>14435.83</v>
      </c>
      <c r="G322" s="58">
        <f t="shared" si="60"/>
        <v>29</v>
      </c>
      <c r="H322" s="142">
        <f t="shared" si="61"/>
        <v>0</v>
      </c>
      <c r="I322" s="142">
        <f t="shared" si="62"/>
        <v>0</v>
      </c>
      <c r="J322" s="143">
        <f t="shared" si="63"/>
        <v>0</v>
      </c>
      <c r="K322" s="143">
        <f t="shared" si="64"/>
        <v>0</v>
      </c>
      <c r="L322" s="142">
        <f t="shared" si="65"/>
        <v>0</v>
      </c>
      <c r="M322" s="142">
        <f t="shared" si="66"/>
        <v>0</v>
      </c>
      <c r="N322" s="142">
        <f t="shared" si="67"/>
        <v>0</v>
      </c>
      <c r="O322" s="59">
        <f t="shared" si="68"/>
        <v>0</v>
      </c>
      <c r="P322" s="142">
        <f t="shared" si="69"/>
        <v>14435.83</v>
      </c>
      <c r="Q322" s="142">
        <f t="shared" si="70"/>
        <v>0</v>
      </c>
      <c r="R322" s="142">
        <f t="shared" si="71"/>
        <v>0</v>
      </c>
      <c r="S322" s="142">
        <f t="shared" si="72"/>
        <v>0</v>
      </c>
      <c r="T322" s="142">
        <f t="shared" si="73"/>
        <v>0</v>
      </c>
      <c r="U322" s="60">
        <f t="shared" si="74"/>
        <v>14435.83</v>
      </c>
    </row>
    <row r="323" spans="1:21" x14ac:dyDescent="0.2">
      <c r="A323" s="115"/>
      <c r="B323" s="139" t="s">
        <v>781</v>
      </c>
      <c r="C323" s="140" t="s">
        <v>878</v>
      </c>
      <c r="D323" s="141">
        <v>45968</v>
      </c>
      <c r="E323" s="141">
        <v>46058</v>
      </c>
      <c r="F323" s="57">
        <v>43508.800000000003</v>
      </c>
      <c r="G323" s="58">
        <f t="shared" si="60"/>
        <v>36</v>
      </c>
      <c r="H323" s="142">
        <f t="shared" si="61"/>
        <v>0</v>
      </c>
      <c r="I323" s="142">
        <f t="shared" si="62"/>
        <v>0</v>
      </c>
      <c r="J323" s="143">
        <f t="shared" si="63"/>
        <v>0</v>
      </c>
      <c r="K323" s="143">
        <f t="shared" si="64"/>
        <v>0</v>
      </c>
      <c r="L323" s="142">
        <f t="shared" si="65"/>
        <v>0</v>
      </c>
      <c r="M323" s="142">
        <f t="shared" si="66"/>
        <v>0</v>
      </c>
      <c r="N323" s="142">
        <f t="shared" si="67"/>
        <v>0</v>
      </c>
      <c r="O323" s="59">
        <f t="shared" si="68"/>
        <v>0</v>
      </c>
      <c r="P323" s="142">
        <f t="shared" si="69"/>
        <v>0</v>
      </c>
      <c r="Q323" s="142">
        <f t="shared" si="70"/>
        <v>43508.800000000003</v>
      </c>
      <c r="R323" s="142">
        <f t="shared" si="71"/>
        <v>0</v>
      </c>
      <c r="S323" s="142">
        <f t="shared" si="72"/>
        <v>0</v>
      </c>
      <c r="T323" s="142">
        <f t="shared" si="73"/>
        <v>0</v>
      </c>
      <c r="U323" s="60">
        <f t="shared" si="74"/>
        <v>43508.800000000003</v>
      </c>
    </row>
    <row r="324" spans="1:21" x14ac:dyDescent="0.2">
      <c r="A324" s="115"/>
      <c r="B324" s="139" t="s">
        <v>781</v>
      </c>
      <c r="C324" s="140" t="s">
        <v>879</v>
      </c>
      <c r="D324" s="141">
        <v>45968</v>
      </c>
      <c r="E324" s="141">
        <v>46058</v>
      </c>
      <c r="F324" s="57">
        <v>43508.800000000003</v>
      </c>
      <c r="G324" s="58">
        <f t="shared" si="60"/>
        <v>36</v>
      </c>
      <c r="H324" s="142">
        <f t="shared" si="61"/>
        <v>0</v>
      </c>
      <c r="I324" s="142">
        <f t="shared" si="62"/>
        <v>0</v>
      </c>
      <c r="J324" s="143">
        <f t="shared" si="63"/>
        <v>0</v>
      </c>
      <c r="K324" s="143">
        <f t="shared" si="64"/>
        <v>0</v>
      </c>
      <c r="L324" s="142">
        <f t="shared" si="65"/>
        <v>0</v>
      </c>
      <c r="M324" s="142">
        <f t="shared" si="66"/>
        <v>0</v>
      </c>
      <c r="N324" s="142">
        <f t="shared" si="67"/>
        <v>0</v>
      </c>
      <c r="O324" s="59">
        <f t="shared" si="68"/>
        <v>0</v>
      </c>
      <c r="P324" s="142">
        <f t="shared" si="69"/>
        <v>0</v>
      </c>
      <c r="Q324" s="142">
        <f t="shared" si="70"/>
        <v>43508.800000000003</v>
      </c>
      <c r="R324" s="142">
        <f t="shared" si="71"/>
        <v>0</v>
      </c>
      <c r="S324" s="142">
        <f t="shared" si="72"/>
        <v>0</v>
      </c>
      <c r="T324" s="142">
        <f t="shared" si="73"/>
        <v>0</v>
      </c>
      <c r="U324" s="60">
        <f t="shared" si="74"/>
        <v>43508.800000000003</v>
      </c>
    </row>
    <row r="325" spans="1:21" x14ac:dyDescent="0.2">
      <c r="A325" s="115"/>
      <c r="B325" s="139" t="s">
        <v>781</v>
      </c>
      <c r="C325" s="140" t="s">
        <v>880</v>
      </c>
      <c r="D325" s="141">
        <v>45968</v>
      </c>
      <c r="E325" s="141">
        <v>46058</v>
      </c>
      <c r="F325" s="57">
        <v>43508.800000000003</v>
      </c>
      <c r="G325" s="58">
        <f t="shared" si="60"/>
        <v>36</v>
      </c>
      <c r="H325" s="142">
        <f t="shared" si="61"/>
        <v>0</v>
      </c>
      <c r="I325" s="142">
        <f t="shared" si="62"/>
        <v>0</v>
      </c>
      <c r="J325" s="143">
        <f t="shared" si="63"/>
        <v>0</v>
      </c>
      <c r="K325" s="143">
        <f t="shared" si="64"/>
        <v>0</v>
      </c>
      <c r="L325" s="142">
        <f t="shared" si="65"/>
        <v>0</v>
      </c>
      <c r="M325" s="142">
        <f t="shared" si="66"/>
        <v>0</v>
      </c>
      <c r="N325" s="142">
        <f t="shared" si="67"/>
        <v>0</v>
      </c>
      <c r="O325" s="59">
        <f t="shared" si="68"/>
        <v>0</v>
      </c>
      <c r="P325" s="142">
        <f t="shared" si="69"/>
        <v>0</v>
      </c>
      <c r="Q325" s="142">
        <f t="shared" si="70"/>
        <v>43508.800000000003</v>
      </c>
      <c r="R325" s="142">
        <f t="shared" si="71"/>
        <v>0</v>
      </c>
      <c r="S325" s="142">
        <f t="shared" si="72"/>
        <v>0</v>
      </c>
      <c r="T325" s="142">
        <f t="shared" si="73"/>
        <v>0</v>
      </c>
      <c r="U325" s="60">
        <f t="shared" si="74"/>
        <v>43508.800000000003</v>
      </c>
    </row>
    <row r="326" spans="1:21" x14ac:dyDescent="0.2">
      <c r="A326" s="115"/>
      <c r="B326" s="139" t="s">
        <v>643</v>
      </c>
      <c r="C326" s="140" t="s">
        <v>644</v>
      </c>
      <c r="D326" s="141">
        <v>45917</v>
      </c>
      <c r="E326" s="141">
        <v>46037</v>
      </c>
      <c r="F326" s="57">
        <v>128000</v>
      </c>
      <c r="G326" s="58">
        <f t="shared" si="60"/>
        <v>15</v>
      </c>
      <c r="H326" s="142">
        <f t="shared" si="61"/>
        <v>0</v>
      </c>
      <c r="I326" s="142">
        <f t="shared" si="62"/>
        <v>0</v>
      </c>
      <c r="J326" s="143">
        <f t="shared" si="63"/>
        <v>0</v>
      </c>
      <c r="K326" s="143">
        <f t="shared" si="64"/>
        <v>0</v>
      </c>
      <c r="L326" s="142">
        <f t="shared" si="65"/>
        <v>0</v>
      </c>
      <c r="M326" s="142">
        <f t="shared" si="66"/>
        <v>0</v>
      </c>
      <c r="N326" s="142">
        <f t="shared" si="67"/>
        <v>0</v>
      </c>
      <c r="O326" s="59">
        <f t="shared" si="68"/>
        <v>0</v>
      </c>
      <c r="P326" s="142">
        <f t="shared" si="69"/>
        <v>128000</v>
      </c>
      <c r="Q326" s="142">
        <f t="shared" si="70"/>
        <v>0</v>
      </c>
      <c r="R326" s="142">
        <f t="shared" si="71"/>
        <v>0</v>
      </c>
      <c r="S326" s="142">
        <f t="shared" si="72"/>
        <v>0</v>
      </c>
      <c r="T326" s="142">
        <f t="shared" si="73"/>
        <v>0</v>
      </c>
      <c r="U326" s="60">
        <f t="shared" si="74"/>
        <v>128000</v>
      </c>
    </row>
    <row r="327" spans="1:21" x14ac:dyDescent="0.2">
      <c r="A327" s="115"/>
      <c r="B327" s="139" t="s">
        <v>643</v>
      </c>
      <c r="C327" s="140" t="s">
        <v>955</v>
      </c>
      <c r="D327" s="141">
        <v>46001</v>
      </c>
      <c r="E327" s="141">
        <v>46121</v>
      </c>
      <c r="F327" s="57">
        <v>97403.7</v>
      </c>
      <c r="G327" s="58">
        <f t="shared" ref="G327:G390" si="75">E327-$H$3</f>
        <v>99</v>
      </c>
      <c r="H327" s="142">
        <f t="shared" ref="H327:H390" si="76">IF(AND($G327&gt;=-8000,$G327&lt;=-181),$F327,0)</f>
        <v>0</v>
      </c>
      <c r="I327" s="142">
        <f t="shared" ref="I327:I390" si="77">IF(AND($G327&gt;=-180,$G327&lt;=-151),$F327,0)</f>
        <v>0</v>
      </c>
      <c r="J327" s="143">
        <f t="shared" ref="J327:J390" si="78">IF(AND($G327&gt;=-150,$G327&lt;=-121),$F327,0)</f>
        <v>0</v>
      </c>
      <c r="K327" s="143">
        <f t="shared" ref="K327:K390" si="79">IF(AND($G327&gt;=-120,$G327&lt;=-91),$F327,0)</f>
        <v>0</v>
      </c>
      <c r="L327" s="142">
        <f t="shared" ref="L327:L390" si="80">IF(AND($G327&gt;=-90,$G327&lt;=-61),$F327,0)</f>
        <v>0</v>
      </c>
      <c r="M327" s="142">
        <f t="shared" ref="M327:M390" si="81">IF(AND($G327&gt;=-60,$G327&lt;=-31),$F327,0)</f>
        <v>0</v>
      </c>
      <c r="N327" s="142">
        <f t="shared" ref="N327:N390" si="82">IF(AND($G327&gt;=-30,$G327&lt;=-1),$F327,0)</f>
        <v>0</v>
      </c>
      <c r="O327" s="59">
        <f t="shared" ref="O327:O390" si="83">SUM(H327:N327)</f>
        <v>0</v>
      </c>
      <c r="P327" s="142">
        <f t="shared" ref="P327:P390" si="84">IF(AND($G327&lt;=30,$G327&gt;=0),$F327,0)</f>
        <v>0</v>
      </c>
      <c r="Q327" s="142">
        <f t="shared" ref="Q327:Q390" si="85">IF(AND($G327&lt;=60,$G327&gt;=31),$F327,0)</f>
        <v>0</v>
      </c>
      <c r="R327" s="142">
        <f t="shared" ref="R327:R390" si="86">IF(AND($G327&lt;=90,$G327&gt;=61),$F327,0)</f>
        <v>0</v>
      </c>
      <c r="S327" s="142">
        <f t="shared" ref="S327:S390" si="87">IF(AND($G327&lt;=120,$G327&gt;=91),$F327,0)</f>
        <v>97403.7</v>
      </c>
      <c r="T327" s="142">
        <f t="shared" ref="T327:T390" si="88">IF(G327&gt;=121,F327,0)</f>
        <v>0</v>
      </c>
      <c r="U327" s="60">
        <f t="shared" ref="U327:U390" si="89">SUM(P327:T327)</f>
        <v>97403.7</v>
      </c>
    </row>
    <row r="328" spans="1:21" x14ac:dyDescent="0.2">
      <c r="A328" s="115"/>
      <c r="B328" s="139" t="s">
        <v>353</v>
      </c>
      <c r="C328" s="140" t="s">
        <v>200</v>
      </c>
      <c r="D328" s="141">
        <v>39805</v>
      </c>
      <c r="E328" s="141">
        <v>39895</v>
      </c>
      <c r="F328" s="57">
        <v>14600</v>
      </c>
      <c r="G328" s="58">
        <f t="shared" si="75"/>
        <v>-6127</v>
      </c>
      <c r="H328" s="142">
        <f t="shared" si="76"/>
        <v>14600</v>
      </c>
      <c r="I328" s="142">
        <f t="shared" si="77"/>
        <v>0</v>
      </c>
      <c r="J328" s="143">
        <f t="shared" si="78"/>
        <v>0</v>
      </c>
      <c r="K328" s="143">
        <f t="shared" si="79"/>
        <v>0</v>
      </c>
      <c r="L328" s="142">
        <f t="shared" si="80"/>
        <v>0</v>
      </c>
      <c r="M328" s="142">
        <f t="shared" si="81"/>
        <v>0</v>
      </c>
      <c r="N328" s="142">
        <f t="shared" si="82"/>
        <v>0</v>
      </c>
      <c r="O328" s="59">
        <f t="shared" si="83"/>
        <v>14600</v>
      </c>
      <c r="P328" s="142">
        <f t="shared" si="84"/>
        <v>0</v>
      </c>
      <c r="Q328" s="142">
        <f t="shared" si="85"/>
        <v>0</v>
      </c>
      <c r="R328" s="142">
        <f t="shared" si="86"/>
        <v>0</v>
      </c>
      <c r="S328" s="142">
        <f t="shared" si="87"/>
        <v>0</v>
      </c>
      <c r="T328" s="142">
        <f t="shared" si="88"/>
        <v>0</v>
      </c>
      <c r="U328" s="60">
        <f t="shared" si="89"/>
        <v>0</v>
      </c>
    </row>
    <row r="329" spans="1:21" x14ac:dyDescent="0.2">
      <c r="A329" s="115"/>
      <c r="B329" s="139" t="s">
        <v>353</v>
      </c>
      <c r="C329" s="140" t="s">
        <v>201</v>
      </c>
      <c r="D329" s="141">
        <v>39806</v>
      </c>
      <c r="E329" s="141">
        <v>39896</v>
      </c>
      <c r="F329" s="57">
        <v>7300</v>
      </c>
      <c r="G329" s="58">
        <f t="shared" si="75"/>
        <v>-6126</v>
      </c>
      <c r="H329" s="142">
        <f t="shared" si="76"/>
        <v>7300</v>
      </c>
      <c r="I329" s="142">
        <f t="shared" si="77"/>
        <v>0</v>
      </c>
      <c r="J329" s="143">
        <f t="shared" si="78"/>
        <v>0</v>
      </c>
      <c r="K329" s="143">
        <f t="shared" si="79"/>
        <v>0</v>
      </c>
      <c r="L329" s="142">
        <f t="shared" si="80"/>
        <v>0</v>
      </c>
      <c r="M329" s="142">
        <f t="shared" si="81"/>
        <v>0</v>
      </c>
      <c r="N329" s="142">
        <f t="shared" si="82"/>
        <v>0</v>
      </c>
      <c r="O329" s="59">
        <f t="shared" si="83"/>
        <v>7300</v>
      </c>
      <c r="P329" s="142">
        <f t="shared" si="84"/>
        <v>0</v>
      </c>
      <c r="Q329" s="142">
        <f t="shared" si="85"/>
        <v>0</v>
      </c>
      <c r="R329" s="142">
        <f t="shared" si="86"/>
        <v>0</v>
      </c>
      <c r="S329" s="142">
        <f t="shared" si="87"/>
        <v>0</v>
      </c>
      <c r="T329" s="142">
        <f t="shared" si="88"/>
        <v>0</v>
      </c>
      <c r="U329" s="60">
        <f t="shared" si="89"/>
        <v>0</v>
      </c>
    </row>
    <row r="330" spans="1:21" x14ac:dyDescent="0.2">
      <c r="A330" s="115"/>
      <c r="B330" s="139" t="s">
        <v>353</v>
      </c>
      <c r="C330" s="140" t="s">
        <v>199</v>
      </c>
      <c r="D330" s="141">
        <v>45462</v>
      </c>
      <c r="E330" s="141">
        <v>45582</v>
      </c>
      <c r="F330" s="57">
        <v>30724</v>
      </c>
      <c r="G330" s="58">
        <f t="shared" si="75"/>
        <v>-440</v>
      </c>
      <c r="H330" s="142">
        <f t="shared" si="76"/>
        <v>30724</v>
      </c>
      <c r="I330" s="142">
        <f t="shared" si="77"/>
        <v>0</v>
      </c>
      <c r="J330" s="143">
        <f t="shared" si="78"/>
        <v>0</v>
      </c>
      <c r="K330" s="143">
        <f t="shared" si="79"/>
        <v>0</v>
      </c>
      <c r="L330" s="142">
        <f t="shared" si="80"/>
        <v>0</v>
      </c>
      <c r="M330" s="142">
        <f t="shared" si="81"/>
        <v>0</v>
      </c>
      <c r="N330" s="142">
        <f t="shared" si="82"/>
        <v>0</v>
      </c>
      <c r="O330" s="59">
        <f t="shared" si="83"/>
        <v>30724</v>
      </c>
      <c r="P330" s="142">
        <f t="shared" si="84"/>
        <v>0</v>
      </c>
      <c r="Q330" s="142">
        <f t="shared" si="85"/>
        <v>0</v>
      </c>
      <c r="R330" s="142">
        <f t="shared" si="86"/>
        <v>0</v>
      </c>
      <c r="S330" s="142">
        <f t="shared" si="87"/>
        <v>0</v>
      </c>
      <c r="T330" s="142">
        <f t="shared" si="88"/>
        <v>0</v>
      </c>
      <c r="U330" s="60">
        <f t="shared" si="89"/>
        <v>0</v>
      </c>
    </row>
    <row r="331" spans="1:21" x14ac:dyDescent="0.2">
      <c r="A331" s="115"/>
      <c r="B331" s="139" t="s">
        <v>353</v>
      </c>
      <c r="C331" s="140" t="s">
        <v>645</v>
      </c>
      <c r="D331" s="141">
        <v>45905</v>
      </c>
      <c r="E331" s="141">
        <v>46034</v>
      </c>
      <c r="F331" s="57">
        <v>6820</v>
      </c>
      <c r="G331" s="58">
        <f t="shared" si="75"/>
        <v>12</v>
      </c>
      <c r="H331" s="142">
        <f t="shared" si="76"/>
        <v>0</v>
      </c>
      <c r="I331" s="142">
        <f t="shared" si="77"/>
        <v>0</v>
      </c>
      <c r="J331" s="143">
        <f t="shared" si="78"/>
        <v>0</v>
      </c>
      <c r="K331" s="143">
        <f t="shared" si="79"/>
        <v>0</v>
      </c>
      <c r="L331" s="142">
        <f t="shared" si="80"/>
        <v>0</v>
      </c>
      <c r="M331" s="142">
        <f t="shared" si="81"/>
        <v>0</v>
      </c>
      <c r="N331" s="142">
        <f t="shared" si="82"/>
        <v>0</v>
      </c>
      <c r="O331" s="59">
        <f t="shared" si="83"/>
        <v>0</v>
      </c>
      <c r="P331" s="142">
        <f t="shared" si="84"/>
        <v>6820</v>
      </c>
      <c r="Q331" s="142">
        <f t="shared" si="85"/>
        <v>0</v>
      </c>
      <c r="R331" s="142">
        <f t="shared" si="86"/>
        <v>0</v>
      </c>
      <c r="S331" s="142">
        <f t="shared" si="87"/>
        <v>0</v>
      </c>
      <c r="T331" s="142">
        <f t="shared" si="88"/>
        <v>0</v>
      </c>
      <c r="U331" s="60">
        <f t="shared" si="89"/>
        <v>6820</v>
      </c>
    </row>
    <row r="332" spans="1:21" x14ac:dyDescent="0.2">
      <c r="A332" s="115"/>
      <c r="B332" s="139" t="s">
        <v>353</v>
      </c>
      <c r="C332" s="140" t="s">
        <v>646</v>
      </c>
      <c r="D332" s="141">
        <v>45916</v>
      </c>
      <c r="E332" s="141">
        <v>46044</v>
      </c>
      <c r="F332" s="57">
        <v>43945</v>
      </c>
      <c r="G332" s="58">
        <f t="shared" si="75"/>
        <v>22</v>
      </c>
      <c r="H332" s="142">
        <f t="shared" si="76"/>
        <v>0</v>
      </c>
      <c r="I332" s="142">
        <f t="shared" si="77"/>
        <v>0</v>
      </c>
      <c r="J332" s="143">
        <f t="shared" si="78"/>
        <v>0</v>
      </c>
      <c r="K332" s="143">
        <f t="shared" si="79"/>
        <v>0</v>
      </c>
      <c r="L332" s="142">
        <f t="shared" si="80"/>
        <v>0</v>
      </c>
      <c r="M332" s="142">
        <f t="shared" si="81"/>
        <v>0</v>
      </c>
      <c r="N332" s="142">
        <f t="shared" si="82"/>
        <v>0</v>
      </c>
      <c r="O332" s="59">
        <f t="shared" si="83"/>
        <v>0</v>
      </c>
      <c r="P332" s="142">
        <f t="shared" si="84"/>
        <v>43945</v>
      </c>
      <c r="Q332" s="142">
        <f t="shared" si="85"/>
        <v>0</v>
      </c>
      <c r="R332" s="142">
        <f t="shared" si="86"/>
        <v>0</v>
      </c>
      <c r="S332" s="142">
        <f t="shared" si="87"/>
        <v>0</v>
      </c>
      <c r="T332" s="142">
        <f t="shared" si="88"/>
        <v>0</v>
      </c>
      <c r="U332" s="60">
        <f t="shared" si="89"/>
        <v>43945</v>
      </c>
    </row>
    <row r="333" spans="1:21" x14ac:dyDescent="0.2">
      <c r="A333" s="115"/>
      <c r="B333" s="139" t="s">
        <v>353</v>
      </c>
      <c r="C333" s="140" t="s">
        <v>956</v>
      </c>
      <c r="D333" s="141">
        <v>46008</v>
      </c>
      <c r="E333" s="141">
        <v>46103</v>
      </c>
      <c r="F333" s="57">
        <v>60018</v>
      </c>
      <c r="G333" s="58">
        <f t="shared" si="75"/>
        <v>81</v>
      </c>
      <c r="H333" s="142">
        <f t="shared" si="76"/>
        <v>0</v>
      </c>
      <c r="I333" s="142">
        <f t="shared" si="77"/>
        <v>0</v>
      </c>
      <c r="J333" s="143">
        <f t="shared" si="78"/>
        <v>0</v>
      </c>
      <c r="K333" s="143">
        <f t="shared" si="79"/>
        <v>0</v>
      </c>
      <c r="L333" s="142">
        <f t="shared" si="80"/>
        <v>0</v>
      </c>
      <c r="M333" s="142">
        <f t="shared" si="81"/>
        <v>0</v>
      </c>
      <c r="N333" s="142">
        <f t="shared" si="82"/>
        <v>0</v>
      </c>
      <c r="O333" s="59">
        <f t="shared" si="83"/>
        <v>0</v>
      </c>
      <c r="P333" s="142">
        <f t="shared" si="84"/>
        <v>0</v>
      </c>
      <c r="Q333" s="142">
        <f t="shared" si="85"/>
        <v>0</v>
      </c>
      <c r="R333" s="142">
        <f t="shared" si="86"/>
        <v>60018</v>
      </c>
      <c r="S333" s="142">
        <f t="shared" si="87"/>
        <v>0</v>
      </c>
      <c r="T333" s="142">
        <f t="shared" si="88"/>
        <v>0</v>
      </c>
      <c r="U333" s="60">
        <f t="shared" si="89"/>
        <v>60018</v>
      </c>
    </row>
    <row r="334" spans="1:21" x14ac:dyDescent="0.2">
      <c r="A334" s="115"/>
      <c r="B334" s="139" t="s">
        <v>353</v>
      </c>
      <c r="C334" s="140" t="s">
        <v>957</v>
      </c>
      <c r="D334" s="141">
        <v>46017</v>
      </c>
      <c r="E334" s="141">
        <v>46107</v>
      </c>
      <c r="F334" s="57">
        <v>190200</v>
      </c>
      <c r="G334" s="58">
        <f t="shared" si="75"/>
        <v>85</v>
      </c>
      <c r="H334" s="142">
        <f t="shared" si="76"/>
        <v>0</v>
      </c>
      <c r="I334" s="142">
        <f t="shared" si="77"/>
        <v>0</v>
      </c>
      <c r="J334" s="143">
        <f t="shared" si="78"/>
        <v>0</v>
      </c>
      <c r="K334" s="143">
        <f t="shared" si="79"/>
        <v>0</v>
      </c>
      <c r="L334" s="142">
        <f t="shared" si="80"/>
        <v>0</v>
      </c>
      <c r="M334" s="142">
        <f t="shared" si="81"/>
        <v>0</v>
      </c>
      <c r="N334" s="142">
        <f t="shared" si="82"/>
        <v>0</v>
      </c>
      <c r="O334" s="59">
        <f t="shared" si="83"/>
        <v>0</v>
      </c>
      <c r="P334" s="142">
        <f t="shared" si="84"/>
        <v>0</v>
      </c>
      <c r="Q334" s="142">
        <f t="shared" si="85"/>
        <v>0</v>
      </c>
      <c r="R334" s="142">
        <f t="shared" si="86"/>
        <v>190200</v>
      </c>
      <c r="S334" s="142">
        <f t="shared" si="87"/>
        <v>0</v>
      </c>
      <c r="T334" s="142">
        <f t="shared" si="88"/>
        <v>0</v>
      </c>
      <c r="U334" s="60">
        <f>SUBTOTAL(109,U7:U333)</f>
        <v>3464336.3300000005</v>
      </c>
    </row>
    <row r="335" spans="1:21" x14ac:dyDescent="0.2">
      <c r="A335" s="115"/>
      <c r="B335" s="139" t="s">
        <v>881</v>
      </c>
      <c r="C335" s="140" t="s">
        <v>882</v>
      </c>
      <c r="D335" s="141">
        <v>45985</v>
      </c>
      <c r="E335" s="141">
        <v>46015</v>
      </c>
      <c r="F335" s="57">
        <v>156100</v>
      </c>
      <c r="G335" s="58">
        <f t="shared" si="75"/>
        <v>-7</v>
      </c>
      <c r="H335" s="142">
        <f t="shared" si="76"/>
        <v>0</v>
      </c>
      <c r="I335" s="142">
        <f t="shared" si="77"/>
        <v>0</v>
      </c>
      <c r="J335" s="143">
        <f t="shared" si="78"/>
        <v>0</v>
      </c>
      <c r="K335" s="143">
        <f t="shared" si="79"/>
        <v>0</v>
      </c>
      <c r="L335" s="142">
        <f t="shared" si="80"/>
        <v>0</v>
      </c>
      <c r="M335" s="142">
        <f t="shared" si="81"/>
        <v>0</v>
      </c>
      <c r="N335" s="142">
        <f t="shared" si="82"/>
        <v>156100</v>
      </c>
      <c r="O335" s="59">
        <f t="shared" si="83"/>
        <v>156100</v>
      </c>
      <c r="P335" s="142">
        <f t="shared" si="84"/>
        <v>0</v>
      </c>
      <c r="Q335" s="142">
        <f t="shared" si="85"/>
        <v>0</v>
      </c>
      <c r="R335" s="142">
        <f t="shared" si="86"/>
        <v>0</v>
      </c>
      <c r="S335" s="142">
        <f t="shared" si="87"/>
        <v>0</v>
      </c>
      <c r="T335" s="142">
        <f t="shared" si="88"/>
        <v>0</v>
      </c>
      <c r="U335" s="60">
        <f t="shared" si="89"/>
        <v>0</v>
      </c>
    </row>
    <row r="336" spans="1:21" x14ac:dyDescent="0.2">
      <c r="A336" s="115"/>
      <c r="B336" s="139" t="s">
        <v>647</v>
      </c>
      <c r="C336" s="140" t="s">
        <v>648</v>
      </c>
      <c r="D336" s="141">
        <v>45911</v>
      </c>
      <c r="E336" s="141">
        <v>46032</v>
      </c>
      <c r="F336" s="57">
        <v>132200</v>
      </c>
      <c r="G336" s="58">
        <f t="shared" si="75"/>
        <v>10</v>
      </c>
      <c r="H336" s="142">
        <f t="shared" si="76"/>
        <v>0</v>
      </c>
      <c r="I336" s="142">
        <f t="shared" si="77"/>
        <v>0</v>
      </c>
      <c r="J336" s="143">
        <f t="shared" si="78"/>
        <v>0</v>
      </c>
      <c r="K336" s="143">
        <f t="shared" si="79"/>
        <v>0</v>
      </c>
      <c r="L336" s="142">
        <f t="shared" si="80"/>
        <v>0</v>
      </c>
      <c r="M336" s="142">
        <f t="shared" si="81"/>
        <v>0</v>
      </c>
      <c r="N336" s="142">
        <f t="shared" si="82"/>
        <v>0</v>
      </c>
      <c r="O336" s="59">
        <f t="shared" si="83"/>
        <v>0</v>
      </c>
      <c r="P336" s="142">
        <f t="shared" si="84"/>
        <v>132200</v>
      </c>
      <c r="Q336" s="142">
        <f t="shared" si="85"/>
        <v>0</v>
      </c>
      <c r="R336" s="142">
        <f t="shared" si="86"/>
        <v>0</v>
      </c>
      <c r="S336" s="142">
        <f t="shared" si="87"/>
        <v>0</v>
      </c>
      <c r="T336" s="142">
        <f t="shared" si="88"/>
        <v>0</v>
      </c>
      <c r="U336" s="60">
        <f t="shared" si="89"/>
        <v>132200</v>
      </c>
    </row>
    <row r="337" spans="1:24" x14ac:dyDescent="0.2">
      <c r="A337" s="115"/>
      <c r="B337" s="139" t="s">
        <v>734</v>
      </c>
      <c r="C337" s="140" t="s">
        <v>735</v>
      </c>
      <c r="D337" s="141">
        <v>45961</v>
      </c>
      <c r="E337" s="141">
        <v>46091</v>
      </c>
      <c r="F337" s="57">
        <v>4600</v>
      </c>
      <c r="G337" s="58">
        <f t="shared" si="75"/>
        <v>69</v>
      </c>
      <c r="H337" s="142">
        <f t="shared" si="76"/>
        <v>0</v>
      </c>
      <c r="I337" s="142">
        <f t="shared" si="77"/>
        <v>0</v>
      </c>
      <c r="J337" s="143">
        <f t="shared" si="78"/>
        <v>0</v>
      </c>
      <c r="K337" s="143">
        <f t="shared" si="79"/>
        <v>0</v>
      </c>
      <c r="L337" s="142">
        <f t="shared" si="80"/>
        <v>0</v>
      </c>
      <c r="M337" s="142">
        <f t="shared" si="81"/>
        <v>0</v>
      </c>
      <c r="N337" s="142">
        <f t="shared" si="82"/>
        <v>0</v>
      </c>
      <c r="O337" s="59">
        <f t="shared" si="83"/>
        <v>0</v>
      </c>
      <c r="P337" s="142">
        <f t="shared" si="84"/>
        <v>0</v>
      </c>
      <c r="Q337" s="142">
        <f t="shared" si="85"/>
        <v>0</v>
      </c>
      <c r="R337" s="142">
        <f t="shared" si="86"/>
        <v>4600</v>
      </c>
      <c r="S337" s="142">
        <f t="shared" si="87"/>
        <v>0</v>
      </c>
      <c r="T337" s="142">
        <f t="shared" si="88"/>
        <v>0</v>
      </c>
      <c r="U337" s="60">
        <f t="shared" si="89"/>
        <v>4600</v>
      </c>
    </row>
    <row r="338" spans="1:24" x14ac:dyDescent="0.2">
      <c r="A338" s="115"/>
      <c r="B338" s="139" t="s">
        <v>365</v>
      </c>
      <c r="C338" s="140" t="s">
        <v>388</v>
      </c>
      <c r="D338" s="141">
        <v>45742</v>
      </c>
      <c r="E338" s="141">
        <v>45862</v>
      </c>
      <c r="F338" s="57">
        <v>3190</v>
      </c>
      <c r="G338" s="58">
        <f t="shared" si="75"/>
        <v>-160</v>
      </c>
      <c r="H338" s="142">
        <f t="shared" si="76"/>
        <v>0</v>
      </c>
      <c r="I338" s="142">
        <f t="shared" si="77"/>
        <v>3190</v>
      </c>
      <c r="J338" s="143">
        <f t="shared" si="78"/>
        <v>0</v>
      </c>
      <c r="K338" s="143">
        <f t="shared" si="79"/>
        <v>0</v>
      </c>
      <c r="L338" s="142">
        <f t="shared" si="80"/>
        <v>0</v>
      </c>
      <c r="M338" s="142">
        <f t="shared" si="81"/>
        <v>0</v>
      </c>
      <c r="N338" s="142">
        <f t="shared" si="82"/>
        <v>0</v>
      </c>
      <c r="O338" s="59">
        <f t="shared" si="83"/>
        <v>3190</v>
      </c>
      <c r="P338" s="142">
        <f t="shared" si="84"/>
        <v>0</v>
      </c>
      <c r="Q338" s="142">
        <f t="shared" si="85"/>
        <v>0</v>
      </c>
      <c r="R338" s="142">
        <f t="shared" si="86"/>
        <v>0</v>
      </c>
      <c r="S338" s="142">
        <f t="shared" si="87"/>
        <v>0</v>
      </c>
      <c r="T338" s="142">
        <f t="shared" si="88"/>
        <v>0</v>
      </c>
      <c r="U338" s="60">
        <f t="shared" si="89"/>
        <v>0</v>
      </c>
    </row>
    <row r="339" spans="1:24" x14ac:dyDescent="0.2">
      <c r="A339" s="115"/>
      <c r="B339" s="139" t="s">
        <v>365</v>
      </c>
      <c r="C339" s="140" t="s">
        <v>435</v>
      </c>
      <c r="D339" s="141">
        <v>45819</v>
      </c>
      <c r="E339" s="141">
        <v>45939</v>
      </c>
      <c r="F339" s="57">
        <v>32815.199999999997</v>
      </c>
      <c r="G339" s="58">
        <f t="shared" si="75"/>
        <v>-83</v>
      </c>
      <c r="H339" s="142">
        <f t="shared" si="76"/>
        <v>0</v>
      </c>
      <c r="I339" s="142">
        <f t="shared" si="77"/>
        <v>0</v>
      </c>
      <c r="J339" s="143">
        <f t="shared" si="78"/>
        <v>0</v>
      </c>
      <c r="K339" s="143">
        <f t="shared" si="79"/>
        <v>0</v>
      </c>
      <c r="L339" s="142">
        <f t="shared" si="80"/>
        <v>32815.199999999997</v>
      </c>
      <c r="M339" s="142">
        <f t="shared" si="81"/>
        <v>0</v>
      </c>
      <c r="N339" s="142">
        <f t="shared" si="82"/>
        <v>0</v>
      </c>
      <c r="O339" s="59">
        <f t="shared" si="83"/>
        <v>32815.199999999997</v>
      </c>
      <c r="P339" s="142">
        <f t="shared" si="84"/>
        <v>0</v>
      </c>
      <c r="Q339" s="142">
        <f t="shared" si="85"/>
        <v>0</v>
      </c>
      <c r="R339" s="142">
        <f t="shared" si="86"/>
        <v>0</v>
      </c>
      <c r="S339" s="142">
        <f t="shared" si="87"/>
        <v>0</v>
      </c>
      <c r="T339" s="142">
        <f t="shared" si="88"/>
        <v>0</v>
      </c>
      <c r="U339" s="60">
        <f t="shared" si="89"/>
        <v>0</v>
      </c>
    </row>
    <row r="340" spans="1:24" x14ac:dyDescent="0.2">
      <c r="A340" s="115"/>
      <c r="B340" s="139" t="s">
        <v>365</v>
      </c>
      <c r="C340" s="140" t="s">
        <v>649</v>
      </c>
      <c r="D340" s="141">
        <v>45925</v>
      </c>
      <c r="E340" s="141">
        <v>46045</v>
      </c>
      <c r="F340" s="57">
        <v>31968.400000000001</v>
      </c>
      <c r="G340" s="58">
        <f t="shared" si="75"/>
        <v>23</v>
      </c>
      <c r="H340" s="142">
        <f t="shared" si="76"/>
        <v>0</v>
      </c>
      <c r="I340" s="142">
        <f t="shared" si="77"/>
        <v>0</v>
      </c>
      <c r="J340" s="143">
        <f t="shared" si="78"/>
        <v>0</v>
      </c>
      <c r="K340" s="143">
        <f t="shared" si="79"/>
        <v>0</v>
      </c>
      <c r="L340" s="142">
        <f t="shared" si="80"/>
        <v>0</v>
      </c>
      <c r="M340" s="142">
        <f t="shared" si="81"/>
        <v>0</v>
      </c>
      <c r="N340" s="142">
        <f t="shared" si="82"/>
        <v>0</v>
      </c>
      <c r="O340" s="59">
        <f t="shared" si="83"/>
        <v>0</v>
      </c>
      <c r="P340" s="142">
        <f t="shared" si="84"/>
        <v>31968.400000000001</v>
      </c>
      <c r="Q340" s="142">
        <f t="shared" si="85"/>
        <v>0</v>
      </c>
      <c r="R340" s="142">
        <f t="shared" si="86"/>
        <v>0</v>
      </c>
      <c r="S340" s="142">
        <f t="shared" si="87"/>
        <v>0</v>
      </c>
      <c r="T340" s="142">
        <f t="shared" si="88"/>
        <v>0</v>
      </c>
      <c r="U340" s="60">
        <f t="shared" si="89"/>
        <v>31968.400000000001</v>
      </c>
    </row>
    <row r="341" spans="1:24" x14ac:dyDescent="0.2">
      <c r="A341" s="115"/>
      <c r="B341" s="139" t="s">
        <v>365</v>
      </c>
      <c r="C341" s="140" t="s">
        <v>883</v>
      </c>
      <c r="D341" s="141">
        <v>45985</v>
      </c>
      <c r="E341" s="141">
        <v>46105</v>
      </c>
      <c r="F341" s="57">
        <v>33433.019999999997</v>
      </c>
      <c r="G341" s="58">
        <f t="shared" si="75"/>
        <v>83</v>
      </c>
      <c r="H341" s="142">
        <f t="shared" si="76"/>
        <v>0</v>
      </c>
      <c r="I341" s="142">
        <f t="shared" si="77"/>
        <v>0</v>
      </c>
      <c r="J341" s="143">
        <f t="shared" si="78"/>
        <v>0</v>
      </c>
      <c r="K341" s="143">
        <f t="shared" si="79"/>
        <v>0</v>
      </c>
      <c r="L341" s="142">
        <f t="shared" si="80"/>
        <v>0</v>
      </c>
      <c r="M341" s="142">
        <f t="shared" si="81"/>
        <v>0</v>
      </c>
      <c r="N341" s="142">
        <f t="shared" si="82"/>
        <v>0</v>
      </c>
      <c r="O341" s="59">
        <f t="shared" si="83"/>
        <v>0</v>
      </c>
      <c r="P341" s="142">
        <f t="shared" si="84"/>
        <v>0</v>
      </c>
      <c r="Q341" s="142">
        <f t="shared" si="85"/>
        <v>0</v>
      </c>
      <c r="R341" s="142">
        <f t="shared" si="86"/>
        <v>33433.019999999997</v>
      </c>
      <c r="S341" s="142">
        <f t="shared" si="87"/>
        <v>0</v>
      </c>
      <c r="T341" s="142">
        <f t="shared" si="88"/>
        <v>0</v>
      </c>
      <c r="U341" s="60">
        <f t="shared" si="89"/>
        <v>33433.019999999997</v>
      </c>
    </row>
    <row r="342" spans="1:24" x14ac:dyDescent="0.2">
      <c r="A342" s="115"/>
      <c r="B342" s="139" t="s">
        <v>367</v>
      </c>
      <c r="C342" s="140" t="s">
        <v>354</v>
      </c>
      <c r="D342" s="141">
        <v>45618</v>
      </c>
      <c r="E342" s="141">
        <v>45708</v>
      </c>
      <c r="F342" s="57">
        <v>17724</v>
      </c>
      <c r="G342" s="58">
        <f t="shared" si="75"/>
        <v>-314</v>
      </c>
      <c r="H342" s="142">
        <f t="shared" si="76"/>
        <v>17724</v>
      </c>
      <c r="I342" s="142">
        <f t="shared" si="77"/>
        <v>0</v>
      </c>
      <c r="J342" s="143">
        <f t="shared" si="78"/>
        <v>0</v>
      </c>
      <c r="K342" s="143">
        <f t="shared" si="79"/>
        <v>0</v>
      </c>
      <c r="L342" s="142">
        <f t="shared" si="80"/>
        <v>0</v>
      </c>
      <c r="M342" s="142">
        <f t="shared" si="81"/>
        <v>0</v>
      </c>
      <c r="N342" s="142">
        <f t="shared" si="82"/>
        <v>0</v>
      </c>
      <c r="O342" s="59">
        <f t="shared" si="83"/>
        <v>17724</v>
      </c>
      <c r="P342" s="142">
        <f t="shared" si="84"/>
        <v>0</v>
      </c>
      <c r="Q342" s="142">
        <f t="shared" si="85"/>
        <v>0</v>
      </c>
      <c r="R342" s="142">
        <f t="shared" si="86"/>
        <v>0</v>
      </c>
      <c r="S342" s="142">
        <f t="shared" si="87"/>
        <v>0</v>
      </c>
      <c r="T342" s="142">
        <f t="shared" si="88"/>
        <v>0</v>
      </c>
      <c r="U342" s="60">
        <f t="shared" si="89"/>
        <v>0</v>
      </c>
    </row>
    <row r="343" spans="1:24" x14ac:dyDescent="0.2">
      <c r="A343" s="115"/>
      <c r="B343" s="139" t="s">
        <v>367</v>
      </c>
      <c r="C343" s="140" t="s">
        <v>364</v>
      </c>
      <c r="D343" s="141">
        <v>45653</v>
      </c>
      <c r="E343" s="141">
        <v>45743</v>
      </c>
      <c r="F343" s="57">
        <v>40936.550000000003</v>
      </c>
      <c r="G343" s="58">
        <f t="shared" si="75"/>
        <v>-279</v>
      </c>
      <c r="H343" s="142">
        <f t="shared" si="76"/>
        <v>40936.550000000003</v>
      </c>
      <c r="I343" s="142">
        <f t="shared" si="77"/>
        <v>0</v>
      </c>
      <c r="J343" s="143">
        <f t="shared" si="78"/>
        <v>0</v>
      </c>
      <c r="K343" s="143">
        <f t="shared" si="79"/>
        <v>0</v>
      </c>
      <c r="L343" s="142">
        <f t="shared" si="80"/>
        <v>0</v>
      </c>
      <c r="M343" s="142">
        <f t="shared" si="81"/>
        <v>0</v>
      </c>
      <c r="N343" s="142">
        <f t="shared" si="82"/>
        <v>0</v>
      </c>
      <c r="O343" s="59">
        <f t="shared" si="83"/>
        <v>40936.550000000003</v>
      </c>
      <c r="P343" s="142">
        <f t="shared" si="84"/>
        <v>0</v>
      </c>
      <c r="Q343" s="142">
        <f t="shared" si="85"/>
        <v>0</v>
      </c>
      <c r="R343" s="142">
        <f t="shared" si="86"/>
        <v>0</v>
      </c>
      <c r="S343" s="142">
        <f t="shared" si="87"/>
        <v>0</v>
      </c>
      <c r="T343" s="142">
        <f t="shared" si="88"/>
        <v>0</v>
      </c>
      <c r="U343" s="60">
        <f t="shared" si="89"/>
        <v>0</v>
      </c>
    </row>
    <row r="344" spans="1:24" x14ac:dyDescent="0.2">
      <c r="A344" s="115"/>
      <c r="B344" s="139" t="s">
        <v>367</v>
      </c>
      <c r="C344" s="140" t="s">
        <v>528</v>
      </c>
      <c r="D344" s="141">
        <v>45868</v>
      </c>
      <c r="E344" s="141">
        <v>45958</v>
      </c>
      <c r="F344" s="57">
        <v>31519.200000000001</v>
      </c>
      <c r="G344" s="58">
        <f t="shared" si="75"/>
        <v>-64</v>
      </c>
      <c r="H344" s="142">
        <f t="shared" si="76"/>
        <v>0</v>
      </c>
      <c r="I344" s="142">
        <f t="shared" si="77"/>
        <v>0</v>
      </c>
      <c r="J344" s="143">
        <f t="shared" si="78"/>
        <v>0</v>
      </c>
      <c r="K344" s="143">
        <f t="shared" si="79"/>
        <v>0</v>
      </c>
      <c r="L344" s="142">
        <f t="shared" si="80"/>
        <v>31519.200000000001</v>
      </c>
      <c r="M344" s="142">
        <f t="shared" si="81"/>
        <v>0</v>
      </c>
      <c r="N344" s="142">
        <f t="shared" si="82"/>
        <v>0</v>
      </c>
      <c r="O344" s="59">
        <f t="shared" si="83"/>
        <v>31519.200000000001</v>
      </c>
      <c r="P344" s="142">
        <f t="shared" si="84"/>
        <v>0</v>
      </c>
      <c r="Q344" s="142">
        <f t="shared" si="85"/>
        <v>0</v>
      </c>
      <c r="R344" s="142">
        <f t="shared" si="86"/>
        <v>0</v>
      </c>
      <c r="S344" s="142">
        <f t="shared" si="87"/>
        <v>0</v>
      </c>
      <c r="T344" s="142">
        <f t="shared" si="88"/>
        <v>0</v>
      </c>
      <c r="U344" s="60">
        <f t="shared" si="89"/>
        <v>0</v>
      </c>
    </row>
    <row r="345" spans="1:24" x14ac:dyDescent="0.2">
      <c r="A345" s="115"/>
      <c r="B345" s="139" t="s">
        <v>367</v>
      </c>
      <c r="C345" s="140" t="s">
        <v>529</v>
      </c>
      <c r="D345" s="141">
        <v>45869</v>
      </c>
      <c r="E345" s="141">
        <v>45959</v>
      </c>
      <c r="F345" s="57">
        <v>5668.7</v>
      </c>
      <c r="G345" s="58">
        <f t="shared" si="75"/>
        <v>-63</v>
      </c>
      <c r="H345" s="142">
        <f t="shared" si="76"/>
        <v>0</v>
      </c>
      <c r="I345" s="142">
        <f t="shared" si="77"/>
        <v>0</v>
      </c>
      <c r="J345" s="143">
        <f t="shared" si="78"/>
        <v>0</v>
      </c>
      <c r="K345" s="143">
        <f t="shared" si="79"/>
        <v>0</v>
      </c>
      <c r="L345" s="142">
        <f t="shared" si="80"/>
        <v>5668.7</v>
      </c>
      <c r="M345" s="142">
        <f t="shared" si="81"/>
        <v>0</v>
      </c>
      <c r="N345" s="142">
        <f t="shared" si="82"/>
        <v>0</v>
      </c>
      <c r="O345" s="59">
        <f t="shared" si="83"/>
        <v>5668.7</v>
      </c>
      <c r="P345" s="142">
        <f t="shared" si="84"/>
        <v>0</v>
      </c>
      <c r="Q345" s="142">
        <f t="shared" si="85"/>
        <v>0</v>
      </c>
      <c r="R345" s="142">
        <f t="shared" si="86"/>
        <v>0</v>
      </c>
      <c r="S345" s="142">
        <f t="shared" si="87"/>
        <v>0</v>
      </c>
      <c r="T345" s="142">
        <f t="shared" si="88"/>
        <v>0</v>
      </c>
      <c r="U345" s="60">
        <f t="shared" si="89"/>
        <v>0</v>
      </c>
    </row>
    <row r="346" spans="1:24" x14ac:dyDescent="0.2">
      <c r="A346" s="115"/>
      <c r="B346" s="139" t="s">
        <v>367</v>
      </c>
      <c r="C346" s="140" t="s">
        <v>602</v>
      </c>
      <c r="D346" s="141">
        <v>45870</v>
      </c>
      <c r="E346" s="141">
        <v>45960</v>
      </c>
      <c r="F346" s="57">
        <v>22672.36</v>
      </c>
      <c r="G346" s="58">
        <f t="shared" si="75"/>
        <v>-62</v>
      </c>
      <c r="H346" s="142">
        <f t="shared" si="76"/>
        <v>0</v>
      </c>
      <c r="I346" s="142">
        <f t="shared" si="77"/>
        <v>0</v>
      </c>
      <c r="J346" s="143">
        <f t="shared" si="78"/>
        <v>0</v>
      </c>
      <c r="K346" s="143">
        <f t="shared" si="79"/>
        <v>0</v>
      </c>
      <c r="L346" s="142">
        <f t="shared" si="80"/>
        <v>22672.36</v>
      </c>
      <c r="M346" s="142">
        <f t="shared" si="81"/>
        <v>0</v>
      </c>
      <c r="N346" s="142">
        <f t="shared" si="82"/>
        <v>0</v>
      </c>
      <c r="O346" s="59">
        <f t="shared" si="83"/>
        <v>22672.36</v>
      </c>
      <c r="P346" s="142">
        <f t="shared" si="84"/>
        <v>0</v>
      </c>
      <c r="Q346" s="142">
        <f t="shared" si="85"/>
        <v>0</v>
      </c>
      <c r="R346" s="142">
        <f t="shared" si="86"/>
        <v>0</v>
      </c>
      <c r="S346" s="142">
        <f t="shared" si="87"/>
        <v>0</v>
      </c>
      <c r="T346" s="142">
        <f t="shared" si="88"/>
        <v>0</v>
      </c>
      <c r="U346" s="60">
        <f t="shared" si="89"/>
        <v>0</v>
      </c>
    </row>
    <row r="347" spans="1:24" x14ac:dyDescent="0.2">
      <c r="A347" s="115"/>
      <c r="B347" s="139" t="s">
        <v>367</v>
      </c>
      <c r="C347" s="140" t="s">
        <v>603</v>
      </c>
      <c r="D347" s="141">
        <v>45870</v>
      </c>
      <c r="E347" s="141">
        <v>45960</v>
      </c>
      <c r="F347" s="57">
        <v>5668.7</v>
      </c>
      <c r="G347" s="58">
        <f t="shared" si="75"/>
        <v>-62</v>
      </c>
      <c r="H347" s="142">
        <f t="shared" si="76"/>
        <v>0</v>
      </c>
      <c r="I347" s="142">
        <f t="shared" si="77"/>
        <v>0</v>
      </c>
      <c r="J347" s="143">
        <f t="shared" si="78"/>
        <v>0</v>
      </c>
      <c r="K347" s="143">
        <f t="shared" si="79"/>
        <v>0</v>
      </c>
      <c r="L347" s="142">
        <f t="shared" si="80"/>
        <v>5668.7</v>
      </c>
      <c r="M347" s="142">
        <f t="shared" si="81"/>
        <v>0</v>
      </c>
      <c r="N347" s="142">
        <f t="shared" si="82"/>
        <v>0</v>
      </c>
      <c r="O347" s="59">
        <f t="shared" si="83"/>
        <v>5668.7</v>
      </c>
      <c r="P347" s="142">
        <f t="shared" si="84"/>
        <v>0</v>
      </c>
      <c r="Q347" s="142">
        <f t="shared" si="85"/>
        <v>0</v>
      </c>
      <c r="R347" s="142">
        <f t="shared" si="86"/>
        <v>0</v>
      </c>
      <c r="S347" s="142">
        <f t="shared" si="87"/>
        <v>0</v>
      </c>
      <c r="T347" s="142">
        <f t="shared" si="88"/>
        <v>0</v>
      </c>
      <c r="U347" s="60">
        <f t="shared" si="89"/>
        <v>0</v>
      </c>
    </row>
    <row r="348" spans="1:24" x14ac:dyDescent="0.2">
      <c r="A348" s="115"/>
      <c r="B348" s="139" t="s">
        <v>498</v>
      </c>
      <c r="C348" s="140" t="s">
        <v>521</v>
      </c>
      <c r="D348" s="141">
        <v>45859</v>
      </c>
      <c r="E348" s="141">
        <v>45952</v>
      </c>
      <c r="F348" s="57">
        <v>42845</v>
      </c>
      <c r="G348" s="58">
        <f t="shared" si="75"/>
        <v>-70</v>
      </c>
      <c r="H348" s="142">
        <f t="shared" si="76"/>
        <v>0</v>
      </c>
      <c r="I348" s="142">
        <f t="shared" si="77"/>
        <v>0</v>
      </c>
      <c r="J348" s="143">
        <f t="shared" si="78"/>
        <v>0</v>
      </c>
      <c r="K348" s="143">
        <f t="shared" si="79"/>
        <v>0</v>
      </c>
      <c r="L348" s="142">
        <f t="shared" si="80"/>
        <v>42845</v>
      </c>
      <c r="M348" s="142">
        <f t="shared" si="81"/>
        <v>0</v>
      </c>
      <c r="N348" s="142">
        <f t="shared" si="82"/>
        <v>0</v>
      </c>
      <c r="O348" s="59">
        <f t="shared" si="83"/>
        <v>42845</v>
      </c>
      <c r="P348" s="142">
        <f t="shared" si="84"/>
        <v>0</v>
      </c>
      <c r="Q348" s="142">
        <f t="shared" si="85"/>
        <v>0</v>
      </c>
      <c r="R348" s="142">
        <f t="shared" si="86"/>
        <v>0</v>
      </c>
      <c r="S348" s="142">
        <f t="shared" si="87"/>
        <v>0</v>
      </c>
      <c r="T348" s="142">
        <f t="shared" si="88"/>
        <v>0</v>
      </c>
      <c r="U348" s="60">
        <f t="shared" si="89"/>
        <v>0</v>
      </c>
    </row>
    <row r="349" spans="1:24" s="220" customFormat="1" x14ac:dyDescent="0.2">
      <c r="A349" s="210"/>
      <c r="B349" s="211" t="s">
        <v>884</v>
      </c>
      <c r="C349" s="212" t="s">
        <v>885</v>
      </c>
      <c r="D349" s="213">
        <v>45965</v>
      </c>
      <c r="E349" s="213">
        <v>46055</v>
      </c>
      <c r="F349" s="214">
        <v>14435.83</v>
      </c>
      <c r="G349" s="215">
        <f t="shared" si="75"/>
        <v>33</v>
      </c>
      <c r="H349" s="216">
        <f t="shared" si="76"/>
        <v>0</v>
      </c>
      <c r="I349" s="216">
        <f t="shared" si="77"/>
        <v>0</v>
      </c>
      <c r="J349" s="217">
        <f t="shared" si="78"/>
        <v>0</v>
      </c>
      <c r="K349" s="217">
        <f t="shared" si="79"/>
        <v>0</v>
      </c>
      <c r="L349" s="216">
        <f t="shared" si="80"/>
        <v>0</v>
      </c>
      <c r="M349" s="216">
        <f t="shared" si="81"/>
        <v>0</v>
      </c>
      <c r="N349" s="216">
        <f t="shared" si="82"/>
        <v>0</v>
      </c>
      <c r="O349" s="216">
        <f t="shared" si="83"/>
        <v>0</v>
      </c>
      <c r="P349" s="216">
        <f t="shared" si="84"/>
        <v>0</v>
      </c>
      <c r="Q349" s="216">
        <f t="shared" si="85"/>
        <v>14435.83</v>
      </c>
      <c r="R349" s="216">
        <f t="shared" si="86"/>
        <v>0</v>
      </c>
      <c r="S349" s="216">
        <f t="shared" si="87"/>
        <v>0</v>
      </c>
      <c r="T349" s="216">
        <f t="shared" si="88"/>
        <v>0</v>
      </c>
      <c r="U349" s="218">
        <f t="shared" si="89"/>
        <v>14435.83</v>
      </c>
      <c r="V349" s="219"/>
      <c r="W349" s="219"/>
      <c r="X349" s="219"/>
    </row>
    <row r="350" spans="1:24" s="220" customFormat="1" x14ac:dyDescent="0.2">
      <c r="A350" s="210"/>
      <c r="B350" s="211" t="s">
        <v>884</v>
      </c>
      <c r="C350" s="212" t="s">
        <v>886</v>
      </c>
      <c r="D350" s="213">
        <v>45988</v>
      </c>
      <c r="E350" s="213">
        <v>46078</v>
      </c>
      <c r="F350" s="214">
        <v>14854.27</v>
      </c>
      <c r="G350" s="215">
        <f t="shared" si="75"/>
        <v>56</v>
      </c>
      <c r="H350" s="216">
        <f t="shared" si="76"/>
        <v>0</v>
      </c>
      <c r="I350" s="216">
        <f t="shared" si="77"/>
        <v>0</v>
      </c>
      <c r="J350" s="217">
        <f t="shared" si="78"/>
        <v>0</v>
      </c>
      <c r="K350" s="217">
        <f t="shared" si="79"/>
        <v>0</v>
      </c>
      <c r="L350" s="216">
        <f t="shared" si="80"/>
        <v>0</v>
      </c>
      <c r="M350" s="216">
        <f t="shared" si="81"/>
        <v>0</v>
      </c>
      <c r="N350" s="216">
        <f t="shared" si="82"/>
        <v>0</v>
      </c>
      <c r="O350" s="216">
        <f t="shared" si="83"/>
        <v>0</v>
      </c>
      <c r="P350" s="216">
        <f t="shared" si="84"/>
        <v>0</v>
      </c>
      <c r="Q350" s="216">
        <f t="shared" si="85"/>
        <v>14854.27</v>
      </c>
      <c r="R350" s="216">
        <f t="shared" si="86"/>
        <v>0</v>
      </c>
      <c r="S350" s="216">
        <f t="shared" si="87"/>
        <v>0</v>
      </c>
      <c r="T350" s="216">
        <f t="shared" si="88"/>
        <v>0</v>
      </c>
      <c r="U350" s="218">
        <f t="shared" si="89"/>
        <v>14854.27</v>
      </c>
      <c r="V350" s="219"/>
      <c r="W350" s="219"/>
      <c r="X350" s="219"/>
    </row>
    <row r="351" spans="1:24" x14ac:dyDescent="0.2">
      <c r="A351" s="115"/>
      <c r="B351" s="139" t="s">
        <v>650</v>
      </c>
      <c r="C351" s="140" t="s">
        <v>766</v>
      </c>
      <c r="D351" s="141">
        <v>45958</v>
      </c>
      <c r="E351" s="141">
        <v>46054</v>
      </c>
      <c r="F351" s="57">
        <v>9929.2800000000007</v>
      </c>
      <c r="G351" s="58">
        <f t="shared" si="75"/>
        <v>32</v>
      </c>
      <c r="H351" s="142">
        <f t="shared" si="76"/>
        <v>0</v>
      </c>
      <c r="I351" s="142">
        <f t="shared" si="77"/>
        <v>0</v>
      </c>
      <c r="J351" s="143">
        <f t="shared" si="78"/>
        <v>0</v>
      </c>
      <c r="K351" s="143">
        <f t="shared" si="79"/>
        <v>0</v>
      </c>
      <c r="L351" s="142">
        <f t="shared" si="80"/>
        <v>0</v>
      </c>
      <c r="M351" s="142">
        <f t="shared" si="81"/>
        <v>0</v>
      </c>
      <c r="N351" s="142">
        <f t="shared" si="82"/>
        <v>0</v>
      </c>
      <c r="O351" s="59">
        <f t="shared" si="83"/>
        <v>0</v>
      </c>
      <c r="P351" s="142">
        <f t="shared" si="84"/>
        <v>0</v>
      </c>
      <c r="Q351" s="142">
        <f t="shared" si="85"/>
        <v>9929.2800000000007</v>
      </c>
      <c r="R351" s="142">
        <f t="shared" si="86"/>
        <v>0</v>
      </c>
      <c r="S351" s="142">
        <f t="shared" si="87"/>
        <v>0</v>
      </c>
      <c r="T351" s="142">
        <f t="shared" si="88"/>
        <v>0</v>
      </c>
      <c r="U351" s="60">
        <f t="shared" si="89"/>
        <v>9929.2800000000007</v>
      </c>
    </row>
    <row r="352" spans="1:24" x14ac:dyDescent="0.2">
      <c r="A352" s="115"/>
      <c r="B352" s="139" t="s">
        <v>436</v>
      </c>
      <c r="C352" s="140" t="s">
        <v>203</v>
      </c>
      <c r="D352" s="141">
        <v>45348</v>
      </c>
      <c r="E352" s="141">
        <v>45378</v>
      </c>
      <c r="F352" s="57">
        <v>6625</v>
      </c>
      <c r="G352" s="58">
        <f t="shared" si="75"/>
        <v>-644</v>
      </c>
      <c r="H352" s="142">
        <f t="shared" si="76"/>
        <v>6625</v>
      </c>
      <c r="I352" s="142">
        <f t="shared" si="77"/>
        <v>0</v>
      </c>
      <c r="J352" s="143">
        <f t="shared" si="78"/>
        <v>0</v>
      </c>
      <c r="K352" s="143">
        <f t="shared" si="79"/>
        <v>0</v>
      </c>
      <c r="L352" s="142">
        <f t="shared" si="80"/>
        <v>0</v>
      </c>
      <c r="M352" s="142">
        <f t="shared" si="81"/>
        <v>0</v>
      </c>
      <c r="N352" s="142">
        <f t="shared" si="82"/>
        <v>0</v>
      </c>
      <c r="O352" s="59">
        <f t="shared" si="83"/>
        <v>6625</v>
      </c>
      <c r="P352" s="142">
        <f t="shared" si="84"/>
        <v>0</v>
      </c>
      <c r="Q352" s="142">
        <f t="shared" si="85"/>
        <v>0</v>
      </c>
      <c r="R352" s="142">
        <f t="shared" si="86"/>
        <v>0</v>
      </c>
      <c r="S352" s="142">
        <f t="shared" si="87"/>
        <v>0</v>
      </c>
      <c r="T352" s="142">
        <f t="shared" si="88"/>
        <v>0</v>
      </c>
      <c r="U352" s="60">
        <f t="shared" si="89"/>
        <v>0</v>
      </c>
    </row>
    <row r="353" spans="1:21" x14ac:dyDescent="0.2">
      <c r="A353" s="115"/>
      <c r="B353" s="139" t="s">
        <v>436</v>
      </c>
      <c r="C353" s="140" t="s">
        <v>204</v>
      </c>
      <c r="D353" s="141">
        <v>45324</v>
      </c>
      <c r="E353" s="141">
        <v>45384</v>
      </c>
      <c r="F353" s="57">
        <v>8950</v>
      </c>
      <c r="G353" s="58">
        <f t="shared" si="75"/>
        <v>-638</v>
      </c>
      <c r="H353" s="142">
        <f t="shared" si="76"/>
        <v>8950</v>
      </c>
      <c r="I353" s="142">
        <f t="shared" si="77"/>
        <v>0</v>
      </c>
      <c r="J353" s="143">
        <f t="shared" si="78"/>
        <v>0</v>
      </c>
      <c r="K353" s="143">
        <f t="shared" si="79"/>
        <v>0</v>
      </c>
      <c r="L353" s="142">
        <f t="shared" si="80"/>
        <v>0</v>
      </c>
      <c r="M353" s="142">
        <f t="shared" si="81"/>
        <v>0</v>
      </c>
      <c r="N353" s="142">
        <f t="shared" si="82"/>
        <v>0</v>
      </c>
      <c r="O353" s="59">
        <f t="shared" si="83"/>
        <v>8950</v>
      </c>
      <c r="P353" s="142">
        <f t="shared" si="84"/>
        <v>0</v>
      </c>
      <c r="Q353" s="142">
        <f t="shared" si="85"/>
        <v>0</v>
      </c>
      <c r="R353" s="142">
        <f t="shared" si="86"/>
        <v>0</v>
      </c>
      <c r="S353" s="142">
        <f t="shared" si="87"/>
        <v>0</v>
      </c>
      <c r="T353" s="142">
        <f t="shared" si="88"/>
        <v>0</v>
      </c>
      <c r="U353" s="60">
        <f t="shared" si="89"/>
        <v>0</v>
      </c>
    </row>
    <row r="354" spans="1:21" x14ac:dyDescent="0.2">
      <c r="A354" s="115"/>
      <c r="B354" s="139" t="s">
        <v>436</v>
      </c>
      <c r="C354" s="140" t="s">
        <v>205</v>
      </c>
      <c r="D354" s="141">
        <v>45324</v>
      </c>
      <c r="E354" s="141">
        <v>45384</v>
      </c>
      <c r="F354" s="57">
        <v>9556.5</v>
      </c>
      <c r="G354" s="58">
        <f t="shared" si="75"/>
        <v>-638</v>
      </c>
      <c r="H354" s="142">
        <f t="shared" si="76"/>
        <v>9556.5</v>
      </c>
      <c r="I354" s="142">
        <f t="shared" si="77"/>
        <v>0</v>
      </c>
      <c r="J354" s="143">
        <f t="shared" si="78"/>
        <v>0</v>
      </c>
      <c r="K354" s="143">
        <f t="shared" si="79"/>
        <v>0</v>
      </c>
      <c r="L354" s="142">
        <f t="shared" si="80"/>
        <v>0</v>
      </c>
      <c r="M354" s="142">
        <f t="shared" si="81"/>
        <v>0</v>
      </c>
      <c r="N354" s="142">
        <f t="shared" si="82"/>
        <v>0</v>
      </c>
      <c r="O354" s="59">
        <f t="shared" si="83"/>
        <v>9556.5</v>
      </c>
      <c r="P354" s="142">
        <f t="shared" si="84"/>
        <v>0</v>
      </c>
      <c r="Q354" s="142">
        <f t="shared" si="85"/>
        <v>0</v>
      </c>
      <c r="R354" s="142">
        <f t="shared" si="86"/>
        <v>0</v>
      </c>
      <c r="S354" s="142">
        <f t="shared" si="87"/>
        <v>0</v>
      </c>
      <c r="T354" s="142">
        <f t="shared" si="88"/>
        <v>0</v>
      </c>
      <c r="U354" s="60">
        <f t="shared" si="89"/>
        <v>0</v>
      </c>
    </row>
    <row r="355" spans="1:21" x14ac:dyDescent="0.2">
      <c r="A355" s="115"/>
      <c r="B355" s="139" t="s">
        <v>436</v>
      </c>
      <c r="C355" s="140" t="s">
        <v>203</v>
      </c>
      <c r="D355" s="141">
        <v>45348</v>
      </c>
      <c r="E355" s="141">
        <v>45408</v>
      </c>
      <c r="F355" s="57">
        <v>6625</v>
      </c>
      <c r="G355" s="58">
        <f t="shared" si="75"/>
        <v>-614</v>
      </c>
      <c r="H355" s="142">
        <f t="shared" si="76"/>
        <v>6625</v>
      </c>
      <c r="I355" s="142">
        <f t="shared" si="77"/>
        <v>0</v>
      </c>
      <c r="J355" s="143">
        <f t="shared" si="78"/>
        <v>0</v>
      </c>
      <c r="K355" s="143">
        <f t="shared" si="79"/>
        <v>0</v>
      </c>
      <c r="L355" s="142">
        <f t="shared" si="80"/>
        <v>0</v>
      </c>
      <c r="M355" s="142">
        <f t="shared" si="81"/>
        <v>0</v>
      </c>
      <c r="N355" s="142">
        <f t="shared" si="82"/>
        <v>0</v>
      </c>
      <c r="O355" s="59">
        <f t="shared" si="83"/>
        <v>6625</v>
      </c>
      <c r="P355" s="142">
        <f t="shared" si="84"/>
        <v>0</v>
      </c>
      <c r="Q355" s="142">
        <f t="shared" si="85"/>
        <v>0</v>
      </c>
      <c r="R355" s="142">
        <f t="shared" si="86"/>
        <v>0</v>
      </c>
      <c r="S355" s="142">
        <f t="shared" si="87"/>
        <v>0</v>
      </c>
      <c r="T355" s="142">
        <f t="shared" si="88"/>
        <v>0</v>
      </c>
      <c r="U355" s="60">
        <f t="shared" si="89"/>
        <v>0</v>
      </c>
    </row>
    <row r="356" spans="1:21" x14ac:dyDescent="0.2">
      <c r="A356" s="115"/>
      <c r="B356" s="139" t="s">
        <v>436</v>
      </c>
      <c r="C356" s="140" t="s">
        <v>204</v>
      </c>
      <c r="D356" s="141">
        <v>45324</v>
      </c>
      <c r="E356" s="141">
        <v>45414</v>
      </c>
      <c r="F356" s="57">
        <v>8950</v>
      </c>
      <c r="G356" s="58">
        <f t="shared" si="75"/>
        <v>-608</v>
      </c>
      <c r="H356" s="142">
        <f t="shared" si="76"/>
        <v>8950</v>
      </c>
      <c r="I356" s="142">
        <f t="shared" si="77"/>
        <v>0</v>
      </c>
      <c r="J356" s="143">
        <f t="shared" si="78"/>
        <v>0</v>
      </c>
      <c r="K356" s="143">
        <f t="shared" si="79"/>
        <v>0</v>
      </c>
      <c r="L356" s="142">
        <f t="shared" si="80"/>
        <v>0</v>
      </c>
      <c r="M356" s="142">
        <f t="shared" si="81"/>
        <v>0</v>
      </c>
      <c r="N356" s="142">
        <f t="shared" si="82"/>
        <v>0</v>
      </c>
      <c r="O356" s="59">
        <f t="shared" si="83"/>
        <v>8950</v>
      </c>
      <c r="P356" s="142">
        <f t="shared" si="84"/>
        <v>0</v>
      </c>
      <c r="Q356" s="142">
        <f t="shared" si="85"/>
        <v>0</v>
      </c>
      <c r="R356" s="142">
        <f t="shared" si="86"/>
        <v>0</v>
      </c>
      <c r="S356" s="142">
        <f t="shared" si="87"/>
        <v>0</v>
      </c>
      <c r="T356" s="142">
        <f t="shared" si="88"/>
        <v>0</v>
      </c>
      <c r="U356" s="60">
        <f t="shared" si="89"/>
        <v>0</v>
      </c>
    </row>
    <row r="357" spans="1:21" x14ac:dyDescent="0.2">
      <c r="A357" s="115"/>
      <c r="B357" s="139" t="s">
        <v>436</v>
      </c>
      <c r="C357" s="140" t="s">
        <v>206</v>
      </c>
      <c r="D357" s="141">
        <v>45324</v>
      </c>
      <c r="E357" s="141">
        <v>45414</v>
      </c>
      <c r="F357" s="57">
        <v>9450</v>
      </c>
      <c r="G357" s="58">
        <f t="shared" si="75"/>
        <v>-608</v>
      </c>
      <c r="H357" s="142">
        <f t="shared" si="76"/>
        <v>9450</v>
      </c>
      <c r="I357" s="142">
        <f t="shared" si="77"/>
        <v>0</v>
      </c>
      <c r="J357" s="143">
        <f t="shared" si="78"/>
        <v>0</v>
      </c>
      <c r="K357" s="143">
        <f t="shared" si="79"/>
        <v>0</v>
      </c>
      <c r="L357" s="142">
        <f t="shared" si="80"/>
        <v>0</v>
      </c>
      <c r="M357" s="142">
        <f t="shared" si="81"/>
        <v>0</v>
      </c>
      <c r="N357" s="142">
        <f t="shared" si="82"/>
        <v>0</v>
      </c>
      <c r="O357" s="59">
        <f t="shared" si="83"/>
        <v>9450</v>
      </c>
      <c r="P357" s="142">
        <f t="shared" si="84"/>
        <v>0</v>
      </c>
      <c r="Q357" s="142">
        <f t="shared" si="85"/>
        <v>0</v>
      </c>
      <c r="R357" s="142">
        <f t="shared" si="86"/>
        <v>0</v>
      </c>
      <c r="S357" s="142">
        <f t="shared" si="87"/>
        <v>0</v>
      </c>
      <c r="T357" s="142">
        <f t="shared" si="88"/>
        <v>0</v>
      </c>
      <c r="U357" s="60">
        <f t="shared" si="89"/>
        <v>0</v>
      </c>
    </row>
    <row r="358" spans="1:21" x14ac:dyDescent="0.2">
      <c r="A358" s="115"/>
      <c r="B358" s="139" t="s">
        <v>436</v>
      </c>
      <c r="C358" s="140" t="s">
        <v>205</v>
      </c>
      <c r="D358" s="141">
        <v>45324</v>
      </c>
      <c r="E358" s="141">
        <v>45414</v>
      </c>
      <c r="F358" s="57">
        <v>9556.5</v>
      </c>
      <c r="G358" s="58">
        <f t="shared" si="75"/>
        <v>-608</v>
      </c>
      <c r="H358" s="142">
        <f t="shared" si="76"/>
        <v>9556.5</v>
      </c>
      <c r="I358" s="142">
        <f t="shared" si="77"/>
        <v>0</v>
      </c>
      <c r="J358" s="143">
        <f t="shared" si="78"/>
        <v>0</v>
      </c>
      <c r="K358" s="143">
        <f t="shared" si="79"/>
        <v>0</v>
      </c>
      <c r="L358" s="142">
        <f t="shared" si="80"/>
        <v>0</v>
      </c>
      <c r="M358" s="142">
        <f t="shared" si="81"/>
        <v>0</v>
      </c>
      <c r="N358" s="142">
        <f t="shared" si="82"/>
        <v>0</v>
      </c>
      <c r="O358" s="59">
        <f t="shared" si="83"/>
        <v>9556.5</v>
      </c>
      <c r="P358" s="142">
        <f t="shared" si="84"/>
        <v>0</v>
      </c>
      <c r="Q358" s="142">
        <f t="shared" si="85"/>
        <v>0</v>
      </c>
      <c r="R358" s="142">
        <f t="shared" si="86"/>
        <v>0</v>
      </c>
      <c r="S358" s="142">
        <f t="shared" si="87"/>
        <v>0</v>
      </c>
      <c r="T358" s="142">
        <f t="shared" si="88"/>
        <v>0</v>
      </c>
      <c r="U358" s="60">
        <f t="shared" si="89"/>
        <v>0</v>
      </c>
    </row>
    <row r="359" spans="1:21" x14ac:dyDescent="0.2">
      <c r="A359" s="115"/>
      <c r="B359" s="139" t="s">
        <v>436</v>
      </c>
      <c r="C359" s="140" t="s">
        <v>203</v>
      </c>
      <c r="D359" s="141">
        <v>45348</v>
      </c>
      <c r="E359" s="141">
        <v>45438</v>
      </c>
      <c r="F359" s="57">
        <v>6625</v>
      </c>
      <c r="G359" s="58">
        <f t="shared" si="75"/>
        <v>-584</v>
      </c>
      <c r="H359" s="142">
        <f t="shared" si="76"/>
        <v>6625</v>
      </c>
      <c r="I359" s="142">
        <f t="shared" si="77"/>
        <v>0</v>
      </c>
      <c r="J359" s="143">
        <f t="shared" si="78"/>
        <v>0</v>
      </c>
      <c r="K359" s="143">
        <f t="shared" si="79"/>
        <v>0</v>
      </c>
      <c r="L359" s="142">
        <f t="shared" si="80"/>
        <v>0</v>
      </c>
      <c r="M359" s="142">
        <f t="shared" si="81"/>
        <v>0</v>
      </c>
      <c r="N359" s="142">
        <f t="shared" si="82"/>
        <v>0</v>
      </c>
      <c r="O359" s="59">
        <f t="shared" si="83"/>
        <v>6625</v>
      </c>
      <c r="P359" s="142">
        <f t="shared" si="84"/>
        <v>0</v>
      </c>
      <c r="Q359" s="142">
        <f t="shared" si="85"/>
        <v>0</v>
      </c>
      <c r="R359" s="142">
        <f t="shared" si="86"/>
        <v>0</v>
      </c>
      <c r="S359" s="142">
        <f t="shared" si="87"/>
        <v>0</v>
      </c>
      <c r="T359" s="142">
        <f t="shared" si="88"/>
        <v>0</v>
      </c>
      <c r="U359" s="60">
        <f t="shared" si="89"/>
        <v>0</v>
      </c>
    </row>
    <row r="360" spans="1:21" x14ac:dyDescent="0.2">
      <c r="A360" s="115"/>
      <c r="B360" s="139" t="s">
        <v>436</v>
      </c>
      <c r="C360" s="140" t="s">
        <v>203</v>
      </c>
      <c r="D360" s="141">
        <v>45348</v>
      </c>
      <c r="E360" s="141">
        <v>45468</v>
      </c>
      <c r="F360" s="57">
        <v>6625</v>
      </c>
      <c r="G360" s="58">
        <f t="shared" si="75"/>
        <v>-554</v>
      </c>
      <c r="H360" s="142">
        <f t="shared" si="76"/>
        <v>6625</v>
      </c>
      <c r="I360" s="142">
        <f t="shared" si="77"/>
        <v>0</v>
      </c>
      <c r="J360" s="143">
        <f t="shared" si="78"/>
        <v>0</v>
      </c>
      <c r="K360" s="143">
        <f t="shared" si="79"/>
        <v>0</v>
      </c>
      <c r="L360" s="142">
        <f t="shared" si="80"/>
        <v>0</v>
      </c>
      <c r="M360" s="142">
        <f t="shared" si="81"/>
        <v>0</v>
      </c>
      <c r="N360" s="142">
        <f t="shared" si="82"/>
        <v>0</v>
      </c>
      <c r="O360" s="59">
        <f t="shared" si="83"/>
        <v>6625</v>
      </c>
      <c r="P360" s="142">
        <f t="shared" si="84"/>
        <v>0</v>
      </c>
      <c r="Q360" s="142">
        <f t="shared" si="85"/>
        <v>0</v>
      </c>
      <c r="R360" s="142">
        <f t="shared" si="86"/>
        <v>0</v>
      </c>
      <c r="S360" s="142">
        <f t="shared" si="87"/>
        <v>0</v>
      </c>
      <c r="T360" s="142">
        <f t="shared" si="88"/>
        <v>0</v>
      </c>
      <c r="U360" s="60">
        <f t="shared" si="89"/>
        <v>0</v>
      </c>
    </row>
    <row r="361" spans="1:21" x14ac:dyDescent="0.2">
      <c r="A361" s="115"/>
      <c r="B361" s="139" t="s">
        <v>436</v>
      </c>
      <c r="C361" s="140" t="s">
        <v>202</v>
      </c>
      <c r="D361" s="141">
        <v>44890</v>
      </c>
      <c r="E361" s="141">
        <v>45509</v>
      </c>
      <c r="F361" s="57">
        <v>68680</v>
      </c>
      <c r="G361" s="58">
        <f t="shared" si="75"/>
        <v>-513</v>
      </c>
      <c r="H361" s="142">
        <f t="shared" si="76"/>
        <v>68680</v>
      </c>
      <c r="I361" s="142">
        <f t="shared" si="77"/>
        <v>0</v>
      </c>
      <c r="J361" s="143">
        <f t="shared" si="78"/>
        <v>0</v>
      </c>
      <c r="K361" s="143">
        <f t="shared" si="79"/>
        <v>0</v>
      </c>
      <c r="L361" s="142">
        <f t="shared" si="80"/>
        <v>0</v>
      </c>
      <c r="M361" s="142">
        <f t="shared" si="81"/>
        <v>0</v>
      </c>
      <c r="N361" s="142">
        <f t="shared" si="82"/>
        <v>0</v>
      </c>
      <c r="O361" s="59">
        <f t="shared" si="83"/>
        <v>68680</v>
      </c>
      <c r="P361" s="142">
        <f t="shared" si="84"/>
        <v>0</v>
      </c>
      <c r="Q361" s="142">
        <f t="shared" si="85"/>
        <v>0</v>
      </c>
      <c r="R361" s="142">
        <f t="shared" si="86"/>
        <v>0</v>
      </c>
      <c r="S361" s="142">
        <f t="shared" si="87"/>
        <v>0</v>
      </c>
      <c r="T361" s="142">
        <f t="shared" si="88"/>
        <v>0</v>
      </c>
      <c r="U361" s="60">
        <f t="shared" si="89"/>
        <v>0</v>
      </c>
    </row>
    <row r="362" spans="1:21" x14ac:dyDescent="0.2">
      <c r="A362" s="115"/>
      <c r="B362" s="139" t="s">
        <v>436</v>
      </c>
      <c r="C362" s="140" t="s">
        <v>651</v>
      </c>
      <c r="D362" s="141">
        <v>45911</v>
      </c>
      <c r="E362" s="141">
        <v>46032</v>
      </c>
      <c r="F362" s="57">
        <v>158206</v>
      </c>
      <c r="G362" s="58">
        <f t="shared" si="75"/>
        <v>10</v>
      </c>
      <c r="H362" s="142">
        <f t="shared" si="76"/>
        <v>0</v>
      </c>
      <c r="I362" s="142">
        <f t="shared" si="77"/>
        <v>0</v>
      </c>
      <c r="J362" s="143">
        <f t="shared" si="78"/>
        <v>0</v>
      </c>
      <c r="K362" s="143">
        <f t="shared" si="79"/>
        <v>0</v>
      </c>
      <c r="L362" s="142">
        <f t="shared" si="80"/>
        <v>0</v>
      </c>
      <c r="M362" s="142">
        <f t="shared" si="81"/>
        <v>0</v>
      </c>
      <c r="N362" s="142">
        <f t="shared" si="82"/>
        <v>0</v>
      </c>
      <c r="O362" s="59">
        <f t="shared" si="83"/>
        <v>0</v>
      </c>
      <c r="P362" s="142">
        <f t="shared" si="84"/>
        <v>158206</v>
      </c>
      <c r="Q362" s="142">
        <f t="shared" si="85"/>
        <v>0</v>
      </c>
      <c r="R362" s="142">
        <f t="shared" si="86"/>
        <v>0</v>
      </c>
      <c r="S362" s="142">
        <f t="shared" si="87"/>
        <v>0</v>
      </c>
      <c r="T362" s="142">
        <f t="shared" si="88"/>
        <v>0</v>
      </c>
      <c r="U362" s="60">
        <f t="shared" si="89"/>
        <v>158206</v>
      </c>
    </row>
    <row r="363" spans="1:21" x14ac:dyDescent="0.2">
      <c r="A363" s="115"/>
      <c r="B363" s="139" t="s">
        <v>436</v>
      </c>
      <c r="C363" s="140" t="s">
        <v>652</v>
      </c>
      <c r="D363" s="141">
        <v>45911</v>
      </c>
      <c r="E363" s="141">
        <v>46032</v>
      </c>
      <c r="F363" s="57">
        <v>115670</v>
      </c>
      <c r="G363" s="58">
        <f t="shared" si="75"/>
        <v>10</v>
      </c>
      <c r="H363" s="142">
        <f t="shared" si="76"/>
        <v>0</v>
      </c>
      <c r="I363" s="142">
        <f t="shared" si="77"/>
        <v>0</v>
      </c>
      <c r="J363" s="143">
        <f t="shared" si="78"/>
        <v>0</v>
      </c>
      <c r="K363" s="143">
        <f t="shared" si="79"/>
        <v>0</v>
      </c>
      <c r="L363" s="142">
        <f t="shared" si="80"/>
        <v>0</v>
      </c>
      <c r="M363" s="142">
        <f t="shared" si="81"/>
        <v>0</v>
      </c>
      <c r="N363" s="142">
        <f t="shared" si="82"/>
        <v>0</v>
      </c>
      <c r="O363" s="59">
        <f t="shared" si="83"/>
        <v>0</v>
      </c>
      <c r="P363" s="142">
        <f t="shared" si="84"/>
        <v>115670</v>
      </c>
      <c r="Q363" s="142">
        <f t="shared" si="85"/>
        <v>0</v>
      </c>
      <c r="R363" s="142">
        <f t="shared" si="86"/>
        <v>0</v>
      </c>
      <c r="S363" s="142">
        <f t="shared" si="87"/>
        <v>0</v>
      </c>
      <c r="T363" s="142">
        <f t="shared" si="88"/>
        <v>0</v>
      </c>
      <c r="U363" s="60">
        <f t="shared" si="89"/>
        <v>115670</v>
      </c>
    </row>
    <row r="364" spans="1:21" x14ac:dyDescent="0.2">
      <c r="A364" s="115"/>
      <c r="B364" s="139" t="s">
        <v>436</v>
      </c>
      <c r="C364" s="140" t="s">
        <v>750</v>
      </c>
      <c r="D364" s="141">
        <v>45933</v>
      </c>
      <c r="E364" s="141">
        <v>46053</v>
      </c>
      <c r="F364" s="57">
        <v>6000</v>
      </c>
      <c r="G364" s="58">
        <f t="shared" si="75"/>
        <v>31</v>
      </c>
      <c r="H364" s="142">
        <f t="shared" si="76"/>
        <v>0</v>
      </c>
      <c r="I364" s="142">
        <f t="shared" si="77"/>
        <v>0</v>
      </c>
      <c r="J364" s="143">
        <f t="shared" si="78"/>
        <v>0</v>
      </c>
      <c r="K364" s="143">
        <f t="shared" si="79"/>
        <v>0</v>
      </c>
      <c r="L364" s="142">
        <f t="shared" si="80"/>
        <v>0</v>
      </c>
      <c r="M364" s="142">
        <f t="shared" si="81"/>
        <v>0</v>
      </c>
      <c r="N364" s="142">
        <f t="shared" si="82"/>
        <v>0</v>
      </c>
      <c r="O364" s="59">
        <f t="shared" si="83"/>
        <v>0</v>
      </c>
      <c r="P364" s="142">
        <f t="shared" si="84"/>
        <v>0</v>
      </c>
      <c r="Q364" s="142">
        <f t="shared" si="85"/>
        <v>6000</v>
      </c>
      <c r="R364" s="142">
        <f t="shared" si="86"/>
        <v>0</v>
      </c>
      <c r="S364" s="142">
        <f t="shared" si="87"/>
        <v>0</v>
      </c>
      <c r="T364" s="142">
        <f t="shared" si="88"/>
        <v>0</v>
      </c>
      <c r="U364" s="60">
        <f t="shared" si="89"/>
        <v>6000</v>
      </c>
    </row>
    <row r="365" spans="1:21" x14ac:dyDescent="0.2">
      <c r="A365" s="115"/>
      <c r="B365" s="139" t="s">
        <v>436</v>
      </c>
      <c r="C365" s="140" t="s">
        <v>846</v>
      </c>
      <c r="D365" s="141">
        <v>45952</v>
      </c>
      <c r="E365" s="141">
        <v>46073</v>
      </c>
      <c r="F365" s="57">
        <v>182400</v>
      </c>
      <c r="G365" s="58">
        <f t="shared" si="75"/>
        <v>51</v>
      </c>
      <c r="H365" s="142">
        <f t="shared" si="76"/>
        <v>0</v>
      </c>
      <c r="I365" s="142">
        <f t="shared" si="77"/>
        <v>0</v>
      </c>
      <c r="J365" s="143">
        <f t="shared" si="78"/>
        <v>0</v>
      </c>
      <c r="K365" s="143">
        <f t="shared" si="79"/>
        <v>0</v>
      </c>
      <c r="L365" s="142">
        <f t="shared" si="80"/>
        <v>0</v>
      </c>
      <c r="M365" s="142">
        <f t="shared" si="81"/>
        <v>0</v>
      </c>
      <c r="N365" s="142">
        <f t="shared" si="82"/>
        <v>0</v>
      </c>
      <c r="O365" s="59">
        <f t="shared" si="83"/>
        <v>0</v>
      </c>
      <c r="P365" s="142">
        <f t="shared" si="84"/>
        <v>0</v>
      </c>
      <c r="Q365" s="142">
        <f t="shared" si="85"/>
        <v>182400</v>
      </c>
      <c r="R365" s="142">
        <f t="shared" si="86"/>
        <v>0</v>
      </c>
      <c r="S365" s="142">
        <f t="shared" si="87"/>
        <v>0</v>
      </c>
      <c r="T365" s="142">
        <f t="shared" si="88"/>
        <v>0</v>
      </c>
      <c r="U365" s="60">
        <f t="shared" si="89"/>
        <v>182400</v>
      </c>
    </row>
    <row r="366" spans="1:21" x14ac:dyDescent="0.2">
      <c r="A366" s="115"/>
      <c r="B366" s="139" t="s">
        <v>887</v>
      </c>
      <c r="C366" s="140" t="s">
        <v>888</v>
      </c>
      <c r="D366" s="141">
        <v>45985</v>
      </c>
      <c r="E366" s="141">
        <v>46045</v>
      </c>
      <c r="F366" s="57">
        <v>50695.33</v>
      </c>
      <c r="G366" s="58">
        <f t="shared" si="75"/>
        <v>23</v>
      </c>
      <c r="H366" s="142">
        <f t="shared" si="76"/>
        <v>0</v>
      </c>
      <c r="I366" s="142">
        <f t="shared" si="77"/>
        <v>0</v>
      </c>
      <c r="J366" s="143">
        <f t="shared" si="78"/>
        <v>0</v>
      </c>
      <c r="K366" s="143">
        <f t="shared" si="79"/>
        <v>0</v>
      </c>
      <c r="L366" s="142">
        <f t="shared" si="80"/>
        <v>0</v>
      </c>
      <c r="M366" s="142">
        <f t="shared" si="81"/>
        <v>0</v>
      </c>
      <c r="N366" s="142">
        <f t="shared" si="82"/>
        <v>0</v>
      </c>
      <c r="O366" s="59">
        <f t="shared" si="83"/>
        <v>0</v>
      </c>
      <c r="P366" s="142">
        <f t="shared" si="84"/>
        <v>50695.33</v>
      </c>
      <c r="Q366" s="142">
        <f t="shared" si="85"/>
        <v>0</v>
      </c>
      <c r="R366" s="142">
        <f t="shared" si="86"/>
        <v>0</v>
      </c>
      <c r="S366" s="142">
        <f t="shared" si="87"/>
        <v>0</v>
      </c>
      <c r="T366" s="142">
        <f t="shared" si="88"/>
        <v>0</v>
      </c>
      <c r="U366" s="60">
        <f t="shared" si="89"/>
        <v>50695.33</v>
      </c>
    </row>
    <row r="367" spans="1:21" x14ac:dyDescent="0.2">
      <c r="A367" s="115"/>
      <c r="B367" s="139" t="s">
        <v>887</v>
      </c>
      <c r="C367" s="140" t="s">
        <v>958</v>
      </c>
      <c r="D367" s="141">
        <v>45995</v>
      </c>
      <c r="E367" s="141">
        <v>46055</v>
      </c>
      <c r="F367" s="57">
        <v>57500</v>
      </c>
      <c r="G367" s="58">
        <f t="shared" si="75"/>
        <v>33</v>
      </c>
      <c r="H367" s="142">
        <f t="shared" si="76"/>
        <v>0</v>
      </c>
      <c r="I367" s="142">
        <f t="shared" si="77"/>
        <v>0</v>
      </c>
      <c r="J367" s="143">
        <f t="shared" si="78"/>
        <v>0</v>
      </c>
      <c r="K367" s="143">
        <f t="shared" si="79"/>
        <v>0</v>
      </c>
      <c r="L367" s="142">
        <f t="shared" si="80"/>
        <v>0</v>
      </c>
      <c r="M367" s="142">
        <f t="shared" si="81"/>
        <v>0</v>
      </c>
      <c r="N367" s="142">
        <f t="shared" si="82"/>
        <v>0</v>
      </c>
      <c r="O367" s="59">
        <f t="shared" si="83"/>
        <v>0</v>
      </c>
      <c r="P367" s="142">
        <f t="shared" si="84"/>
        <v>0</v>
      </c>
      <c r="Q367" s="142">
        <f t="shared" si="85"/>
        <v>57500</v>
      </c>
      <c r="R367" s="142">
        <f t="shared" si="86"/>
        <v>0</v>
      </c>
      <c r="S367" s="142">
        <f t="shared" si="87"/>
        <v>0</v>
      </c>
      <c r="T367" s="142">
        <f t="shared" si="88"/>
        <v>0</v>
      </c>
      <c r="U367" s="60">
        <f t="shared" si="89"/>
        <v>57500</v>
      </c>
    </row>
    <row r="368" spans="1:21" x14ac:dyDescent="0.2">
      <c r="A368" s="115"/>
      <c r="B368" s="139" t="s">
        <v>887</v>
      </c>
      <c r="C368" s="140" t="s">
        <v>888</v>
      </c>
      <c r="D368" s="141">
        <v>45985</v>
      </c>
      <c r="E368" s="141">
        <v>46075</v>
      </c>
      <c r="F368" s="57">
        <v>50695.33</v>
      </c>
      <c r="G368" s="58">
        <f t="shared" si="75"/>
        <v>53</v>
      </c>
      <c r="H368" s="142">
        <f t="shared" si="76"/>
        <v>0</v>
      </c>
      <c r="I368" s="142">
        <f t="shared" si="77"/>
        <v>0</v>
      </c>
      <c r="J368" s="143">
        <f t="shared" si="78"/>
        <v>0</v>
      </c>
      <c r="K368" s="143">
        <f t="shared" si="79"/>
        <v>0</v>
      </c>
      <c r="L368" s="142">
        <f t="shared" si="80"/>
        <v>0</v>
      </c>
      <c r="M368" s="142">
        <f t="shared" si="81"/>
        <v>0</v>
      </c>
      <c r="N368" s="142">
        <f t="shared" si="82"/>
        <v>0</v>
      </c>
      <c r="O368" s="59">
        <f t="shared" si="83"/>
        <v>0</v>
      </c>
      <c r="P368" s="142">
        <f t="shared" si="84"/>
        <v>0</v>
      </c>
      <c r="Q368" s="142">
        <f t="shared" si="85"/>
        <v>50695.33</v>
      </c>
      <c r="R368" s="142">
        <f t="shared" si="86"/>
        <v>0</v>
      </c>
      <c r="S368" s="142">
        <f t="shared" si="87"/>
        <v>0</v>
      </c>
      <c r="T368" s="142">
        <f t="shared" si="88"/>
        <v>0</v>
      </c>
      <c r="U368" s="60">
        <f t="shared" si="89"/>
        <v>50695.33</v>
      </c>
    </row>
    <row r="369" spans="1:24" x14ac:dyDescent="0.2">
      <c r="A369" s="115"/>
      <c r="B369" s="139" t="s">
        <v>887</v>
      </c>
      <c r="C369" s="140" t="s">
        <v>958</v>
      </c>
      <c r="D369" s="141">
        <v>45995</v>
      </c>
      <c r="E369" s="141">
        <v>46085</v>
      </c>
      <c r="F369" s="57">
        <v>57500</v>
      </c>
      <c r="G369" s="58">
        <f t="shared" si="75"/>
        <v>63</v>
      </c>
      <c r="H369" s="142">
        <f t="shared" si="76"/>
        <v>0</v>
      </c>
      <c r="I369" s="142">
        <f t="shared" si="77"/>
        <v>0</v>
      </c>
      <c r="J369" s="143">
        <f t="shared" si="78"/>
        <v>0</v>
      </c>
      <c r="K369" s="143">
        <f t="shared" si="79"/>
        <v>0</v>
      </c>
      <c r="L369" s="142">
        <f t="shared" si="80"/>
        <v>0</v>
      </c>
      <c r="M369" s="142">
        <f t="shared" si="81"/>
        <v>0</v>
      </c>
      <c r="N369" s="142">
        <f t="shared" si="82"/>
        <v>0</v>
      </c>
      <c r="O369" s="59">
        <f t="shared" si="83"/>
        <v>0</v>
      </c>
      <c r="P369" s="142">
        <f t="shared" si="84"/>
        <v>0</v>
      </c>
      <c r="Q369" s="142">
        <f t="shared" si="85"/>
        <v>0</v>
      </c>
      <c r="R369" s="142">
        <f t="shared" si="86"/>
        <v>57500</v>
      </c>
      <c r="S369" s="142">
        <f t="shared" si="87"/>
        <v>0</v>
      </c>
      <c r="T369" s="142">
        <f t="shared" si="88"/>
        <v>0</v>
      </c>
      <c r="U369" s="60">
        <f t="shared" si="89"/>
        <v>57500</v>
      </c>
    </row>
    <row r="370" spans="1:24" x14ac:dyDescent="0.2">
      <c r="A370" s="115"/>
      <c r="B370" s="139" t="s">
        <v>887</v>
      </c>
      <c r="C370" s="140" t="s">
        <v>888</v>
      </c>
      <c r="D370" s="141">
        <v>45985</v>
      </c>
      <c r="E370" s="141">
        <v>46105</v>
      </c>
      <c r="F370" s="57">
        <v>50695.34</v>
      </c>
      <c r="G370" s="58">
        <f t="shared" si="75"/>
        <v>83</v>
      </c>
      <c r="H370" s="142">
        <f t="shared" si="76"/>
        <v>0</v>
      </c>
      <c r="I370" s="142">
        <f t="shared" si="77"/>
        <v>0</v>
      </c>
      <c r="J370" s="143">
        <f t="shared" si="78"/>
        <v>0</v>
      </c>
      <c r="K370" s="143">
        <f t="shared" si="79"/>
        <v>0</v>
      </c>
      <c r="L370" s="142">
        <f t="shared" si="80"/>
        <v>0</v>
      </c>
      <c r="M370" s="142">
        <f t="shared" si="81"/>
        <v>0</v>
      </c>
      <c r="N370" s="142">
        <f t="shared" si="82"/>
        <v>0</v>
      </c>
      <c r="O370" s="59">
        <f t="shared" si="83"/>
        <v>0</v>
      </c>
      <c r="P370" s="142">
        <f t="shared" si="84"/>
        <v>0</v>
      </c>
      <c r="Q370" s="142">
        <f t="shared" si="85"/>
        <v>0</v>
      </c>
      <c r="R370" s="142">
        <f t="shared" si="86"/>
        <v>50695.34</v>
      </c>
      <c r="S370" s="142">
        <f t="shared" si="87"/>
        <v>0</v>
      </c>
      <c r="T370" s="142">
        <f t="shared" si="88"/>
        <v>0</v>
      </c>
      <c r="U370" s="60">
        <f t="shared" si="89"/>
        <v>50695.34</v>
      </c>
    </row>
    <row r="371" spans="1:24" x14ac:dyDescent="0.2">
      <c r="A371" s="115"/>
      <c r="B371" s="139" t="s">
        <v>371</v>
      </c>
      <c r="C371" s="140" t="s">
        <v>653</v>
      </c>
      <c r="D371" s="141">
        <v>45902</v>
      </c>
      <c r="E371" s="141">
        <v>45992</v>
      </c>
      <c r="F371" s="57">
        <v>15570</v>
      </c>
      <c r="G371" s="58">
        <f t="shared" si="75"/>
        <v>-30</v>
      </c>
      <c r="H371" s="142">
        <f t="shared" si="76"/>
        <v>0</v>
      </c>
      <c r="I371" s="142">
        <f t="shared" si="77"/>
        <v>0</v>
      </c>
      <c r="J371" s="143">
        <f t="shared" si="78"/>
        <v>0</v>
      </c>
      <c r="K371" s="143">
        <f t="shared" si="79"/>
        <v>0</v>
      </c>
      <c r="L371" s="142">
        <f t="shared" si="80"/>
        <v>0</v>
      </c>
      <c r="M371" s="142">
        <f t="shared" si="81"/>
        <v>0</v>
      </c>
      <c r="N371" s="142">
        <f t="shared" si="82"/>
        <v>15570</v>
      </c>
      <c r="O371" s="59">
        <f t="shared" si="83"/>
        <v>15570</v>
      </c>
      <c r="P371" s="142">
        <f t="shared" si="84"/>
        <v>0</v>
      </c>
      <c r="Q371" s="142">
        <f t="shared" si="85"/>
        <v>0</v>
      </c>
      <c r="R371" s="142">
        <f t="shared" si="86"/>
        <v>0</v>
      </c>
      <c r="S371" s="142">
        <f t="shared" si="87"/>
        <v>0</v>
      </c>
      <c r="T371" s="142">
        <f t="shared" si="88"/>
        <v>0</v>
      </c>
      <c r="U371" s="60">
        <f t="shared" si="89"/>
        <v>0</v>
      </c>
    </row>
    <row r="372" spans="1:24" x14ac:dyDescent="0.2">
      <c r="A372" s="115"/>
      <c r="B372" s="139" t="s">
        <v>371</v>
      </c>
      <c r="C372" s="140" t="s">
        <v>654</v>
      </c>
      <c r="D372" s="141">
        <v>45902</v>
      </c>
      <c r="E372" s="141">
        <v>45992</v>
      </c>
      <c r="F372" s="57">
        <v>69100</v>
      </c>
      <c r="G372" s="58">
        <f t="shared" si="75"/>
        <v>-30</v>
      </c>
      <c r="H372" s="142">
        <f t="shared" si="76"/>
        <v>0</v>
      </c>
      <c r="I372" s="142">
        <f t="shared" si="77"/>
        <v>0</v>
      </c>
      <c r="J372" s="143">
        <f t="shared" si="78"/>
        <v>0</v>
      </c>
      <c r="K372" s="143">
        <f t="shared" si="79"/>
        <v>0</v>
      </c>
      <c r="L372" s="142">
        <f t="shared" si="80"/>
        <v>0</v>
      </c>
      <c r="M372" s="142">
        <f t="shared" si="81"/>
        <v>0</v>
      </c>
      <c r="N372" s="142">
        <f t="shared" si="82"/>
        <v>69100</v>
      </c>
      <c r="O372" s="59">
        <f t="shared" si="83"/>
        <v>69100</v>
      </c>
      <c r="P372" s="142">
        <f t="shared" si="84"/>
        <v>0</v>
      </c>
      <c r="Q372" s="142">
        <f t="shared" si="85"/>
        <v>0</v>
      </c>
      <c r="R372" s="142">
        <f t="shared" si="86"/>
        <v>0</v>
      </c>
      <c r="S372" s="142">
        <f t="shared" si="87"/>
        <v>0</v>
      </c>
      <c r="T372" s="142">
        <f t="shared" si="88"/>
        <v>0</v>
      </c>
      <c r="U372" s="60">
        <f t="shared" si="89"/>
        <v>0</v>
      </c>
    </row>
    <row r="373" spans="1:24" s="171" customFormat="1" x14ac:dyDescent="0.2">
      <c r="A373" s="161"/>
      <c r="B373" s="162" t="s">
        <v>778</v>
      </c>
      <c r="C373" s="163" t="s">
        <v>779</v>
      </c>
      <c r="D373" s="164">
        <v>45961</v>
      </c>
      <c r="E373" s="164">
        <v>46061</v>
      </c>
      <c r="F373" s="165">
        <v>13447.23</v>
      </c>
      <c r="G373" s="166">
        <f t="shared" si="75"/>
        <v>39</v>
      </c>
      <c r="H373" s="167">
        <f t="shared" si="76"/>
        <v>0</v>
      </c>
      <c r="I373" s="167">
        <f t="shared" si="77"/>
        <v>0</v>
      </c>
      <c r="J373" s="168">
        <f t="shared" si="78"/>
        <v>0</v>
      </c>
      <c r="K373" s="168">
        <f t="shared" si="79"/>
        <v>0</v>
      </c>
      <c r="L373" s="167">
        <f t="shared" si="80"/>
        <v>0</v>
      </c>
      <c r="M373" s="167">
        <f t="shared" si="81"/>
        <v>0</v>
      </c>
      <c r="N373" s="167">
        <f t="shared" si="82"/>
        <v>0</v>
      </c>
      <c r="O373" s="167">
        <f t="shared" si="83"/>
        <v>0</v>
      </c>
      <c r="P373" s="167">
        <f t="shared" si="84"/>
        <v>0</v>
      </c>
      <c r="Q373" s="167">
        <f t="shared" si="85"/>
        <v>13447.23</v>
      </c>
      <c r="R373" s="167">
        <f t="shared" si="86"/>
        <v>0</v>
      </c>
      <c r="S373" s="167">
        <f t="shared" si="87"/>
        <v>0</v>
      </c>
      <c r="T373" s="167">
        <f t="shared" si="88"/>
        <v>0</v>
      </c>
      <c r="U373" s="169">
        <f t="shared" si="89"/>
        <v>13447.23</v>
      </c>
      <c r="V373" s="170"/>
      <c r="W373" s="170"/>
      <c r="X373" s="170"/>
    </row>
    <row r="374" spans="1:24" x14ac:dyDescent="0.2">
      <c r="A374" s="115"/>
      <c r="B374" s="139" t="s">
        <v>959</v>
      </c>
      <c r="C374" s="140" t="s">
        <v>960</v>
      </c>
      <c r="D374" s="141">
        <v>46006</v>
      </c>
      <c r="E374" s="141">
        <v>46036</v>
      </c>
      <c r="F374" s="57">
        <v>22168.32</v>
      </c>
      <c r="G374" s="58">
        <f t="shared" si="75"/>
        <v>14</v>
      </c>
      <c r="H374" s="142">
        <f t="shared" si="76"/>
        <v>0</v>
      </c>
      <c r="I374" s="142">
        <f t="shared" si="77"/>
        <v>0</v>
      </c>
      <c r="J374" s="143">
        <f t="shared" si="78"/>
        <v>0</v>
      </c>
      <c r="K374" s="143">
        <f t="shared" si="79"/>
        <v>0</v>
      </c>
      <c r="L374" s="142">
        <f t="shared" si="80"/>
        <v>0</v>
      </c>
      <c r="M374" s="142">
        <f t="shared" si="81"/>
        <v>0</v>
      </c>
      <c r="N374" s="142">
        <f t="shared" si="82"/>
        <v>0</v>
      </c>
      <c r="O374" s="59">
        <f t="shared" si="83"/>
        <v>0</v>
      </c>
      <c r="P374" s="142">
        <f t="shared" si="84"/>
        <v>22168.32</v>
      </c>
      <c r="Q374" s="142">
        <f t="shared" si="85"/>
        <v>0</v>
      </c>
      <c r="R374" s="142">
        <f t="shared" si="86"/>
        <v>0</v>
      </c>
      <c r="S374" s="142">
        <f t="shared" si="87"/>
        <v>0</v>
      </c>
      <c r="T374" s="142">
        <f t="shared" si="88"/>
        <v>0</v>
      </c>
      <c r="U374" s="60">
        <f t="shared" si="89"/>
        <v>22168.32</v>
      </c>
    </row>
    <row r="375" spans="1:24" x14ac:dyDescent="0.2">
      <c r="A375" s="115"/>
      <c r="B375" s="139" t="s">
        <v>959</v>
      </c>
      <c r="C375" s="140" t="s">
        <v>961</v>
      </c>
      <c r="D375" s="141">
        <v>46006</v>
      </c>
      <c r="E375" s="141">
        <v>46036</v>
      </c>
      <c r="F375" s="57">
        <v>29763.58</v>
      </c>
      <c r="G375" s="58">
        <f t="shared" si="75"/>
        <v>14</v>
      </c>
      <c r="H375" s="142">
        <f t="shared" si="76"/>
        <v>0</v>
      </c>
      <c r="I375" s="142">
        <f t="shared" si="77"/>
        <v>0</v>
      </c>
      <c r="J375" s="143">
        <f t="shared" si="78"/>
        <v>0</v>
      </c>
      <c r="K375" s="143">
        <f t="shared" si="79"/>
        <v>0</v>
      </c>
      <c r="L375" s="142">
        <f t="shared" si="80"/>
        <v>0</v>
      </c>
      <c r="M375" s="142">
        <f t="shared" si="81"/>
        <v>0</v>
      </c>
      <c r="N375" s="142">
        <f t="shared" si="82"/>
        <v>0</v>
      </c>
      <c r="O375" s="59">
        <f t="shared" si="83"/>
        <v>0</v>
      </c>
      <c r="P375" s="142">
        <f t="shared" si="84"/>
        <v>29763.58</v>
      </c>
      <c r="Q375" s="142">
        <f t="shared" si="85"/>
        <v>0</v>
      </c>
      <c r="R375" s="142">
        <f t="shared" si="86"/>
        <v>0</v>
      </c>
      <c r="S375" s="142">
        <f t="shared" si="87"/>
        <v>0</v>
      </c>
      <c r="T375" s="142">
        <f t="shared" si="88"/>
        <v>0</v>
      </c>
      <c r="U375" s="60">
        <f t="shared" si="89"/>
        <v>29763.58</v>
      </c>
    </row>
    <row r="376" spans="1:24" x14ac:dyDescent="0.2">
      <c r="A376" s="115"/>
      <c r="B376" s="139" t="s">
        <v>307</v>
      </c>
      <c r="C376" s="140" t="s">
        <v>962</v>
      </c>
      <c r="D376" s="141">
        <v>46000</v>
      </c>
      <c r="E376" s="141">
        <v>46030</v>
      </c>
      <c r="F376" s="57">
        <v>9226</v>
      </c>
      <c r="G376" s="58">
        <f t="shared" si="75"/>
        <v>8</v>
      </c>
      <c r="H376" s="142">
        <f t="shared" si="76"/>
        <v>0</v>
      </c>
      <c r="I376" s="142">
        <f t="shared" si="77"/>
        <v>0</v>
      </c>
      <c r="J376" s="143">
        <f t="shared" si="78"/>
        <v>0</v>
      </c>
      <c r="K376" s="143">
        <f t="shared" si="79"/>
        <v>0</v>
      </c>
      <c r="L376" s="142">
        <f t="shared" si="80"/>
        <v>0</v>
      </c>
      <c r="M376" s="142">
        <f t="shared" si="81"/>
        <v>0</v>
      </c>
      <c r="N376" s="142">
        <f t="shared" si="82"/>
        <v>0</v>
      </c>
      <c r="O376" s="59">
        <f t="shared" si="83"/>
        <v>0</v>
      </c>
      <c r="P376" s="142">
        <f t="shared" si="84"/>
        <v>9226</v>
      </c>
      <c r="Q376" s="142">
        <f t="shared" si="85"/>
        <v>0</v>
      </c>
      <c r="R376" s="142">
        <f t="shared" si="86"/>
        <v>0</v>
      </c>
      <c r="S376" s="142">
        <f t="shared" si="87"/>
        <v>0</v>
      </c>
      <c r="T376" s="142">
        <f t="shared" si="88"/>
        <v>0</v>
      </c>
      <c r="U376" s="60">
        <f t="shared" si="89"/>
        <v>9226</v>
      </c>
    </row>
    <row r="377" spans="1:24" x14ac:dyDescent="0.2">
      <c r="A377" s="115"/>
      <c r="B377" s="139" t="s">
        <v>307</v>
      </c>
      <c r="C377" s="140" t="s">
        <v>889</v>
      </c>
      <c r="D377" s="141">
        <v>45988</v>
      </c>
      <c r="E377" s="141">
        <v>46048</v>
      </c>
      <c r="F377" s="57">
        <v>43403.21</v>
      </c>
      <c r="G377" s="58">
        <f t="shared" si="75"/>
        <v>26</v>
      </c>
      <c r="H377" s="142">
        <f t="shared" si="76"/>
        <v>0</v>
      </c>
      <c r="I377" s="142">
        <f t="shared" si="77"/>
        <v>0</v>
      </c>
      <c r="J377" s="143">
        <f t="shared" si="78"/>
        <v>0</v>
      </c>
      <c r="K377" s="143">
        <f t="shared" si="79"/>
        <v>0</v>
      </c>
      <c r="L377" s="142">
        <f t="shared" si="80"/>
        <v>0</v>
      </c>
      <c r="M377" s="142">
        <f t="shared" si="81"/>
        <v>0</v>
      </c>
      <c r="N377" s="142">
        <f t="shared" si="82"/>
        <v>0</v>
      </c>
      <c r="O377" s="59">
        <f t="shared" si="83"/>
        <v>0</v>
      </c>
      <c r="P377" s="142">
        <f t="shared" si="84"/>
        <v>43403.21</v>
      </c>
      <c r="Q377" s="142">
        <f t="shared" si="85"/>
        <v>0</v>
      </c>
      <c r="R377" s="142">
        <f t="shared" si="86"/>
        <v>0</v>
      </c>
      <c r="S377" s="142">
        <f t="shared" si="87"/>
        <v>0</v>
      </c>
      <c r="T377" s="142">
        <f t="shared" si="88"/>
        <v>0</v>
      </c>
      <c r="U377" s="60">
        <f t="shared" si="89"/>
        <v>43403.21</v>
      </c>
    </row>
    <row r="378" spans="1:24" x14ac:dyDescent="0.2">
      <c r="A378" s="115"/>
      <c r="B378" s="139" t="s">
        <v>307</v>
      </c>
      <c r="C378" s="140" t="s">
        <v>890</v>
      </c>
      <c r="D378" s="141">
        <v>45988</v>
      </c>
      <c r="E378" s="141">
        <v>46048</v>
      </c>
      <c r="F378" s="57">
        <v>43403.21</v>
      </c>
      <c r="G378" s="58">
        <f t="shared" si="75"/>
        <v>26</v>
      </c>
      <c r="H378" s="142">
        <f t="shared" si="76"/>
        <v>0</v>
      </c>
      <c r="I378" s="142">
        <f t="shared" si="77"/>
        <v>0</v>
      </c>
      <c r="J378" s="143">
        <f t="shared" si="78"/>
        <v>0</v>
      </c>
      <c r="K378" s="143">
        <f t="shared" si="79"/>
        <v>0</v>
      </c>
      <c r="L378" s="142">
        <f t="shared" si="80"/>
        <v>0</v>
      </c>
      <c r="M378" s="142">
        <f t="shared" si="81"/>
        <v>0</v>
      </c>
      <c r="N378" s="142">
        <f t="shared" si="82"/>
        <v>0</v>
      </c>
      <c r="O378" s="59">
        <f t="shared" si="83"/>
        <v>0</v>
      </c>
      <c r="P378" s="142">
        <f t="shared" si="84"/>
        <v>43403.21</v>
      </c>
      <c r="Q378" s="142">
        <f t="shared" si="85"/>
        <v>0</v>
      </c>
      <c r="R378" s="142">
        <f t="shared" si="86"/>
        <v>0</v>
      </c>
      <c r="S378" s="142">
        <f t="shared" si="87"/>
        <v>0</v>
      </c>
      <c r="T378" s="142">
        <f t="shared" si="88"/>
        <v>0</v>
      </c>
      <c r="U378" s="60">
        <f t="shared" si="89"/>
        <v>43403.21</v>
      </c>
    </row>
    <row r="379" spans="1:24" x14ac:dyDescent="0.2">
      <c r="A379" s="115"/>
      <c r="B379" s="139" t="s">
        <v>307</v>
      </c>
      <c r="C379" s="140" t="s">
        <v>966</v>
      </c>
      <c r="D379" s="141">
        <v>46020</v>
      </c>
      <c r="E379" s="141">
        <v>46050</v>
      </c>
      <c r="F379" s="57">
        <v>11206</v>
      </c>
      <c r="G379" s="58">
        <f t="shared" si="75"/>
        <v>28</v>
      </c>
      <c r="H379" s="142">
        <f t="shared" si="76"/>
        <v>0</v>
      </c>
      <c r="I379" s="142">
        <f t="shared" si="77"/>
        <v>0</v>
      </c>
      <c r="J379" s="143">
        <f t="shared" si="78"/>
        <v>0</v>
      </c>
      <c r="K379" s="143">
        <f t="shared" si="79"/>
        <v>0</v>
      </c>
      <c r="L379" s="142">
        <f t="shared" si="80"/>
        <v>0</v>
      </c>
      <c r="M379" s="142">
        <f t="shared" si="81"/>
        <v>0</v>
      </c>
      <c r="N379" s="142">
        <f t="shared" si="82"/>
        <v>0</v>
      </c>
      <c r="O379" s="59">
        <f t="shared" si="83"/>
        <v>0</v>
      </c>
      <c r="P379" s="142">
        <f t="shared" si="84"/>
        <v>11206</v>
      </c>
      <c r="Q379" s="142">
        <f t="shared" si="85"/>
        <v>0</v>
      </c>
      <c r="R379" s="142">
        <f t="shared" si="86"/>
        <v>0</v>
      </c>
      <c r="S379" s="142">
        <f t="shared" si="87"/>
        <v>0</v>
      </c>
      <c r="T379" s="142">
        <f t="shared" si="88"/>
        <v>0</v>
      </c>
      <c r="U379" s="60">
        <f t="shared" si="89"/>
        <v>11206</v>
      </c>
    </row>
    <row r="380" spans="1:24" x14ac:dyDescent="0.2">
      <c r="A380" s="115"/>
      <c r="B380" s="139" t="s">
        <v>307</v>
      </c>
      <c r="C380" s="140" t="s">
        <v>963</v>
      </c>
      <c r="D380" s="141">
        <v>46017</v>
      </c>
      <c r="E380" s="141">
        <v>46076</v>
      </c>
      <c r="F380" s="57">
        <v>43313.35</v>
      </c>
      <c r="G380" s="58">
        <f t="shared" si="75"/>
        <v>54</v>
      </c>
      <c r="H380" s="142">
        <f t="shared" si="76"/>
        <v>0</v>
      </c>
      <c r="I380" s="142">
        <f t="shared" si="77"/>
        <v>0</v>
      </c>
      <c r="J380" s="143">
        <f t="shared" si="78"/>
        <v>0</v>
      </c>
      <c r="K380" s="143">
        <f t="shared" si="79"/>
        <v>0</v>
      </c>
      <c r="L380" s="142">
        <f t="shared" si="80"/>
        <v>0</v>
      </c>
      <c r="M380" s="142">
        <f t="shared" si="81"/>
        <v>0</v>
      </c>
      <c r="N380" s="142">
        <f t="shared" si="82"/>
        <v>0</v>
      </c>
      <c r="O380" s="59">
        <f t="shared" si="83"/>
        <v>0</v>
      </c>
      <c r="P380" s="142">
        <f t="shared" si="84"/>
        <v>0</v>
      </c>
      <c r="Q380" s="142">
        <f t="shared" si="85"/>
        <v>43313.35</v>
      </c>
      <c r="R380" s="142">
        <f t="shared" si="86"/>
        <v>0</v>
      </c>
      <c r="S380" s="142">
        <f t="shared" si="87"/>
        <v>0</v>
      </c>
      <c r="T380" s="142">
        <f t="shared" si="88"/>
        <v>0</v>
      </c>
      <c r="U380" s="60">
        <f t="shared" si="89"/>
        <v>43313.35</v>
      </c>
    </row>
    <row r="381" spans="1:24" x14ac:dyDescent="0.2">
      <c r="A381" s="115"/>
      <c r="B381" s="139" t="s">
        <v>307</v>
      </c>
      <c r="C381" s="140" t="s">
        <v>964</v>
      </c>
      <c r="D381" s="141">
        <v>46017</v>
      </c>
      <c r="E381" s="141">
        <v>46076</v>
      </c>
      <c r="F381" s="57">
        <v>14000</v>
      </c>
      <c r="G381" s="58">
        <f t="shared" si="75"/>
        <v>54</v>
      </c>
      <c r="H381" s="142">
        <f t="shared" si="76"/>
        <v>0</v>
      </c>
      <c r="I381" s="142">
        <f t="shared" si="77"/>
        <v>0</v>
      </c>
      <c r="J381" s="143">
        <f t="shared" si="78"/>
        <v>0</v>
      </c>
      <c r="K381" s="143">
        <f t="shared" si="79"/>
        <v>0</v>
      </c>
      <c r="L381" s="142">
        <f t="shared" si="80"/>
        <v>0</v>
      </c>
      <c r="M381" s="142">
        <f t="shared" si="81"/>
        <v>0</v>
      </c>
      <c r="N381" s="142">
        <f t="shared" si="82"/>
        <v>0</v>
      </c>
      <c r="O381" s="59">
        <f t="shared" si="83"/>
        <v>0</v>
      </c>
      <c r="P381" s="142">
        <f t="shared" si="84"/>
        <v>0</v>
      </c>
      <c r="Q381" s="142">
        <f t="shared" si="85"/>
        <v>14000</v>
      </c>
      <c r="R381" s="142">
        <f t="shared" si="86"/>
        <v>0</v>
      </c>
      <c r="S381" s="142">
        <f t="shared" si="87"/>
        <v>0</v>
      </c>
      <c r="T381" s="142">
        <f t="shared" si="88"/>
        <v>0</v>
      </c>
      <c r="U381" s="60">
        <f t="shared" si="89"/>
        <v>14000</v>
      </c>
    </row>
    <row r="382" spans="1:24" x14ac:dyDescent="0.2">
      <c r="A382" s="115"/>
      <c r="B382" s="139" t="s">
        <v>307</v>
      </c>
      <c r="C382" s="140" t="s">
        <v>965</v>
      </c>
      <c r="D382" s="141">
        <v>46017</v>
      </c>
      <c r="E382" s="141">
        <v>46076</v>
      </c>
      <c r="F382" s="57">
        <v>43403.21</v>
      </c>
      <c r="G382" s="58">
        <f t="shared" si="75"/>
        <v>54</v>
      </c>
      <c r="H382" s="142">
        <f t="shared" si="76"/>
        <v>0</v>
      </c>
      <c r="I382" s="142">
        <f t="shared" si="77"/>
        <v>0</v>
      </c>
      <c r="J382" s="143">
        <f t="shared" si="78"/>
        <v>0</v>
      </c>
      <c r="K382" s="143">
        <f t="shared" si="79"/>
        <v>0</v>
      </c>
      <c r="L382" s="142">
        <f t="shared" si="80"/>
        <v>0</v>
      </c>
      <c r="M382" s="142">
        <f t="shared" si="81"/>
        <v>0</v>
      </c>
      <c r="N382" s="142">
        <f t="shared" si="82"/>
        <v>0</v>
      </c>
      <c r="O382" s="59">
        <f t="shared" si="83"/>
        <v>0</v>
      </c>
      <c r="P382" s="142">
        <f t="shared" si="84"/>
        <v>0</v>
      </c>
      <c r="Q382" s="142">
        <f t="shared" si="85"/>
        <v>43403.21</v>
      </c>
      <c r="R382" s="142">
        <f t="shared" si="86"/>
        <v>0</v>
      </c>
      <c r="S382" s="142">
        <f t="shared" si="87"/>
        <v>0</v>
      </c>
      <c r="T382" s="142">
        <f t="shared" si="88"/>
        <v>0</v>
      </c>
      <c r="U382" s="60">
        <f t="shared" si="89"/>
        <v>43403.21</v>
      </c>
    </row>
    <row r="383" spans="1:24" x14ac:dyDescent="0.2">
      <c r="A383" s="115"/>
      <c r="B383" s="139" t="s">
        <v>437</v>
      </c>
      <c r="C383" s="140" t="s">
        <v>891</v>
      </c>
      <c r="D383" s="141">
        <v>45985</v>
      </c>
      <c r="E383" s="141">
        <v>46052</v>
      </c>
      <c r="F383" s="57">
        <v>30758.17</v>
      </c>
      <c r="G383" s="58">
        <f t="shared" si="75"/>
        <v>30</v>
      </c>
      <c r="H383" s="142">
        <f t="shared" si="76"/>
        <v>0</v>
      </c>
      <c r="I383" s="142">
        <f t="shared" si="77"/>
        <v>0</v>
      </c>
      <c r="J383" s="143">
        <f t="shared" si="78"/>
        <v>0</v>
      </c>
      <c r="K383" s="143">
        <f t="shared" si="79"/>
        <v>0</v>
      </c>
      <c r="L383" s="142">
        <f t="shared" si="80"/>
        <v>0</v>
      </c>
      <c r="M383" s="142">
        <f t="shared" si="81"/>
        <v>0</v>
      </c>
      <c r="N383" s="142">
        <f t="shared" si="82"/>
        <v>0</v>
      </c>
      <c r="O383" s="59">
        <f t="shared" si="83"/>
        <v>0</v>
      </c>
      <c r="P383" s="142">
        <f t="shared" si="84"/>
        <v>30758.17</v>
      </c>
      <c r="Q383" s="142">
        <f t="shared" si="85"/>
        <v>0</v>
      </c>
      <c r="R383" s="142">
        <f t="shared" si="86"/>
        <v>0</v>
      </c>
      <c r="S383" s="142">
        <f t="shared" si="87"/>
        <v>0</v>
      </c>
      <c r="T383" s="142">
        <f t="shared" si="88"/>
        <v>0</v>
      </c>
      <c r="U383" s="60">
        <f t="shared" si="89"/>
        <v>30758.17</v>
      </c>
    </row>
    <row r="384" spans="1:24" x14ac:dyDescent="0.2">
      <c r="A384" s="115"/>
      <c r="B384" s="139" t="s">
        <v>726</v>
      </c>
      <c r="C384" s="140" t="s">
        <v>727</v>
      </c>
      <c r="D384" s="141">
        <v>45961</v>
      </c>
      <c r="E384" s="141">
        <v>46051</v>
      </c>
      <c r="F384" s="57">
        <v>2356</v>
      </c>
      <c r="G384" s="58">
        <f t="shared" si="75"/>
        <v>29</v>
      </c>
      <c r="H384" s="142">
        <f t="shared" si="76"/>
        <v>0</v>
      </c>
      <c r="I384" s="142">
        <f t="shared" si="77"/>
        <v>0</v>
      </c>
      <c r="J384" s="143">
        <f t="shared" si="78"/>
        <v>0</v>
      </c>
      <c r="K384" s="143">
        <f t="shared" si="79"/>
        <v>0</v>
      </c>
      <c r="L384" s="142">
        <f t="shared" si="80"/>
        <v>0</v>
      </c>
      <c r="M384" s="142">
        <f t="shared" si="81"/>
        <v>0</v>
      </c>
      <c r="N384" s="142">
        <f t="shared" si="82"/>
        <v>0</v>
      </c>
      <c r="O384" s="59">
        <f t="shared" si="83"/>
        <v>0</v>
      </c>
      <c r="P384" s="142">
        <f t="shared" si="84"/>
        <v>2356</v>
      </c>
      <c r="Q384" s="142">
        <f t="shared" si="85"/>
        <v>0</v>
      </c>
      <c r="R384" s="142">
        <f t="shared" si="86"/>
        <v>0</v>
      </c>
      <c r="S384" s="142">
        <f t="shared" si="87"/>
        <v>0</v>
      </c>
      <c r="T384" s="142">
        <f t="shared" si="88"/>
        <v>0</v>
      </c>
      <c r="U384" s="60">
        <f t="shared" si="89"/>
        <v>2356</v>
      </c>
    </row>
    <row r="385" spans="1:21" x14ac:dyDescent="0.2">
      <c r="A385" s="115"/>
      <c r="B385" s="139" t="s">
        <v>65</v>
      </c>
      <c r="C385" s="140" t="s">
        <v>376</v>
      </c>
      <c r="D385" s="141">
        <v>45712</v>
      </c>
      <c r="E385" s="141">
        <v>45787</v>
      </c>
      <c r="F385" s="57">
        <v>4057.02</v>
      </c>
      <c r="G385" s="58">
        <f t="shared" si="75"/>
        <v>-235</v>
      </c>
      <c r="H385" s="142">
        <f t="shared" si="76"/>
        <v>4057.02</v>
      </c>
      <c r="I385" s="142">
        <f t="shared" si="77"/>
        <v>0</v>
      </c>
      <c r="J385" s="143">
        <f t="shared" si="78"/>
        <v>0</v>
      </c>
      <c r="K385" s="143">
        <f t="shared" si="79"/>
        <v>0</v>
      </c>
      <c r="L385" s="142">
        <f t="shared" si="80"/>
        <v>0</v>
      </c>
      <c r="M385" s="142">
        <f t="shared" si="81"/>
        <v>0</v>
      </c>
      <c r="N385" s="142">
        <f t="shared" si="82"/>
        <v>0</v>
      </c>
      <c r="O385" s="59">
        <f t="shared" si="83"/>
        <v>4057.02</v>
      </c>
      <c r="P385" s="142">
        <f t="shared" si="84"/>
        <v>0</v>
      </c>
      <c r="Q385" s="142">
        <f t="shared" si="85"/>
        <v>0</v>
      </c>
      <c r="R385" s="142">
        <f t="shared" si="86"/>
        <v>0</v>
      </c>
      <c r="S385" s="142">
        <f t="shared" si="87"/>
        <v>0</v>
      </c>
      <c r="T385" s="142">
        <f t="shared" si="88"/>
        <v>0</v>
      </c>
      <c r="U385" s="60">
        <f t="shared" si="89"/>
        <v>0</v>
      </c>
    </row>
    <row r="386" spans="1:21" x14ac:dyDescent="0.2">
      <c r="A386" s="115"/>
      <c r="B386" s="139" t="s">
        <v>65</v>
      </c>
      <c r="C386" s="140" t="s">
        <v>377</v>
      </c>
      <c r="D386" s="141">
        <v>45712</v>
      </c>
      <c r="E386" s="141">
        <v>45787</v>
      </c>
      <c r="F386" s="57">
        <v>6824.09</v>
      </c>
      <c r="G386" s="58">
        <f t="shared" si="75"/>
        <v>-235</v>
      </c>
      <c r="H386" s="142">
        <f t="shared" si="76"/>
        <v>6824.09</v>
      </c>
      <c r="I386" s="142">
        <f t="shared" si="77"/>
        <v>0</v>
      </c>
      <c r="J386" s="143">
        <f t="shared" si="78"/>
        <v>0</v>
      </c>
      <c r="K386" s="143">
        <f t="shared" si="79"/>
        <v>0</v>
      </c>
      <c r="L386" s="142">
        <f t="shared" si="80"/>
        <v>0</v>
      </c>
      <c r="M386" s="142">
        <f t="shared" si="81"/>
        <v>0</v>
      </c>
      <c r="N386" s="142">
        <f t="shared" si="82"/>
        <v>0</v>
      </c>
      <c r="O386" s="59">
        <f t="shared" si="83"/>
        <v>6824.09</v>
      </c>
      <c r="P386" s="142">
        <f t="shared" si="84"/>
        <v>0</v>
      </c>
      <c r="Q386" s="142">
        <f t="shared" si="85"/>
        <v>0</v>
      </c>
      <c r="R386" s="142">
        <f t="shared" si="86"/>
        <v>0</v>
      </c>
      <c r="S386" s="142">
        <f t="shared" si="87"/>
        <v>0</v>
      </c>
      <c r="T386" s="142">
        <f t="shared" si="88"/>
        <v>0</v>
      </c>
      <c r="U386" s="60">
        <f t="shared" si="89"/>
        <v>0</v>
      </c>
    </row>
    <row r="387" spans="1:21" x14ac:dyDescent="0.2">
      <c r="A387" s="115"/>
      <c r="B387" s="139" t="s">
        <v>65</v>
      </c>
      <c r="C387" s="140" t="s">
        <v>376</v>
      </c>
      <c r="D387" s="141">
        <v>45712</v>
      </c>
      <c r="E387" s="141">
        <v>45818</v>
      </c>
      <c r="F387" s="57">
        <v>4057.02</v>
      </c>
      <c r="G387" s="58">
        <f t="shared" si="75"/>
        <v>-204</v>
      </c>
      <c r="H387" s="142">
        <f t="shared" si="76"/>
        <v>4057.02</v>
      </c>
      <c r="I387" s="142">
        <f t="shared" si="77"/>
        <v>0</v>
      </c>
      <c r="J387" s="143">
        <f t="shared" si="78"/>
        <v>0</v>
      </c>
      <c r="K387" s="143">
        <f t="shared" si="79"/>
        <v>0</v>
      </c>
      <c r="L387" s="142">
        <f t="shared" si="80"/>
        <v>0</v>
      </c>
      <c r="M387" s="142">
        <f t="shared" si="81"/>
        <v>0</v>
      </c>
      <c r="N387" s="142">
        <f t="shared" si="82"/>
        <v>0</v>
      </c>
      <c r="O387" s="59">
        <f t="shared" si="83"/>
        <v>4057.02</v>
      </c>
      <c r="P387" s="142">
        <f t="shared" si="84"/>
        <v>0</v>
      </c>
      <c r="Q387" s="142">
        <f t="shared" si="85"/>
        <v>0</v>
      </c>
      <c r="R387" s="142">
        <f t="shared" si="86"/>
        <v>0</v>
      </c>
      <c r="S387" s="142">
        <f t="shared" si="87"/>
        <v>0</v>
      </c>
      <c r="T387" s="142">
        <f t="shared" si="88"/>
        <v>0</v>
      </c>
      <c r="U387" s="60">
        <f t="shared" si="89"/>
        <v>0</v>
      </c>
    </row>
    <row r="388" spans="1:21" x14ac:dyDescent="0.2">
      <c r="A388" s="115"/>
      <c r="B388" s="139" t="s">
        <v>65</v>
      </c>
      <c r="C388" s="140" t="s">
        <v>377</v>
      </c>
      <c r="D388" s="141">
        <v>45712</v>
      </c>
      <c r="E388" s="141">
        <v>45818</v>
      </c>
      <c r="F388" s="57">
        <v>6824.09</v>
      </c>
      <c r="G388" s="58">
        <f t="shared" si="75"/>
        <v>-204</v>
      </c>
      <c r="H388" s="142">
        <f t="shared" si="76"/>
        <v>6824.09</v>
      </c>
      <c r="I388" s="142">
        <f t="shared" si="77"/>
        <v>0</v>
      </c>
      <c r="J388" s="143">
        <f t="shared" si="78"/>
        <v>0</v>
      </c>
      <c r="K388" s="143">
        <f t="shared" si="79"/>
        <v>0</v>
      </c>
      <c r="L388" s="142">
        <f t="shared" si="80"/>
        <v>0</v>
      </c>
      <c r="M388" s="142">
        <f t="shared" si="81"/>
        <v>0</v>
      </c>
      <c r="N388" s="142">
        <f t="shared" si="82"/>
        <v>0</v>
      </c>
      <c r="O388" s="59">
        <f t="shared" si="83"/>
        <v>6824.09</v>
      </c>
      <c r="P388" s="142">
        <f t="shared" si="84"/>
        <v>0</v>
      </c>
      <c r="Q388" s="142">
        <f t="shared" si="85"/>
        <v>0</v>
      </c>
      <c r="R388" s="142">
        <f t="shared" si="86"/>
        <v>0</v>
      </c>
      <c r="S388" s="142">
        <f t="shared" si="87"/>
        <v>0</v>
      </c>
      <c r="T388" s="142">
        <f t="shared" si="88"/>
        <v>0</v>
      </c>
      <c r="U388" s="60">
        <f t="shared" si="89"/>
        <v>0</v>
      </c>
    </row>
    <row r="389" spans="1:21" x14ac:dyDescent="0.2">
      <c r="A389" s="115"/>
      <c r="B389" s="139" t="s">
        <v>65</v>
      </c>
      <c r="C389" s="140" t="s">
        <v>376</v>
      </c>
      <c r="D389" s="141">
        <v>45712</v>
      </c>
      <c r="E389" s="141">
        <v>45848</v>
      </c>
      <c r="F389" s="57">
        <v>4057.02</v>
      </c>
      <c r="G389" s="58">
        <f t="shared" si="75"/>
        <v>-174</v>
      </c>
      <c r="H389" s="142">
        <f t="shared" si="76"/>
        <v>0</v>
      </c>
      <c r="I389" s="142">
        <f t="shared" si="77"/>
        <v>4057.02</v>
      </c>
      <c r="J389" s="143">
        <f t="shared" si="78"/>
        <v>0</v>
      </c>
      <c r="K389" s="143">
        <f t="shared" si="79"/>
        <v>0</v>
      </c>
      <c r="L389" s="142">
        <f t="shared" si="80"/>
        <v>0</v>
      </c>
      <c r="M389" s="142">
        <f t="shared" si="81"/>
        <v>0</v>
      </c>
      <c r="N389" s="142">
        <f t="shared" si="82"/>
        <v>0</v>
      </c>
      <c r="O389" s="59">
        <f t="shared" si="83"/>
        <v>4057.02</v>
      </c>
      <c r="P389" s="142">
        <f t="shared" si="84"/>
        <v>0</v>
      </c>
      <c r="Q389" s="142">
        <f t="shared" si="85"/>
        <v>0</v>
      </c>
      <c r="R389" s="142">
        <f t="shared" si="86"/>
        <v>0</v>
      </c>
      <c r="S389" s="142">
        <f t="shared" si="87"/>
        <v>0</v>
      </c>
      <c r="T389" s="142">
        <f t="shared" si="88"/>
        <v>0</v>
      </c>
      <c r="U389" s="60">
        <f t="shared" si="89"/>
        <v>0</v>
      </c>
    </row>
    <row r="390" spans="1:21" x14ac:dyDescent="0.2">
      <c r="A390" s="115"/>
      <c r="B390" s="139" t="s">
        <v>65</v>
      </c>
      <c r="C390" s="140" t="s">
        <v>377</v>
      </c>
      <c r="D390" s="141">
        <v>45712</v>
      </c>
      <c r="E390" s="141">
        <v>45848</v>
      </c>
      <c r="F390" s="57">
        <v>6824.09</v>
      </c>
      <c r="G390" s="58">
        <f t="shared" si="75"/>
        <v>-174</v>
      </c>
      <c r="H390" s="142">
        <f t="shared" si="76"/>
        <v>0</v>
      </c>
      <c r="I390" s="142">
        <f t="shared" si="77"/>
        <v>6824.09</v>
      </c>
      <c r="J390" s="143">
        <f t="shared" si="78"/>
        <v>0</v>
      </c>
      <c r="K390" s="143">
        <f t="shared" si="79"/>
        <v>0</v>
      </c>
      <c r="L390" s="142">
        <f t="shared" si="80"/>
        <v>0</v>
      </c>
      <c r="M390" s="142">
        <f t="shared" si="81"/>
        <v>0</v>
      </c>
      <c r="N390" s="142">
        <f t="shared" si="82"/>
        <v>0</v>
      </c>
      <c r="O390" s="59">
        <f t="shared" si="83"/>
        <v>6824.09</v>
      </c>
      <c r="P390" s="142">
        <f t="shared" si="84"/>
        <v>0</v>
      </c>
      <c r="Q390" s="142">
        <f t="shared" si="85"/>
        <v>0</v>
      </c>
      <c r="R390" s="142">
        <f t="shared" si="86"/>
        <v>0</v>
      </c>
      <c r="S390" s="142">
        <f t="shared" si="87"/>
        <v>0</v>
      </c>
      <c r="T390" s="142">
        <f t="shared" si="88"/>
        <v>0</v>
      </c>
      <c r="U390" s="60">
        <f t="shared" si="89"/>
        <v>0</v>
      </c>
    </row>
    <row r="391" spans="1:21" x14ac:dyDescent="0.2">
      <c r="A391" s="115"/>
      <c r="B391" s="139" t="s">
        <v>65</v>
      </c>
      <c r="C391" s="140" t="s">
        <v>376</v>
      </c>
      <c r="D391" s="141">
        <v>45712</v>
      </c>
      <c r="E391" s="141">
        <v>45879</v>
      </c>
      <c r="F391" s="57">
        <v>4057.02</v>
      </c>
      <c r="G391" s="58">
        <f t="shared" ref="G391:G454" si="90">E391-$H$3</f>
        <v>-143</v>
      </c>
      <c r="H391" s="142">
        <f t="shared" ref="H391:H454" si="91">IF(AND($G391&gt;=-8000,$G391&lt;=-181),$F391,0)</f>
        <v>0</v>
      </c>
      <c r="I391" s="142">
        <f t="shared" ref="I391:I454" si="92">IF(AND($G391&gt;=-180,$G391&lt;=-151),$F391,0)</f>
        <v>0</v>
      </c>
      <c r="J391" s="143">
        <f t="shared" ref="J391:J454" si="93">IF(AND($G391&gt;=-150,$G391&lt;=-121),$F391,0)</f>
        <v>4057.02</v>
      </c>
      <c r="K391" s="143">
        <f t="shared" ref="K391:K454" si="94">IF(AND($G391&gt;=-120,$G391&lt;=-91),$F391,0)</f>
        <v>0</v>
      </c>
      <c r="L391" s="142">
        <f t="shared" ref="L391:L454" si="95">IF(AND($G391&gt;=-90,$G391&lt;=-61),$F391,0)</f>
        <v>0</v>
      </c>
      <c r="M391" s="142">
        <f t="shared" ref="M391:M454" si="96">IF(AND($G391&gt;=-60,$G391&lt;=-31),$F391,0)</f>
        <v>0</v>
      </c>
      <c r="N391" s="142">
        <f t="shared" ref="N391:N454" si="97">IF(AND($G391&gt;=-30,$G391&lt;=-1),$F391,0)</f>
        <v>0</v>
      </c>
      <c r="O391" s="59">
        <f t="shared" ref="O391:O454" si="98">SUM(H391:N391)</f>
        <v>4057.02</v>
      </c>
      <c r="P391" s="142">
        <f t="shared" ref="P391:P454" si="99">IF(AND($G391&lt;=30,$G391&gt;=0),$F391,0)</f>
        <v>0</v>
      </c>
      <c r="Q391" s="142">
        <f t="shared" ref="Q391:Q454" si="100">IF(AND($G391&lt;=60,$G391&gt;=31),$F391,0)</f>
        <v>0</v>
      </c>
      <c r="R391" s="142">
        <f t="shared" ref="R391:R454" si="101">IF(AND($G391&lt;=90,$G391&gt;=61),$F391,0)</f>
        <v>0</v>
      </c>
      <c r="S391" s="142">
        <f t="shared" ref="S391:S454" si="102">IF(AND($G391&lt;=120,$G391&gt;=91),$F391,0)</f>
        <v>0</v>
      </c>
      <c r="T391" s="142">
        <f t="shared" ref="T391:T454" si="103">IF(G391&gt;=121,F391,0)</f>
        <v>0</v>
      </c>
      <c r="U391" s="60">
        <f t="shared" ref="U391:U454" si="104">SUM(P391:T391)</f>
        <v>0</v>
      </c>
    </row>
    <row r="392" spans="1:21" x14ac:dyDescent="0.2">
      <c r="A392" s="115"/>
      <c r="B392" s="139" t="s">
        <v>65</v>
      </c>
      <c r="C392" s="140" t="s">
        <v>377</v>
      </c>
      <c r="D392" s="141">
        <v>45712</v>
      </c>
      <c r="E392" s="141">
        <v>45879</v>
      </c>
      <c r="F392" s="57">
        <v>6824.09</v>
      </c>
      <c r="G392" s="58">
        <f t="shared" si="90"/>
        <v>-143</v>
      </c>
      <c r="H392" s="142">
        <f t="shared" si="91"/>
        <v>0</v>
      </c>
      <c r="I392" s="142">
        <f t="shared" si="92"/>
        <v>0</v>
      </c>
      <c r="J392" s="143">
        <f t="shared" si="93"/>
        <v>6824.09</v>
      </c>
      <c r="K392" s="143">
        <f t="shared" si="94"/>
        <v>0</v>
      </c>
      <c r="L392" s="142">
        <f t="shared" si="95"/>
        <v>0</v>
      </c>
      <c r="M392" s="142">
        <f t="shared" si="96"/>
        <v>0</v>
      </c>
      <c r="N392" s="142">
        <f t="shared" si="97"/>
        <v>0</v>
      </c>
      <c r="O392" s="59">
        <f t="shared" si="98"/>
        <v>6824.09</v>
      </c>
      <c r="P392" s="142">
        <f t="shared" si="99"/>
        <v>0</v>
      </c>
      <c r="Q392" s="142">
        <f t="shared" si="100"/>
        <v>0</v>
      </c>
      <c r="R392" s="142">
        <f t="shared" si="101"/>
        <v>0</v>
      </c>
      <c r="S392" s="142">
        <f t="shared" si="102"/>
        <v>0</v>
      </c>
      <c r="T392" s="142">
        <f t="shared" si="103"/>
        <v>0</v>
      </c>
      <c r="U392" s="60">
        <f t="shared" si="104"/>
        <v>0</v>
      </c>
    </row>
    <row r="393" spans="1:21" x14ac:dyDescent="0.2">
      <c r="A393" s="115"/>
      <c r="B393" s="139" t="s">
        <v>65</v>
      </c>
      <c r="C393" s="140" t="s">
        <v>376</v>
      </c>
      <c r="D393" s="141">
        <v>45712</v>
      </c>
      <c r="E393" s="141">
        <v>45910</v>
      </c>
      <c r="F393" s="57">
        <v>4057.02</v>
      </c>
      <c r="G393" s="58">
        <f t="shared" si="90"/>
        <v>-112</v>
      </c>
      <c r="H393" s="142">
        <f t="shared" si="91"/>
        <v>0</v>
      </c>
      <c r="I393" s="142">
        <f t="shared" si="92"/>
        <v>0</v>
      </c>
      <c r="J393" s="143">
        <f t="shared" si="93"/>
        <v>0</v>
      </c>
      <c r="K393" s="143">
        <f t="shared" si="94"/>
        <v>4057.02</v>
      </c>
      <c r="L393" s="142">
        <f t="shared" si="95"/>
        <v>0</v>
      </c>
      <c r="M393" s="142">
        <f t="shared" si="96"/>
        <v>0</v>
      </c>
      <c r="N393" s="142">
        <f t="shared" si="97"/>
        <v>0</v>
      </c>
      <c r="O393" s="59">
        <f t="shared" si="98"/>
        <v>4057.02</v>
      </c>
      <c r="P393" s="142">
        <f t="shared" si="99"/>
        <v>0</v>
      </c>
      <c r="Q393" s="142">
        <f t="shared" si="100"/>
        <v>0</v>
      </c>
      <c r="R393" s="142">
        <f t="shared" si="101"/>
        <v>0</v>
      </c>
      <c r="S393" s="142">
        <f t="shared" si="102"/>
        <v>0</v>
      </c>
      <c r="T393" s="142">
        <f t="shared" si="103"/>
        <v>0</v>
      </c>
      <c r="U393" s="60">
        <f t="shared" si="104"/>
        <v>0</v>
      </c>
    </row>
    <row r="394" spans="1:21" x14ac:dyDescent="0.2">
      <c r="A394" s="115"/>
      <c r="B394" s="139" t="s">
        <v>65</v>
      </c>
      <c r="C394" s="140" t="s">
        <v>377</v>
      </c>
      <c r="D394" s="141">
        <v>45712</v>
      </c>
      <c r="E394" s="141">
        <v>45910</v>
      </c>
      <c r="F394" s="57">
        <v>6824.09</v>
      </c>
      <c r="G394" s="58">
        <f t="shared" si="90"/>
        <v>-112</v>
      </c>
      <c r="H394" s="142">
        <f t="shared" si="91"/>
        <v>0</v>
      </c>
      <c r="I394" s="142">
        <f t="shared" si="92"/>
        <v>0</v>
      </c>
      <c r="J394" s="143">
        <f t="shared" si="93"/>
        <v>0</v>
      </c>
      <c r="K394" s="143">
        <f t="shared" si="94"/>
        <v>6824.09</v>
      </c>
      <c r="L394" s="142">
        <f t="shared" si="95"/>
        <v>0</v>
      </c>
      <c r="M394" s="142">
        <f t="shared" si="96"/>
        <v>0</v>
      </c>
      <c r="N394" s="142">
        <f t="shared" si="97"/>
        <v>0</v>
      </c>
      <c r="O394" s="59">
        <f t="shared" si="98"/>
        <v>6824.09</v>
      </c>
      <c r="P394" s="142">
        <f t="shared" si="99"/>
        <v>0</v>
      </c>
      <c r="Q394" s="142">
        <f t="shared" si="100"/>
        <v>0</v>
      </c>
      <c r="R394" s="142">
        <f t="shared" si="101"/>
        <v>0</v>
      </c>
      <c r="S394" s="142">
        <f t="shared" si="102"/>
        <v>0</v>
      </c>
      <c r="T394" s="142">
        <f t="shared" si="103"/>
        <v>0</v>
      </c>
      <c r="U394" s="60">
        <f t="shared" si="104"/>
        <v>0</v>
      </c>
    </row>
    <row r="395" spans="1:21" x14ac:dyDescent="0.2">
      <c r="A395" s="115"/>
      <c r="B395" s="139" t="s">
        <v>65</v>
      </c>
      <c r="C395" s="140" t="s">
        <v>376</v>
      </c>
      <c r="D395" s="141">
        <v>45712</v>
      </c>
      <c r="E395" s="141">
        <v>45940</v>
      </c>
      <c r="F395" s="57">
        <v>4057.02</v>
      </c>
      <c r="G395" s="58">
        <f t="shared" si="90"/>
        <v>-82</v>
      </c>
      <c r="H395" s="142">
        <f t="shared" si="91"/>
        <v>0</v>
      </c>
      <c r="I395" s="142">
        <f t="shared" si="92"/>
        <v>0</v>
      </c>
      <c r="J395" s="143">
        <f t="shared" si="93"/>
        <v>0</v>
      </c>
      <c r="K395" s="143">
        <f t="shared" si="94"/>
        <v>0</v>
      </c>
      <c r="L395" s="142">
        <f t="shared" si="95"/>
        <v>4057.02</v>
      </c>
      <c r="M395" s="142">
        <f t="shared" si="96"/>
        <v>0</v>
      </c>
      <c r="N395" s="142">
        <f t="shared" si="97"/>
        <v>0</v>
      </c>
      <c r="O395" s="59">
        <f t="shared" si="98"/>
        <v>4057.02</v>
      </c>
      <c r="P395" s="142">
        <f t="shared" si="99"/>
        <v>0</v>
      </c>
      <c r="Q395" s="142">
        <f t="shared" si="100"/>
        <v>0</v>
      </c>
      <c r="R395" s="142">
        <f t="shared" si="101"/>
        <v>0</v>
      </c>
      <c r="S395" s="142">
        <f t="shared" si="102"/>
        <v>0</v>
      </c>
      <c r="T395" s="142">
        <f t="shared" si="103"/>
        <v>0</v>
      </c>
      <c r="U395" s="60">
        <f t="shared" si="104"/>
        <v>0</v>
      </c>
    </row>
    <row r="396" spans="1:21" x14ac:dyDescent="0.2">
      <c r="A396" s="115"/>
      <c r="B396" s="139" t="s">
        <v>65</v>
      </c>
      <c r="C396" s="140" t="s">
        <v>377</v>
      </c>
      <c r="D396" s="141">
        <v>45712</v>
      </c>
      <c r="E396" s="141">
        <v>45940</v>
      </c>
      <c r="F396" s="57">
        <v>6824.09</v>
      </c>
      <c r="G396" s="58">
        <f t="shared" si="90"/>
        <v>-82</v>
      </c>
      <c r="H396" s="142">
        <f t="shared" si="91"/>
        <v>0</v>
      </c>
      <c r="I396" s="142">
        <f t="shared" si="92"/>
        <v>0</v>
      </c>
      <c r="J396" s="143">
        <f t="shared" si="93"/>
        <v>0</v>
      </c>
      <c r="K396" s="143">
        <f t="shared" si="94"/>
        <v>0</v>
      </c>
      <c r="L396" s="142">
        <f t="shared" si="95"/>
        <v>6824.09</v>
      </c>
      <c r="M396" s="142">
        <f t="shared" si="96"/>
        <v>0</v>
      </c>
      <c r="N396" s="142">
        <f t="shared" si="97"/>
        <v>0</v>
      </c>
      <c r="O396" s="59">
        <f t="shared" si="98"/>
        <v>6824.09</v>
      </c>
      <c r="P396" s="142">
        <f t="shared" si="99"/>
        <v>0</v>
      </c>
      <c r="Q396" s="142">
        <f t="shared" si="100"/>
        <v>0</v>
      </c>
      <c r="R396" s="142">
        <f t="shared" si="101"/>
        <v>0</v>
      </c>
      <c r="S396" s="142">
        <f t="shared" si="102"/>
        <v>0</v>
      </c>
      <c r="T396" s="142">
        <f t="shared" si="103"/>
        <v>0</v>
      </c>
      <c r="U396" s="60">
        <f t="shared" si="104"/>
        <v>0</v>
      </c>
    </row>
    <row r="397" spans="1:21" x14ac:dyDescent="0.2">
      <c r="A397" s="115"/>
      <c r="B397" s="139" t="s">
        <v>65</v>
      </c>
      <c r="C397" s="140" t="s">
        <v>376</v>
      </c>
      <c r="D397" s="141">
        <v>45712</v>
      </c>
      <c r="E397" s="141">
        <v>45971</v>
      </c>
      <c r="F397" s="57">
        <v>4057.02</v>
      </c>
      <c r="G397" s="58">
        <f t="shared" si="90"/>
        <v>-51</v>
      </c>
      <c r="H397" s="142">
        <f t="shared" si="91"/>
        <v>0</v>
      </c>
      <c r="I397" s="142">
        <f t="shared" si="92"/>
        <v>0</v>
      </c>
      <c r="J397" s="143">
        <f t="shared" si="93"/>
        <v>0</v>
      </c>
      <c r="K397" s="143">
        <f t="shared" si="94"/>
        <v>0</v>
      </c>
      <c r="L397" s="142">
        <f t="shared" si="95"/>
        <v>0</v>
      </c>
      <c r="M397" s="142">
        <f t="shared" si="96"/>
        <v>4057.02</v>
      </c>
      <c r="N397" s="142">
        <f t="shared" si="97"/>
        <v>0</v>
      </c>
      <c r="O397" s="59">
        <f t="shared" si="98"/>
        <v>4057.02</v>
      </c>
      <c r="P397" s="142">
        <f t="shared" si="99"/>
        <v>0</v>
      </c>
      <c r="Q397" s="142">
        <f t="shared" si="100"/>
        <v>0</v>
      </c>
      <c r="R397" s="142">
        <f t="shared" si="101"/>
        <v>0</v>
      </c>
      <c r="S397" s="142">
        <f t="shared" si="102"/>
        <v>0</v>
      </c>
      <c r="T397" s="142">
        <f t="shared" si="103"/>
        <v>0</v>
      </c>
      <c r="U397" s="60">
        <f t="shared" si="104"/>
        <v>0</v>
      </c>
    </row>
    <row r="398" spans="1:21" x14ac:dyDescent="0.2">
      <c r="A398" s="115"/>
      <c r="B398" s="139" t="s">
        <v>65</v>
      </c>
      <c r="C398" s="140" t="s">
        <v>377</v>
      </c>
      <c r="D398" s="141">
        <v>45712</v>
      </c>
      <c r="E398" s="141">
        <v>45971</v>
      </c>
      <c r="F398" s="57">
        <v>6824.09</v>
      </c>
      <c r="G398" s="58">
        <f t="shared" si="90"/>
        <v>-51</v>
      </c>
      <c r="H398" s="142">
        <f t="shared" si="91"/>
        <v>0</v>
      </c>
      <c r="I398" s="142">
        <f t="shared" si="92"/>
        <v>0</v>
      </c>
      <c r="J398" s="143">
        <f t="shared" si="93"/>
        <v>0</v>
      </c>
      <c r="K398" s="143">
        <f t="shared" si="94"/>
        <v>0</v>
      </c>
      <c r="L398" s="142">
        <f t="shared" si="95"/>
        <v>0</v>
      </c>
      <c r="M398" s="142">
        <f t="shared" si="96"/>
        <v>6824.09</v>
      </c>
      <c r="N398" s="142">
        <f t="shared" si="97"/>
        <v>0</v>
      </c>
      <c r="O398" s="59">
        <f t="shared" si="98"/>
        <v>6824.09</v>
      </c>
      <c r="P398" s="142">
        <f t="shared" si="99"/>
        <v>0</v>
      </c>
      <c r="Q398" s="142">
        <f t="shared" si="100"/>
        <v>0</v>
      </c>
      <c r="R398" s="142">
        <f t="shared" si="101"/>
        <v>0</v>
      </c>
      <c r="S398" s="142">
        <f t="shared" si="102"/>
        <v>0</v>
      </c>
      <c r="T398" s="142">
        <f t="shared" si="103"/>
        <v>0</v>
      </c>
      <c r="U398" s="60">
        <f t="shared" si="104"/>
        <v>0</v>
      </c>
    </row>
    <row r="399" spans="1:21" x14ac:dyDescent="0.2">
      <c r="A399" s="115"/>
      <c r="B399" s="139" t="s">
        <v>65</v>
      </c>
      <c r="C399" s="140" t="s">
        <v>376</v>
      </c>
      <c r="D399" s="141">
        <v>45712</v>
      </c>
      <c r="E399" s="141">
        <v>46001</v>
      </c>
      <c r="F399" s="57">
        <v>4057.02</v>
      </c>
      <c r="G399" s="58">
        <f t="shared" si="90"/>
        <v>-21</v>
      </c>
      <c r="H399" s="142">
        <f t="shared" si="91"/>
        <v>0</v>
      </c>
      <c r="I399" s="142">
        <f t="shared" si="92"/>
        <v>0</v>
      </c>
      <c r="J399" s="143">
        <f t="shared" si="93"/>
        <v>0</v>
      </c>
      <c r="K399" s="143">
        <f t="shared" si="94"/>
        <v>0</v>
      </c>
      <c r="L399" s="142">
        <f t="shared" si="95"/>
        <v>0</v>
      </c>
      <c r="M399" s="142">
        <f t="shared" si="96"/>
        <v>0</v>
      </c>
      <c r="N399" s="142">
        <f t="shared" si="97"/>
        <v>4057.02</v>
      </c>
      <c r="O399" s="59">
        <f t="shared" si="98"/>
        <v>4057.02</v>
      </c>
      <c r="P399" s="142">
        <f t="shared" si="99"/>
        <v>0</v>
      </c>
      <c r="Q399" s="142">
        <f t="shared" si="100"/>
        <v>0</v>
      </c>
      <c r="R399" s="142">
        <f t="shared" si="101"/>
        <v>0</v>
      </c>
      <c r="S399" s="142">
        <f t="shared" si="102"/>
        <v>0</v>
      </c>
      <c r="T399" s="142">
        <f t="shared" si="103"/>
        <v>0</v>
      </c>
      <c r="U399" s="60">
        <f t="shared" si="104"/>
        <v>0</v>
      </c>
    </row>
    <row r="400" spans="1:21" x14ac:dyDescent="0.2">
      <c r="A400" s="115"/>
      <c r="B400" s="139" t="s">
        <v>65</v>
      </c>
      <c r="C400" s="140" t="s">
        <v>377</v>
      </c>
      <c r="D400" s="141">
        <v>45712</v>
      </c>
      <c r="E400" s="141">
        <v>46001</v>
      </c>
      <c r="F400" s="57">
        <v>6824.09</v>
      </c>
      <c r="G400" s="58">
        <f t="shared" si="90"/>
        <v>-21</v>
      </c>
      <c r="H400" s="142">
        <f t="shared" si="91"/>
        <v>0</v>
      </c>
      <c r="I400" s="142">
        <f t="shared" si="92"/>
        <v>0</v>
      </c>
      <c r="J400" s="143">
        <f t="shared" si="93"/>
        <v>0</v>
      </c>
      <c r="K400" s="143">
        <f t="shared" si="94"/>
        <v>0</v>
      </c>
      <c r="L400" s="142">
        <f t="shared" si="95"/>
        <v>0</v>
      </c>
      <c r="M400" s="142">
        <f t="shared" si="96"/>
        <v>0</v>
      </c>
      <c r="N400" s="142">
        <f t="shared" si="97"/>
        <v>6824.09</v>
      </c>
      <c r="O400" s="59">
        <f t="shared" si="98"/>
        <v>6824.09</v>
      </c>
      <c r="P400" s="142">
        <f t="shared" si="99"/>
        <v>0</v>
      </c>
      <c r="Q400" s="142">
        <f t="shared" si="100"/>
        <v>0</v>
      </c>
      <c r="R400" s="142">
        <f t="shared" si="101"/>
        <v>0</v>
      </c>
      <c r="S400" s="142">
        <f t="shared" si="102"/>
        <v>0</v>
      </c>
      <c r="T400" s="142">
        <f t="shared" si="103"/>
        <v>0</v>
      </c>
      <c r="U400" s="60">
        <f t="shared" si="104"/>
        <v>0</v>
      </c>
    </row>
    <row r="401" spans="1:21" x14ac:dyDescent="0.2">
      <c r="A401" s="115"/>
      <c r="B401" s="139" t="s">
        <v>65</v>
      </c>
      <c r="C401" s="140" t="s">
        <v>376</v>
      </c>
      <c r="D401" s="141">
        <v>45712</v>
      </c>
      <c r="E401" s="141">
        <v>46032</v>
      </c>
      <c r="F401" s="57">
        <v>4057.02</v>
      </c>
      <c r="G401" s="58">
        <f t="shared" si="90"/>
        <v>10</v>
      </c>
      <c r="H401" s="142">
        <f t="shared" si="91"/>
        <v>0</v>
      </c>
      <c r="I401" s="142">
        <f t="shared" si="92"/>
        <v>0</v>
      </c>
      <c r="J401" s="143">
        <f t="shared" si="93"/>
        <v>0</v>
      </c>
      <c r="K401" s="143">
        <f t="shared" si="94"/>
        <v>0</v>
      </c>
      <c r="L401" s="142">
        <f t="shared" si="95"/>
        <v>0</v>
      </c>
      <c r="M401" s="142">
        <f t="shared" si="96"/>
        <v>0</v>
      </c>
      <c r="N401" s="142">
        <f t="shared" si="97"/>
        <v>0</v>
      </c>
      <c r="O401" s="59">
        <f t="shared" si="98"/>
        <v>0</v>
      </c>
      <c r="P401" s="142">
        <f t="shared" si="99"/>
        <v>4057.02</v>
      </c>
      <c r="Q401" s="142">
        <f t="shared" si="100"/>
        <v>0</v>
      </c>
      <c r="R401" s="142">
        <f t="shared" si="101"/>
        <v>0</v>
      </c>
      <c r="S401" s="142">
        <f t="shared" si="102"/>
        <v>0</v>
      </c>
      <c r="T401" s="142">
        <f t="shared" si="103"/>
        <v>0</v>
      </c>
      <c r="U401" s="60">
        <f t="shared" si="104"/>
        <v>4057.02</v>
      </c>
    </row>
    <row r="402" spans="1:21" x14ac:dyDescent="0.2">
      <c r="A402" s="115"/>
      <c r="B402" s="139" t="s">
        <v>65</v>
      </c>
      <c r="C402" s="140" t="s">
        <v>377</v>
      </c>
      <c r="D402" s="141">
        <v>45712</v>
      </c>
      <c r="E402" s="141">
        <v>46032</v>
      </c>
      <c r="F402" s="57">
        <v>6824.09</v>
      </c>
      <c r="G402" s="58">
        <f t="shared" si="90"/>
        <v>10</v>
      </c>
      <c r="H402" s="142">
        <f t="shared" si="91"/>
        <v>0</v>
      </c>
      <c r="I402" s="142">
        <f t="shared" si="92"/>
        <v>0</v>
      </c>
      <c r="J402" s="143">
        <f t="shared" si="93"/>
        <v>0</v>
      </c>
      <c r="K402" s="143">
        <f t="shared" si="94"/>
        <v>0</v>
      </c>
      <c r="L402" s="142">
        <f t="shared" si="95"/>
        <v>0</v>
      </c>
      <c r="M402" s="142">
        <f t="shared" si="96"/>
        <v>0</v>
      </c>
      <c r="N402" s="142">
        <f t="shared" si="97"/>
        <v>0</v>
      </c>
      <c r="O402" s="59">
        <f t="shared" si="98"/>
        <v>0</v>
      </c>
      <c r="P402" s="142">
        <f t="shared" si="99"/>
        <v>6824.09</v>
      </c>
      <c r="Q402" s="142">
        <f t="shared" si="100"/>
        <v>0</v>
      </c>
      <c r="R402" s="142">
        <f t="shared" si="101"/>
        <v>0</v>
      </c>
      <c r="S402" s="142">
        <f t="shared" si="102"/>
        <v>0</v>
      </c>
      <c r="T402" s="142">
        <f t="shared" si="103"/>
        <v>0</v>
      </c>
      <c r="U402" s="60">
        <f t="shared" si="104"/>
        <v>6824.09</v>
      </c>
    </row>
    <row r="403" spans="1:21" x14ac:dyDescent="0.2">
      <c r="A403" s="115"/>
      <c r="B403" s="139" t="s">
        <v>65</v>
      </c>
      <c r="C403" s="140" t="s">
        <v>376</v>
      </c>
      <c r="D403" s="141">
        <v>45712</v>
      </c>
      <c r="E403" s="141">
        <v>46063</v>
      </c>
      <c r="F403" s="57">
        <v>4057.02</v>
      </c>
      <c r="G403" s="58">
        <f t="shared" si="90"/>
        <v>41</v>
      </c>
      <c r="H403" s="142">
        <f t="shared" si="91"/>
        <v>0</v>
      </c>
      <c r="I403" s="142">
        <f t="shared" si="92"/>
        <v>0</v>
      </c>
      <c r="J403" s="143">
        <f t="shared" si="93"/>
        <v>0</v>
      </c>
      <c r="K403" s="143">
        <f t="shared" si="94"/>
        <v>0</v>
      </c>
      <c r="L403" s="142">
        <f t="shared" si="95"/>
        <v>0</v>
      </c>
      <c r="M403" s="142">
        <f t="shared" si="96"/>
        <v>0</v>
      </c>
      <c r="N403" s="142">
        <f t="shared" si="97"/>
        <v>0</v>
      </c>
      <c r="O403" s="59">
        <f t="shared" si="98"/>
        <v>0</v>
      </c>
      <c r="P403" s="142">
        <f t="shared" si="99"/>
        <v>0</v>
      </c>
      <c r="Q403" s="142">
        <f t="shared" si="100"/>
        <v>4057.02</v>
      </c>
      <c r="R403" s="142">
        <f t="shared" si="101"/>
        <v>0</v>
      </c>
      <c r="S403" s="142">
        <f t="shared" si="102"/>
        <v>0</v>
      </c>
      <c r="T403" s="142">
        <f t="shared" si="103"/>
        <v>0</v>
      </c>
      <c r="U403" s="60">
        <f t="shared" si="104"/>
        <v>4057.02</v>
      </c>
    </row>
    <row r="404" spans="1:21" x14ac:dyDescent="0.2">
      <c r="A404" s="115"/>
      <c r="B404" s="139" t="s">
        <v>65</v>
      </c>
      <c r="C404" s="140" t="s">
        <v>377</v>
      </c>
      <c r="D404" s="141">
        <v>45712</v>
      </c>
      <c r="E404" s="141">
        <v>46063</v>
      </c>
      <c r="F404" s="57">
        <v>6824.09</v>
      </c>
      <c r="G404" s="58">
        <f t="shared" si="90"/>
        <v>41</v>
      </c>
      <c r="H404" s="142">
        <f t="shared" si="91"/>
        <v>0</v>
      </c>
      <c r="I404" s="142">
        <f t="shared" si="92"/>
        <v>0</v>
      </c>
      <c r="J404" s="143">
        <f t="shared" si="93"/>
        <v>0</v>
      </c>
      <c r="K404" s="143">
        <f t="shared" si="94"/>
        <v>0</v>
      </c>
      <c r="L404" s="142">
        <f t="shared" si="95"/>
        <v>0</v>
      </c>
      <c r="M404" s="142">
        <f t="shared" si="96"/>
        <v>0</v>
      </c>
      <c r="N404" s="142">
        <f t="shared" si="97"/>
        <v>0</v>
      </c>
      <c r="O404" s="59">
        <f t="shared" si="98"/>
        <v>0</v>
      </c>
      <c r="P404" s="142">
        <f t="shared" si="99"/>
        <v>0</v>
      </c>
      <c r="Q404" s="142">
        <f t="shared" si="100"/>
        <v>6824.09</v>
      </c>
      <c r="R404" s="142">
        <f t="shared" si="101"/>
        <v>0</v>
      </c>
      <c r="S404" s="142">
        <f t="shared" si="102"/>
        <v>0</v>
      </c>
      <c r="T404" s="142">
        <f t="shared" si="103"/>
        <v>0</v>
      </c>
      <c r="U404" s="60">
        <f t="shared" si="104"/>
        <v>6824.09</v>
      </c>
    </row>
    <row r="405" spans="1:21" x14ac:dyDescent="0.2">
      <c r="A405" s="115"/>
      <c r="B405" s="139" t="s">
        <v>65</v>
      </c>
      <c r="C405" s="140" t="s">
        <v>376</v>
      </c>
      <c r="D405" s="141">
        <v>45712</v>
      </c>
      <c r="E405" s="141">
        <v>46091</v>
      </c>
      <c r="F405" s="57">
        <v>4057.02</v>
      </c>
      <c r="G405" s="58">
        <f t="shared" si="90"/>
        <v>69</v>
      </c>
      <c r="H405" s="142">
        <f t="shared" si="91"/>
        <v>0</v>
      </c>
      <c r="I405" s="142">
        <f t="shared" si="92"/>
        <v>0</v>
      </c>
      <c r="J405" s="143">
        <f t="shared" si="93"/>
        <v>0</v>
      </c>
      <c r="K405" s="143">
        <f t="shared" si="94"/>
        <v>0</v>
      </c>
      <c r="L405" s="142">
        <f t="shared" si="95"/>
        <v>0</v>
      </c>
      <c r="M405" s="142">
        <f t="shared" si="96"/>
        <v>0</v>
      </c>
      <c r="N405" s="142">
        <f t="shared" si="97"/>
        <v>0</v>
      </c>
      <c r="O405" s="59">
        <f t="shared" si="98"/>
        <v>0</v>
      </c>
      <c r="P405" s="142">
        <f t="shared" si="99"/>
        <v>0</v>
      </c>
      <c r="Q405" s="142">
        <f t="shared" si="100"/>
        <v>0</v>
      </c>
      <c r="R405" s="142">
        <f t="shared" si="101"/>
        <v>4057.02</v>
      </c>
      <c r="S405" s="142">
        <f t="shared" si="102"/>
        <v>0</v>
      </c>
      <c r="T405" s="142">
        <f t="shared" si="103"/>
        <v>0</v>
      </c>
      <c r="U405" s="60">
        <f t="shared" si="104"/>
        <v>4057.02</v>
      </c>
    </row>
    <row r="406" spans="1:21" x14ac:dyDescent="0.2">
      <c r="A406" s="115"/>
      <c r="B406" s="139" t="s">
        <v>65</v>
      </c>
      <c r="C406" s="140" t="s">
        <v>377</v>
      </c>
      <c r="D406" s="141">
        <v>45712</v>
      </c>
      <c r="E406" s="141">
        <v>46091</v>
      </c>
      <c r="F406" s="57">
        <v>6824.09</v>
      </c>
      <c r="G406" s="58">
        <f t="shared" si="90"/>
        <v>69</v>
      </c>
      <c r="H406" s="142">
        <f t="shared" si="91"/>
        <v>0</v>
      </c>
      <c r="I406" s="142">
        <f t="shared" si="92"/>
        <v>0</v>
      </c>
      <c r="J406" s="143">
        <f t="shared" si="93"/>
        <v>0</v>
      </c>
      <c r="K406" s="143">
        <f t="shared" si="94"/>
        <v>0</v>
      </c>
      <c r="L406" s="142">
        <f t="shared" si="95"/>
        <v>0</v>
      </c>
      <c r="M406" s="142">
        <f t="shared" si="96"/>
        <v>0</v>
      </c>
      <c r="N406" s="142">
        <f t="shared" si="97"/>
        <v>0</v>
      </c>
      <c r="O406" s="59">
        <f t="shared" si="98"/>
        <v>0</v>
      </c>
      <c r="P406" s="142">
        <f t="shared" si="99"/>
        <v>0</v>
      </c>
      <c r="Q406" s="142">
        <f t="shared" si="100"/>
        <v>0</v>
      </c>
      <c r="R406" s="142">
        <f t="shared" si="101"/>
        <v>6824.09</v>
      </c>
      <c r="S406" s="142">
        <f t="shared" si="102"/>
        <v>0</v>
      </c>
      <c r="T406" s="142">
        <f t="shared" si="103"/>
        <v>0</v>
      </c>
      <c r="U406" s="60">
        <f t="shared" si="104"/>
        <v>6824.09</v>
      </c>
    </row>
    <row r="407" spans="1:21" x14ac:dyDescent="0.2">
      <c r="A407" s="115"/>
      <c r="B407" s="139" t="s">
        <v>65</v>
      </c>
      <c r="C407" s="140" t="s">
        <v>376</v>
      </c>
      <c r="D407" s="141">
        <v>45712</v>
      </c>
      <c r="E407" s="141">
        <v>46122</v>
      </c>
      <c r="F407" s="57">
        <v>4057.02</v>
      </c>
      <c r="G407" s="58">
        <f t="shared" si="90"/>
        <v>100</v>
      </c>
      <c r="H407" s="142">
        <f t="shared" si="91"/>
        <v>0</v>
      </c>
      <c r="I407" s="142">
        <f t="shared" si="92"/>
        <v>0</v>
      </c>
      <c r="J407" s="143">
        <f t="shared" si="93"/>
        <v>0</v>
      </c>
      <c r="K407" s="143">
        <f t="shared" si="94"/>
        <v>0</v>
      </c>
      <c r="L407" s="142">
        <f t="shared" si="95"/>
        <v>0</v>
      </c>
      <c r="M407" s="142">
        <f t="shared" si="96"/>
        <v>0</v>
      </c>
      <c r="N407" s="142">
        <f t="shared" si="97"/>
        <v>0</v>
      </c>
      <c r="O407" s="59">
        <f t="shared" si="98"/>
        <v>0</v>
      </c>
      <c r="P407" s="142">
        <f t="shared" si="99"/>
        <v>0</v>
      </c>
      <c r="Q407" s="142">
        <f t="shared" si="100"/>
        <v>0</v>
      </c>
      <c r="R407" s="142">
        <f t="shared" si="101"/>
        <v>0</v>
      </c>
      <c r="S407" s="142">
        <f t="shared" si="102"/>
        <v>4057.02</v>
      </c>
      <c r="T407" s="142">
        <f t="shared" si="103"/>
        <v>0</v>
      </c>
      <c r="U407" s="60">
        <f t="shared" si="104"/>
        <v>4057.02</v>
      </c>
    </row>
    <row r="408" spans="1:21" x14ac:dyDescent="0.2">
      <c r="A408" s="115"/>
      <c r="B408" s="139" t="s">
        <v>65</v>
      </c>
      <c r="C408" s="140" t="s">
        <v>377</v>
      </c>
      <c r="D408" s="141">
        <v>45712</v>
      </c>
      <c r="E408" s="141">
        <v>46122</v>
      </c>
      <c r="F408" s="57">
        <v>6824.09</v>
      </c>
      <c r="G408" s="58">
        <f t="shared" si="90"/>
        <v>100</v>
      </c>
      <c r="H408" s="142">
        <f t="shared" si="91"/>
        <v>0</v>
      </c>
      <c r="I408" s="142">
        <f t="shared" si="92"/>
        <v>0</v>
      </c>
      <c r="J408" s="143">
        <f t="shared" si="93"/>
        <v>0</v>
      </c>
      <c r="K408" s="143">
        <f t="shared" si="94"/>
        <v>0</v>
      </c>
      <c r="L408" s="142">
        <f t="shared" si="95"/>
        <v>0</v>
      </c>
      <c r="M408" s="142">
        <f t="shared" si="96"/>
        <v>0</v>
      </c>
      <c r="N408" s="142">
        <f t="shared" si="97"/>
        <v>0</v>
      </c>
      <c r="O408" s="59">
        <f t="shared" si="98"/>
        <v>0</v>
      </c>
      <c r="P408" s="142">
        <f t="shared" si="99"/>
        <v>0</v>
      </c>
      <c r="Q408" s="142">
        <f t="shared" si="100"/>
        <v>0</v>
      </c>
      <c r="R408" s="142">
        <f t="shared" si="101"/>
        <v>0</v>
      </c>
      <c r="S408" s="142">
        <f t="shared" si="102"/>
        <v>6824.09</v>
      </c>
      <c r="T408" s="142">
        <f t="shared" si="103"/>
        <v>0</v>
      </c>
      <c r="U408" s="60">
        <f t="shared" si="104"/>
        <v>6824.09</v>
      </c>
    </row>
    <row r="409" spans="1:21" x14ac:dyDescent="0.2">
      <c r="A409" s="115"/>
      <c r="B409" s="139" t="s">
        <v>65</v>
      </c>
      <c r="C409" s="140" t="s">
        <v>376</v>
      </c>
      <c r="D409" s="141">
        <v>45712</v>
      </c>
      <c r="E409" s="141">
        <v>46152</v>
      </c>
      <c r="F409" s="57">
        <v>4057.02</v>
      </c>
      <c r="G409" s="58">
        <f t="shared" si="90"/>
        <v>130</v>
      </c>
      <c r="H409" s="142">
        <f t="shared" si="91"/>
        <v>0</v>
      </c>
      <c r="I409" s="142">
        <f t="shared" si="92"/>
        <v>0</v>
      </c>
      <c r="J409" s="143">
        <f t="shared" si="93"/>
        <v>0</v>
      </c>
      <c r="K409" s="143">
        <f t="shared" si="94"/>
        <v>0</v>
      </c>
      <c r="L409" s="142">
        <f t="shared" si="95"/>
        <v>0</v>
      </c>
      <c r="M409" s="142">
        <f t="shared" si="96"/>
        <v>0</v>
      </c>
      <c r="N409" s="142">
        <f t="shared" si="97"/>
        <v>0</v>
      </c>
      <c r="O409" s="59">
        <f t="shared" si="98"/>
        <v>0</v>
      </c>
      <c r="P409" s="142">
        <f t="shared" si="99"/>
        <v>0</v>
      </c>
      <c r="Q409" s="142">
        <f t="shared" si="100"/>
        <v>0</v>
      </c>
      <c r="R409" s="142">
        <f t="shared" si="101"/>
        <v>0</v>
      </c>
      <c r="S409" s="142">
        <f t="shared" si="102"/>
        <v>0</v>
      </c>
      <c r="T409" s="142">
        <f t="shared" si="103"/>
        <v>4057.02</v>
      </c>
      <c r="U409" s="60">
        <f t="shared" si="104"/>
        <v>4057.02</v>
      </c>
    </row>
    <row r="410" spans="1:21" x14ac:dyDescent="0.2">
      <c r="A410" s="115"/>
      <c r="B410" s="139" t="s">
        <v>65</v>
      </c>
      <c r="C410" s="140" t="s">
        <v>377</v>
      </c>
      <c r="D410" s="141">
        <v>45712</v>
      </c>
      <c r="E410" s="141">
        <v>46152</v>
      </c>
      <c r="F410" s="57">
        <v>6824.09</v>
      </c>
      <c r="G410" s="58">
        <f t="shared" si="90"/>
        <v>130</v>
      </c>
      <c r="H410" s="142">
        <f t="shared" si="91"/>
        <v>0</v>
      </c>
      <c r="I410" s="142">
        <f t="shared" si="92"/>
        <v>0</v>
      </c>
      <c r="J410" s="143">
        <f t="shared" si="93"/>
        <v>0</v>
      </c>
      <c r="K410" s="143">
        <f t="shared" si="94"/>
        <v>0</v>
      </c>
      <c r="L410" s="142">
        <f t="shared" si="95"/>
        <v>0</v>
      </c>
      <c r="M410" s="142">
        <f t="shared" si="96"/>
        <v>0</v>
      </c>
      <c r="N410" s="142">
        <f t="shared" si="97"/>
        <v>0</v>
      </c>
      <c r="O410" s="59">
        <f t="shared" si="98"/>
        <v>0</v>
      </c>
      <c r="P410" s="142">
        <f t="shared" si="99"/>
        <v>0</v>
      </c>
      <c r="Q410" s="142">
        <f t="shared" si="100"/>
        <v>0</v>
      </c>
      <c r="R410" s="142">
        <f t="shared" si="101"/>
        <v>0</v>
      </c>
      <c r="S410" s="142">
        <f t="shared" si="102"/>
        <v>0</v>
      </c>
      <c r="T410" s="142">
        <f t="shared" si="103"/>
        <v>6824.09</v>
      </c>
      <c r="U410" s="60">
        <f t="shared" si="104"/>
        <v>6824.09</v>
      </c>
    </row>
    <row r="411" spans="1:21" x14ac:dyDescent="0.2">
      <c r="A411" s="115"/>
      <c r="B411" s="139" t="s">
        <v>65</v>
      </c>
      <c r="C411" s="140" t="s">
        <v>376</v>
      </c>
      <c r="D411" s="141">
        <v>45712</v>
      </c>
      <c r="E411" s="141">
        <v>46183</v>
      </c>
      <c r="F411" s="57">
        <v>4057.02</v>
      </c>
      <c r="G411" s="58">
        <f t="shared" si="90"/>
        <v>161</v>
      </c>
      <c r="H411" s="142">
        <f t="shared" si="91"/>
        <v>0</v>
      </c>
      <c r="I411" s="142">
        <f t="shared" si="92"/>
        <v>0</v>
      </c>
      <c r="J411" s="143">
        <f t="shared" si="93"/>
        <v>0</v>
      </c>
      <c r="K411" s="143">
        <f t="shared" si="94"/>
        <v>0</v>
      </c>
      <c r="L411" s="142">
        <f t="shared" si="95"/>
        <v>0</v>
      </c>
      <c r="M411" s="142">
        <f t="shared" si="96"/>
        <v>0</v>
      </c>
      <c r="N411" s="142">
        <f t="shared" si="97"/>
        <v>0</v>
      </c>
      <c r="O411" s="59">
        <f t="shared" si="98"/>
        <v>0</v>
      </c>
      <c r="P411" s="142">
        <f t="shared" si="99"/>
        <v>0</v>
      </c>
      <c r="Q411" s="142">
        <f t="shared" si="100"/>
        <v>0</v>
      </c>
      <c r="R411" s="142">
        <f t="shared" si="101"/>
        <v>0</v>
      </c>
      <c r="S411" s="142">
        <f t="shared" si="102"/>
        <v>0</v>
      </c>
      <c r="T411" s="142">
        <f t="shared" si="103"/>
        <v>4057.02</v>
      </c>
      <c r="U411" s="60">
        <f t="shared" si="104"/>
        <v>4057.02</v>
      </c>
    </row>
    <row r="412" spans="1:21" x14ac:dyDescent="0.2">
      <c r="A412" s="115"/>
      <c r="B412" s="139" t="s">
        <v>65</v>
      </c>
      <c r="C412" s="140" t="s">
        <v>377</v>
      </c>
      <c r="D412" s="141">
        <v>45712</v>
      </c>
      <c r="E412" s="141">
        <v>46183</v>
      </c>
      <c r="F412" s="57">
        <v>6824.09</v>
      </c>
      <c r="G412" s="58">
        <f t="shared" si="90"/>
        <v>161</v>
      </c>
      <c r="H412" s="142">
        <f t="shared" si="91"/>
        <v>0</v>
      </c>
      <c r="I412" s="142">
        <f t="shared" si="92"/>
        <v>0</v>
      </c>
      <c r="J412" s="143">
        <f t="shared" si="93"/>
        <v>0</v>
      </c>
      <c r="K412" s="143">
        <f t="shared" si="94"/>
        <v>0</v>
      </c>
      <c r="L412" s="142">
        <f t="shared" si="95"/>
        <v>0</v>
      </c>
      <c r="M412" s="142">
        <f t="shared" si="96"/>
        <v>0</v>
      </c>
      <c r="N412" s="142">
        <f t="shared" si="97"/>
        <v>0</v>
      </c>
      <c r="O412" s="59">
        <f t="shared" si="98"/>
        <v>0</v>
      </c>
      <c r="P412" s="142">
        <f t="shared" si="99"/>
        <v>0</v>
      </c>
      <c r="Q412" s="142">
        <f t="shared" si="100"/>
        <v>0</v>
      </c>
      <c r="R412" s="142">
        <f t="shared" si="101"/>
        <v>0</v>
      </c>
      <c r="S412" s="142">
        <f t="shared" si="102"/>
        <v>0</v>
      </c>
      <c r="T412" s="142">
        <f t="shared" si="103"/>
        <v>6824.09</v>
      </c>
      <c r="U412" s="60">
        <f t="shared" si="104"/>
        <v>6824.09</v>
      </c>
    </row>
    <row r="413" spans="1:21" x14ac:dyDescent="0.2">
      <c r="A413" s="115"/>
      <c r="B413" s="139" t="s">
        <v>65</v>
      </c>
      <c r="C413" s="140" t="s">
        <v>376</v>
      </c>
      <c r="D413" s="141">
        <v>45712</v>
      </c>
      <c r="E413" s="141">
        <v>46213</v>
      </c>
      <c r="F413" s="57">
        <v>4057.02</v>
      </c>
      <c r="G413" s="58">
        <f t="shared" si="90"/>
        <v>191</v>
      </c>
      <c r="H413" s="142">
        <f t="shared" si="91"/>
        <v>0</v>
      </c>
      <c r="I413" s="142">
        <f t="shared" si="92"/>
        <v>0</v>
      </c>
      <c r="J413" s="143">
        <f t="shared" si="93"/>
        <v>0</v>
      </c>
      <c r="K413" s="143">
        <f t="shared" si="94"/>
        <v>0</v>
      </c>
      <c r="L413" s="142">
        <f t="shared" si="95"/>
        <v>0</v>
      </c>
      <c r="M413" s="142">
        <f t="shared" si="96"/>
        <v>0</v>
      </c>
      <c r="N413" s="142">
        <f t="shared" si="97"/>
        <v>0</v>
      </c>
      <c r="O413" s="59">
        <f t="shared" si="98"/>
        <v>0</v>
      </c>
      <c r="P413" s="142">
        <f t="shared" si="99"/>
        <v>0</v>
      </c>
      <c r="Q413" s="142">
        <f t="shared" si="100"/>
        <v>0</v>
      </c>
      <c r="R413" s="142">
        <f t="shared" si="101"/>
        <v>0</v>
      </c>
      <c r="S413" s="142">
        <f t="shared" si="102"/>
        <v>0</v>
      </c>
      <c r="T413" s="142">
        <f t="shared" si="103"/>
        <v>4057.02</v>
      </c>
      <c r="U413" s="60">
        <f t="shared" si="104"/>
        <v>4057.02</v>
      </c>
    </row>
    <row r="414" spans="1:21" x14ac:dyDescent="0.2">
      <c r="A414" s="115"/>
      <c r="B414" s="139" t="s">
        <v>65</v>
      </c>
      <c r="C414" s="140" t="s">
        <v>377</v>
      </c>
      <c r="D414" s="141">
        <v>45712</v>
      </c>
      <c r="E414" s="141">
        <v>46213</v>
      </c>
      <c r="F414" s="57">
        <v>6824.09</v>
      </c>
      <c r="G414" s="58">
        <f t="shared" si="90"/>
        <v>191</v>
      </c>
      <c r="H414" s="142">
        <f t="shared" si="91"/>
        <v>0</v>
      </c>
      <c r="I414" s="142">
        <f t="shared" si="92"/>
        <v>0</v>
      </c>
      <c r="J414" s="143">
        <f t="shared" si="93"/>
        <v>0</v>
      </c>
      <c r="K414" s="143">
        <f t="shared" si="94"/>
        <v>0</v>
      </c>
      <c r="L414" s="142">
        <f t="shared" si="95"/>
        <v>0</v>
      </c>
      <c r="M414" s="142">
        <f t="shared" si="96"/>
        <v>0</v>
      </c>
      <c r="N414" s="142">
        <f t="shared" si="97"/>
        <v>0</v>
      </c>
      <c r="O414" s="59">
        <f t="shared" si="98"/>
        <v>0</v>
      </c>
      <c r="P414" s="142">
        <f t="shared" si="99"/>
        <v>0</v>
      </c>
      <c r="Q414" s="142">
        <f t="shared" si="100"/>
        <v>0</v>
      </c>
      <c r="R414" s="142">
        <f t="shared" si="101"/>
        <v>0</v>
      </c>
      <c r="S414" s="142">
        <f t="shared" si="102"/>
        <v>0</v>
      </c>
      <c r="T414" s="142">
        <f t="shared" si="103"/>
        <v>6824.09</v>
      </c>
      <c r="U414" s="60">
        <f t="shared" si="104"/>
        <v>6824.09</v>
      </c>
    </row>
    <row r="415" spans="1:21" x14ac:dyDescent="0.2">
      <c r="A415" s="115"/>
      <c r="B415" s="139" t="s">
        <v>65</v>
      </c>
      <c r="C415" s="140" t="s">
        <v>376</v>
      </c>
      <c r="D415" s="141">
        <v>45712</v>
      </c>
      <c r="E415" s="141">
        <v>46244</v>
      </c>
      <c r="F415" s="57">
        <v>4057.02</v>
      </c>
      <c r="G415" s="58">
        <f t="shared" si="90"/>
        <v>222</v>
      </c>
      <c r="H415" s="142">
        <f t="shared" si="91"/>
        <v>0</v>
      </c>
      <c r="I415" s="142">
        <f t="shared" si="92"/>
        <v>0</v>
      </c>
      <c r="J415" s="143">
        <f t="shared" si="93"/>
        <v>0</v>
      </c>
      <c r="K415" s="143">
        <f t="shared" si="94"/>
        <v>0</v>
      </c>
      <c r="L415" s="142">
        <f t="shared" si="95"/>
        <v>0</v>
      </c>
      <c r="M415" s="142">
        <f t="shared" si="96"/>
        <v>0</v>
      </c>
      <c r="N415" s="142">
        <f t="shared" si="97"/>
        <v>0</v>
      </c>
      <c r="O415" s="59">
        <f t="shared" si="98"/>
        <v>0</v>
      </c>
      <c r="P415" s="142">
        <f t="shared" si="99"/>
        <v>0</v>
      </c>
      <c r="Q415" s="142">
        <f t="shared" si="100"/>
        <v>0</v>
      </c>
      <c r="R415" s="142">
        <f t="shared" si="101"/>
        <v>0</v>
      </c>
      <c r="S415" s="142">
        <f t="shared" si="102"/>
        <v>0</v>
      </c>
      <c r="T415" s="142">
        <f t="shared" si="103"/>
        <v>4057.02</v>
      </c>
      <c r="U415" s="60">
        <f t="shared" si="104"/>
        <v>4057.02</v>
      </c>
    </row>
    <row r="416" spans="1:21" x14ac:dyDescent="0.2">
      <c r="A416" s="115"/>
      <c r="B416" s="139" t="s">
        <v>65</v>
      </c>
      <c r="C416" s="140" t="s">
        <v>377</v>
      </c>
      <c r="D416" s="141">
        <v>45712</v>
      </c>
      <c r="E416" s="141">
        <v>46244</v>
      </c>
      <c r="F416" s="57">
        <v>6824.09</v>
      </c>
      <c r="G416" s="58">
        <f t="shared" si="90"/>
        <v>222</v>
      </c>
      <c r="H416" s="142">
        <f t="shared" si="91"/>
        <v>0</v>
      </c>
      <c r="I416" s="142">
        <f t="shared" si="92"/>
        <v>0</v>
      </c>
      <c r="J416" s="143">
        <f t="shared" si="93"/>
        <v>0</v>
      </c>
      <c r="K416" s="143">
        <f t="shared" si="94"/>
        <v>0</v>
      </c>
      <c r="L416" s="142">
        <f t="shared" si="95"/>
        <v>0</v>
      </c>
      <c r="M416" s="142">
        <f t="shared" si="96"/>
        <v>0</v>
      </c>
      <c r="N416" s="142">
        <f t="shared" si="97"/>
        <v>0</v>
      </c>
      <c r="O416" s="59">
        <f t="shared" si="98"/>
        <v>0</v>
      </c>
      <c r="P416" s="142">
        <f t="shared" si="99"/>
        <v>0</v>
      </c>
      <c r="Q416" s="142">
        <f t="shared" si="100"/>
        <v>0</v>
      </c>
      <c r="R416" s="142">
        <f t="shared" si="101"/>
        <v>0</v>
      </c>
      <c r="S416" s="142">
        <f t="shared" si="102"/>
        <v>0</v>
      </c>
      <c r="T416" s="142">
        <f t="shared" si="103"/>
        <v>6824.09</v>
      </c>
      <c r="U416" s="60">
        <f t="shared" si="104"/>
        <v>6824.09</v>
      </c>
    </row>
    <row r="417" spans="1:21" x14ac:dyDescent="0.2">
      <c r="A417" s="115"/>
      <c r="B417" s="139" t="s">
        <v>65</v>
      </c>
      <c r="C417" s="140" t="s">
        <v>376</v>
      </c>
      <c r="D417" s="141">
        <v>45712</v>
      </c>
      <c r="E417" s="141">
        <v>46275</v>
      </c>
      <c r="F417" s="57">
        <v>4057.02</v>
      </c>
      <c r="G417" s="58">
        <f t="shared" si="90"/>
        <v>253</v>
      </c>
      <c r="H417" s="142">
        <f t="shared" si="91"/>
        <v>0</v>
      </c>
      <c r="I417" s="142">
        <f t="shared" si="92"/>
        <v>0</v>
      </c>
      <c r="J417" s="143">
        <f t="shared" si="93"/>
        <v>0</v>
      </c>
      <c r="K417" s="143">
        <f t="shared" si="94"/>
        <v>0</v>
      </c>
      <c r="L417" s="142">
        <f t="shared" si="95"/>
        <v>0</v>
      </c>
      <c r="M417" s="142">
        <f t="shared" si="96"/>
        <v>0</v>
      </c>
      <c r="N417" s="142">
        <f t="shared" si="97"/>
        <v>0</v>
      </c>
      <c r="O417" s="59">
        <f t="shared" si="98"/>
        <v>0</v>
      </c>
      <c r="P417" s="142">
        <f t="shared" si="99"/>
        <v>0</v>
      </c>
      <c r="Q417" s="142">
        <f t="shared" si="100"/>
        <v>0</v>
      </c>
      <c r="R417" s="142">
        <f t="shared" si="101"/>
        <v>0</v>
      </c>
      <c r="S417" s="142">
        <f t="shared" si="102"/>
        <v>0</v>
      </c>
      <c r="T417" s="142">
        <f t="shared" si="103"/>
        <v>4057.02</v>
      </c>
      <c r="U417" s="60">
        <f t="shared" si="104"/>
        <v>4057.02</v>
      </c>
    </row>
    <row r="418" spans="1:21" x14ac:dyDescent="0.2">
      <c r="A418" s="115"/>
      <c r="B418" s="139" t="s">
        <v>65</v>
      </c>
      <c r="C418" s="140" t="s">
        <v>377</v>
      </c>
      <c r="D418" s="141">
        <v>45712</v>
      </c>
      <c r="E418" s="141">
        <v>46275</v>
      </c>
      <c r="F418" s="57">
        <v>6824.09</v>
      </c>
      <c r="G418" s="58">
        <f t="shared" si="90"/>
        <v>253</v>
      </c>
      <c r="H418" s="142">
        <f t="shared" si="91"/>
        <v>0</v>
      </c>
      <c r="I418" s="142">
        <f t="shared" si="92"/>
        <v>0</v>
      </c>
      <c r="J418" s="143">
        <f t="shared" si="93"/>
        <v>0</v>
      </c>
      <c r="K418" s="143">
        <f t="shared" si="94"/>
        <v>0</v>
      </c>
      <c r="L418" s="142">
        <f t="shared" si="95"/>
        <v>0</v>
      </c>
      <c r="M418" s="142">
        <f t="shared" si="96"/>
        <v>0</v>
      </c>
      <c r="N418" s="142">
        <f t="shared" si="97"/>
        <v>0</v>
      </c>
      <c r="O418" s="59">
        <f t="shared" si="98"/>
        <v>0</v>
      </c>
      <c r="P418" s="142">
        <f t="shared" si="99"/>
        <v>0</v>
      </c>
      <c r="Q418" s="142">
        <f t="shared" si="100"/>
        <v>0</v>
      </c>
      <c r="R418" s="142">
        <f t="shared" si="101"/>
        <v>0</v>
      </c>
      <c r="S418" s="142">
        <f t="shared" si="102"/>
        <v>0</v>
      </c>
      <c r="T418" s="142">
        <f t="shared" si="103"/>
        <v>6824.09</v>
      </c>
      <c r="U418" s="60">
        <f t="shared" si="104"/>
        <v>6824.09</v>
      </c>
    </row>
    <row r="419" spans="1:21" x14ac:dyDescent="0.2">
      <c r="A419" s="115"/>
      <c r="B419" s="139" t="s">
        <v>65</v>
      </c>
      <c r="C419" s="140" t="s">
        <v>376</v>
      </c>
      <c r="D419" s="141">
        <v>45712</v>
      </c>
      <c r="E419" s="141">
        <v>46305</v>
      </c>
      <c r="F419" s="57">
        <v>4057.02</v>
      </c>
      <c r="G419" s="58">
        <f t="shared" si="90"/>
        <v>283</v>
      </c>
      <c r="H419" s="142">
        <f t="shared" si="91"/>
        <v>0</v>
      </c>
      <c r="I419" s="142">
        <f t="shared" si="92"/>
        <v>0</v>
      </c>
      <c r="J419" s="143">
        <f t="shared" si="93"/>
        <v>0</v>
      </c>
      <c r="K419" s="143">
        <f t="shared" si="94"/>
        <v>0</v>
      </c>
      <c r="L419" s="142">
        <f t="shared" si="95"/>
        <v>0</v>
      </c>
      <c r="M419" s="142">
        <f t="shared" si="96"/>
        <v>0</v>
      </c>
      <c r="N419" s="142">
        <f t="shared" si="97"/>
        <v>0</v>
      </c>
      <c r="O419" s="59">
        <f t="shared" si="98"/>
        <v>0</v>
      </c>
      <c r="P419" s="142">
        <f t="shared" si="99"/>
        <v>0</v>
      </c>
      <c r="Q419" s="142">
        <f t="shared" si="100"/>
        <v>0</v>
      </c>
      <c r="R419" s="142">
        <f t="shared" si="101"/>
        <v>0</v>
      </c>
      <c r="S419" s="142">
        <f t="shared" si="102"/>
        <v>0</v>
      </c>
      <c r="T419" s="142">
        <f t="shared" si="103"/>
        <v>4057.02</v>
      </c>
      <c r="U419" s="60">
        <f t="shared" si="104"/>
        <v>4057.02</v>
      </c>
    </row>
    <row r="420" spans="1:21" x14ac:dyDescent="0.2">
      <c r="A420" s="115"/>
      <c r="B420" s="139" t="s">
        <v>65</v>
      </c>
      <c r="C420" s="140" t="s">
        <v>377</v>
      </c>
      <c r="D420" s="141">
        <v>45712</v>
      </c>
      <c r="E420" s="141">
        <v>46305</v>
      </c>
      <c r="F420" s="57">
        <v>6824.09</v>
      </c>
      <c r="G420" s="58">
        <f t="shared" si="90"/>
        <v>283</v>
      </c>
      <c r="H420" s="142">
        <f t="shared" si="91"/>
        <v>0</v>
      </c>
      <c r="I420" s="142">
        <f t="shared" si="92"/>
        <v>0</v>
      </c>
      <c r="J420" s="143">
        <f t="shared" si="93"/>
        <v>0</v>
      </c>
      <c r="K420" s="143">
        <f t="shared" si="94"/>
        <v>0</v>
      </c>
      <c r="L420" s="142">
        <f t="shared" si="95"/>
        <v>0</v>
      </c>
      <c r="M420" s="142">
        <f t="shared" si="96"/>
        <v>0</v>
      </c>
      <c r="N420" s="142">
        <f t="shared" si="97"/>
        <v>0</v>
      </c>
      <c r="O420" s="59">
        <f t="shared" si="98"/>
        <v>0</v>
      </c>
      <c r="P420" s="142">
        <f t="shared" si="99"/>
        <v>0</v>
      </c>
      <c r="Q420" s="142">
        <f t="shared" si="100"/>
        <v>0</v>
      </c>
      <c r="R420" s="142">
        <f t="shared" si="101"/>
        <v>0</v>
      </c>
      <c r="S420" s="142">
        <f t="shared" si="102"/>
        <v>0</v>
      </c>
      <c r="T420" s="142">
        <f t="shared" si="103"/>
        <v>6824.09</v>
      </c>
      <c r="U420" s="60">
        <f t="shared" si="104"/>
        <v>6824.09</v>
      </c>
    </row>
    <row r="421" spans="1:21" x14ac:dyDescent="0.2">
      <c r="A421" s="115"/>
      <c r="B421" s="139" t="s">
        <v>65</v>
      </c>
      <c r="C421" s="140" t="s">
        <v>376</v>
      </c>
      <c r="D421" s="141">
        <v>45712</v>
      </c>
      <c r="E421" s="141">
        <v>46336</v>
      </c>
      <c r="F421" s="57">
        <v>4057.02</v>
      </c>
      <c r="G421" s="58">
        <f t="shared" si="90"/>
        <v>314</v>
      </c>
      <c r="H421" s="142">
        <f t="shared" si="91"/>
        <v>0</v>
      </c>
      <c r="I421" s="142">
        <f t="shared" si="92"/>
        <v>0</v>
      </c>
      <c r="J421" s="143">
        <f t="shared" si="93"/>
        <v>0</v>
      </c>
      <c r="K421" s="143">
        <f t="shared" si="94"/>
        <v>0</v>
      </c>
      <c r="L421" s="142">
        <f t="shared" si="95"/>
        <v>0</v>
      </c>
      <c r="M421" s="142">
        <f t="shared" si="96"/>
        <v>0</v>
      </c>
      <c r="N421" s="142">
        <f t="shared" si="97"/>
        <v>0</v>
      </c>
      <c r="O421" s="59">
        <f t="shared" si="98"/>
        <v>0</v>
      </c>
      <c r="P421" s="142">
        <f t="shared" si="99"/>
        <v>0</v>
      </c>
      <c r="Q421" s="142">
        <f t="shared" si="100"/>
        <v>0</v>
      </c>
      <c r="R421" s="142">
        <f t="shared" si="101"/>
        <v>0</v>
      </c>
      <c r="S421" s="142">
        <f t="shared" si="102"/>
        <v>0</v>
      </c>
      <c r="T421" s="142">
        <f t="shared" si="103"/>
        <v>4057.02</v>
      </c>
      <c r="U421" s="60">
        <f t="shared" si="104"/>
        <v>4057.02</v>
      </c>
    </row>
    <row r="422" spans="1:21" x14ac:dyDescent="0.2">
      <c r="A422" s="115"/>
      <c r="B422" s="139" t="s">
        <v>65</v>
      </c>
      <c r="C422" s="140" t="s">
        <v>377</v>
      </c>
      <c r="D422" s="141">
        <v>45712</v>
      </c>
      <c r="E422" s="141">
        <v>46336</v>
      </c>
      <c r="F422" s="57">
        <v>6824.09</v>
      </c>
      <c r="G422" s="58">
        <f t="shared" si="90"/>
        <v>314</v>
      </c>
      <c r="H422" s="142">
        <f t="shared" si="91"/>
        <v>0</v>
      </c>
      <c r="I422" s="142">
        <f t="shared" si="92"/>
        <v>0</v>
      </c>
      <c r="J422" s="143">
        <f t="shared" si="93"/>
        <v>0</v>
      </c>
      <c r="K422" s="143">
        <f t="shared" si="94"/>
        <v>0</v>
      </c>
      <c r="L422" s="142">
        <f t="shared" si="95"/>
        <v>0</v>
      </c>
      <c r="M422" s="142">
        <f t="shared" si="96"/>
        <v>0</v>
      </c>
      <c r="N422" s="142">
        <f t="shared" si="97"/>
        <v>0</v>
      </c>
      <c r="O422" s="59">
        <f t="shared" si="98"/>
        <v>0</v>
      </c>
      <c r="P422" s="142">
        <f t="shared" si="99"/>
        <v>0</v>
      </c>
      <c r="Q422" s="142">
        <f t="shared" si="100"/>
        <v>0</v>
      </c>
      <c r="R422" s="142">
        <f t="shared" si="101"/>
        <v>0</v>
      </c>
      <c r="S422" s="142">
        <f t="shared" si="102"/>
        <v>0</v>
      </c>
      <c r="T422" s="142">
        <f t="shared" si="103"/>
        <v>6824.09</v>
      </c>
      <c r="U422" s="60">
        <f t="shared" si="104"/>
        <v>6824.09</v>
      </c>
    </row>
    <row r="423" spans="1:21" x14ac:dyDescent="0.2">
      <c r="A423" s="115"/>
      <c r="B423" s="139" t="s">
        <v>65</v>
      </c>
      <c r="C423" s="140" t="s">
        <v>376</v>
      </c>
      <c r="D423" s="141">
        <v>45712</v>
      </c>
      <c r="E423" s="141">
        <v>46366</v>
      </c>
      <c r="F423" s="57">
        <v>4057.02</v>
      </c>
      <c r="G423" s="58">
        <f t="shared" si="90"/>
        <v>344</v>
      </c>
      <c r="H423" s="142">
        <f t="shared" si="91"/>
        <v>0</v>
      </c>
      <c r="I423" s="142">
        <f t="shared" si="92"/>
        <v>0</v>
      </c>
      <c r="J423" s="143">
        <f t="shared" si="93"/>
        <v>0</v>
      </c>
      <c r="K423" s="143">
        <f t="shared" si="94"/>
        <v>0</v>
      </c>
      <c r="L423" s="142">
        <f t="shared" si="95"/>
        <v>0</v>
      </c>
      <c r="M423" s="142">
        <f t="shared" si="96"/>
        <v>0</v>
      </c>
      <c r="N423" s="142">
        <f t="shared" si="97"/>
        <v>0</v>
      </c>
      <c r="O423" s="59">
        <f t="shared" si="98"/>
        <v>0</v>
      </c>
      <c r="P423" s="142">
        <f t="shared" si="99"/>
        <v>0</v>
      </c>
      <c r="Q423" s="142">
        <f t="shared" si="100"/>
        <v>0</v>
      </c>
      <c r="R423" s="142">
        <f t="shared" si="101"/>
        <v>0</v>
      </c>
      <c r="S423" s="142">
        <f t="shared" si="102"/>
        <v>0</v>
      </c>
      <c r="T423" s="142">
        <f t="shared" si="103"/>
        <v>4057.02</v>
      </c>
      <c r="U423" s="60">
        <f t="shared" si="104"/>
        <v>4057.02</v>
      </c>
    </row>
    <row r="424" spans="1:21" x14ac:dyDescent="0.2">
      <c r="A424" s="115"/>
      <c r="B424" s="139" t="s">
        <v>65</v>
      </c>
      <c r="C424" s="140" t="s">
        <v>377</v>
      </c>
      <c r="D424" s="141">
        <v>45712</v>
      </c>
      <c r="E424" s="141">
        <v>46366</v>
      </c>
      <c r="F424" s="57">
        <v>6824.09</v>
      </c>
      <c r="G424" s="58">
        <f t="shared" si="90"/>
        <v>344</v>
      </c>
      <c r="H424" s="142">
        <f t="shared" si="91"/>
        <v>0</v>
      </c>
      <c r="I424" s="142">
        <f t="shared" si="92"/>
        <v>0</v>
      </c>
      <c r="J424" s="143">
        <f t="shared" si="93"/>
        <v>0</v>
      </c>
      <c r="K424" s="143">
        <f t="shared" si="94"/>
        <v>0</v>
      </c>
      <c r="L424" s="142">
        <f t="shared" si="95"/>
        <v>0</v>
      </c>
      <c r="M424" s="142">
        <f t="shared" si="96"/>
        <v>0</v>
      </c>
      <c r="N424" s="142">
        <f t="shared" si="97"/>
        <v>0</v>
      </c>
      <c r="O424" s="59">
        <f t="shared" si="98"/>
        <v>0</v>
      </c>
      <c r="P424" s="142">
        <f t="shared" si="99"/>
        <v>0</v>
      </c>
      <c r="Q424" s="142">
        <f t="shared" si="100"/>
        <v>0</v>
      </c>
      <c r="R424" s="142">
        <f t="shared" si="101"/>
        <v>0</v>
      </c>
      <c r="S424" s="142">
        <f t="shared" si="102"/>
        <v>0</v>
      </c>
      <c r="T424" s="142">
        <f t="shared" si="103"/>
        <v>6824.09</v>
      </c>
      <c r="U424" s="60">
        <f t="shared" si="104"/>
        <v>6824.09</v>
      </c>
    </row>
    <row r="425" spans="1:21" x14ac:dyDescent="0.2">
      <c r="A425" s="115"/>
      <c r="B425" s="139" t="s">
        <v>65</v>
      </c>
      <c r="C425" s="140" t="s">
        <v>376</v>
      </c>
      <c r="D425" s="141">
        <v>45712</v>
      </c>
      <c r="E425" s="141">
        <v>46397</v>
      </c>
      <c r="F425" s="57">
        <v>4057.02</v>
      </c>
      <c r="G425" s="58">
        <f t="shared" si="90"/>
        <v>375</v>
      </c>
      <c r="H425" s="142">
        <f t="shared" si="91"/>
        <v>0</v>
      </c>
      <c r="I425" s="142">
        <f t="shared" si="92"/>
        <v>0</v>
      </c>
      <c r="J425" s="143">
        <f t="shared" si="93"/>
        <v>0</v>
      </c>
      <c r="K425" s="143">
        <f t="shared" si="94"/>
        <v>0</v>
      </c>
      <c r="L425" s="142">
        <f t="shared" si="95"/>
        <v>0</v>
      </c>
      <c r="M425" s="142">
        <f t="shared" si="96"/>
        <v>0</v>
      </c>
      <c r="N425" s="142">
        <f t="shared" si="97"/>
        <v>0</v>
      </c>
      <c r="O425" s="59">
        <f t="shared" si="98"/>
        <v>0</v>
      </c>
      <c r="P425" s="142">
        <f t="shared" si="99"/>
        <v>0</v>
      </c>
      <c r="Q425" s="142">
        <f t="shared" si="100"/>
        <v>0</v>
      </c>
      <c r="R425" s="142">
        <f t="shared" si="101"/>
        <v>0</v>
      </c>
      <c r="S425" s="142">
        <f t="shared" si="102"/>
        <v>0</v>
      </c>
      <c r="T425" s="142">
        <f t="shared" si="103"/>
        <v>4057.02</v>
      </c>
      <c r="U425" s="60">
        <f t="shared" si="104"/>
        <v>4057.02</v>
      </c>
    </row>
    <row r="426" spans="1:21" x14ac:dyDescent="0.2">
      <c r="A426" s="115"/>
      <c r="B426" s="139" t="s">
        <v>65</v>
      </c>
      <c r="C426" s="140" t="s">
        <v>377</v>
      </c>
      <c r="D426" s="141">
        <v>45712</v>
      </c>
      <c r="E426" s="141">
        <v>46397</v>
      </c>
      <c r="F426" s="57">
        <v>6824.09</v>
      </c>
      <c r="G426" s="58">
        <f t="shared" si="90"/>
        <v>375</v>
      </c>
      <c r="H426" s="142">
        <f t="shared" si="91"/>
        <v>0</v>
      </c>
      <c r="I426" s="142">
        <f t="shared" si="92"/>
        <v>0</v>
      </c>
      <c r="J426" s="143">
        <f t="shared" si="93"/>
        <v>0</v>
      </c>
      <c r="K426" s="143">
        <f t="shared" si="94"/>
        <v>0</v>
      </c>
      <c r="L426" s="142">
        <f t="shared" si="95"/>
        <v>0</v>
      </c>
      <c r="M426" s="142">
        <f t="shared" si="96"/>
        <v>0</v>
      </c>
      <c r="N426" s="142">
        <f t="shared" si="97"/>
        <v>0</v>
      </c>
      <c r="O426" s="59">
        <f t="shared" si="98"/>
        <v>0</v>
      </c>
      <c r="P426" s="142">
        <f t="shared" si="99"/>
        <v>0</v>
      </c>
      <c r="Q426" s="142">
        <f t="shared" si="100"/>
        <v>0</v>
      </c>
      <c r="R426" s="142">
        <f t="shared" si="101"/>
        <v>0</v>
      </c>
      <c r="S426" s="142">
        <f t="shared" si="102"/>
        <v>0</v>
      </c>
      <c r="T426" s="142">
        <f t="shared" si="103"/>
        <v>6824.09</v>
      </c>
      <c r="U426" s="60">
        <f t="shared" si="104"/>
        <v>6824.09</v>
      </c>
    </row>
    <row r="427" spans="1:21" x14ac:dyDescent="0.2">
      <c r="A427" s="115"/>
      <c r="B427" s="139" t="s">
        <v>65</v>
      </c>
      <c r="C427" s="140" t="s">
        <v>376</v>
      </c>
      <c r="D427" s="141">
        <v>45712</v>
      </c>
      <c r="E427" s="141">
        <v>46428</v>
      </c>
      <c r="F427" s="57">
        <v>4057.02</v>
      </c>
      <c r="G427" s="58">
        <f t="shared" si="90"/>
        <v>406</v>
      </c>
      <c r="H427" s="142">
        <f t="shared" si="91"/>
        <v>0</v>
      </c>
      <c r="I427" s="142">
        <f t="shared" si="92"/>
        <v>0</v>
      </c>
      <c r="J427" s="143">
        <f t="shared" si="93"/>
        <v>0</v>
      </c>
      <c r="K427" s="143">
        <f t="shared" si="94"/>
        <v>0</v>
      </c>
      <c r="L427" s="142">
        <f t="shared" si="95"/>
        <v>0</v>
      </c>
      <c r="M427" s="142">
        <f t="shared" si="96"/>
        <v>0</v>
      </c>
      <c r="N427" s="142">
        <f t="shared" si="97"/>
        <v>0</v>
      </c>
      <c r="O427" s="59">
        <f t="shared" si="98"/>
        <v>0</v>
      </c>
      <c r="P427" s="142">
        <f t="shared" si="99"/>
        <v>0</v>
      </c>
      <c r="Q427" s="142">
        <f t="shared" si="100"/>
        <v>0</v>
      </c>
      <c r="R427" s="142">
        <f t="shared" si="101"/>
        <v>0</v>
      </c>
      <c r="S427" s="142">
        <f t="shared" si="102"/>
        <v>0</v>
      </c>
      <c r="T427" s="142">
        <f t="shared" si="103"/>
        <v>4057.02</v>
      </c>
      <c r="U427" s="60">
        <f t="shared" si="104"/>
        <v>4057.02</v>
      </c>
    </row>
    <row r="428" spans="1:21" x14ac:dyDescent="0.2">
      <c r="A428" s="115"/>
      <c r="B428" s="139" t="s">
        <v>65</v>
      </c>
      <c r="C428" s="140" t="s">
        <v>377</v>
      </c>
      <c r="D428" s="141">
        <v>45712</v>
      </c>
      <c r="E428" s="141">
        <v>46428</v>
      </c>
      <c r="F428" s="57">
        <v>6824.09</v>
      </c>
      <c r="G428" s="58">
        <f t="shared" si="90"/>
        <v>406</v>
      </c>
      <c r="H428" s="142">
        <f t="shared" si="91"/>
        <v>0</v>
      </c>
      <c r="I428" s="142">
        <f t="shared" si="92"/>
        <v>0</v>
      </c>
      <c r="J428" s="143">
        <f t="shared" si="93"/>
        <v>0</v>
      </c>
      <c r="K428" s="143">
        <f t="shared" si="94"/>
        <v>0</v>
      </c>
      <c r="L428" s="142">
        <f t="shared" si="95"/>
        <v>0</v>
      </c>
      <c r="M428" s="142">
        <f t="shared" si="96"/>
        <v>0</v>
      </c>
      <c r="N428" s="142">
        <f t="shared" si="97"/>
        <v>0</v>
      </c>
      <c r="O428" s="59">
        <f t="shared" si="98"/>
        <v>0</v>
      </c>
      <c r="P428" s="142">
        <f t="shared" si="99"/>
        <v>0</v>
      </c>
      <c r="Q428" s="142">
        <f t="shared" si="100"/>
        <v>0</v>
      </c>
      <c r="R428" s="142">
        <f t="shared" si="101"/>
        <v>0</v>
      </c>
      <c r="S428" s="142">
        <f t="shared" si="102"/>
        <v>0</v>
      </c>
      <c r="T428" s="142">
        <f t="shared" si="103"/>
        <v>6824.09</v>
      </c>
      <c r="U428" s="60">
        <f t="shared" si="104"/>
        <v>6824.09</v>
      </c>
    </row>
    <row r="429" spans="1:21" x14ac:dyDescent="0.2">
      <c r="A429" s="115"/>
      <c r="B429" s="139" t="s">
        <v>65</v>
      </c>
      <c r="C429" s="140" t="s">
        <v>376</v>
      </c>
      <c r="D429" s="141">
        <v>45712</v>
      </c>
      <c r="E429" s="141">
        <v>46456</v>
      </c>
      <c r="F429" s="57">
        <v>4057.02</v>
      </c>
      <c r="G429" s="58">
        <f t="shared" si="90"/>
        <v>434</v>
      </c>
      <c r="H429" s="142">
        <f t="shared" si="91"/>
        <v>0</v>
      </c>
      <c r="I429" s="142">
        <f t="shared" si="92"/>
        <v>0</v>
      </c>
      <c r="J429" s="143">
        <f t="shared" si="93"/>
        <v>0</v>
      </c>
      <c r="K429" s="143">
        <f t="shared" si="94"/>
        <v>0</v>
      </c>
      <c r="L429" s="142">
        <f t="shared" si="95"/>
        <v>0</v>
      </c>
      <c r="M429" s="142">
        <f t="shared" si="96"/>
        <v>0</v>
      </c>
      <c r="N429" s="142">
        <f t="shared" si="97"/>
        <v>0</v>
      </c>
      <c r="O429" s="59">
        <f t="shared" si="98"/>
        <v>0</v>
      </c>
      <c r="P429" s="142">
        <f t="shared" si="99"/>
        <v>0</v>
      </c>
      <c r="Q429" s="142">
        <f t="shared" si="100"/>
        <v>0</v>
      </c>
      <c r="R429" s="142">
        <f t="shared" si="101"/>
        <v>0</v>
      </c>
      <c r="S429" s="142">
        <f t="shared" si="102"/>
        <v>0</v>
      </c>
      <c r="T429" s="142">
        <f t="shared" si="103"/>
        <v>4057.02</v>
      </c>
      <c r="U429" s="60">
        <f t="shared" si="104"/>
        <v>4057.02</v>
      </c>
    </row>
    <row r="430" spans="1:21" x14ac:dyDescent="0.2">
      <c r="A430" s="115"/>
      <c r="B430" s="139" t="s">
        <v>65</v>
      </c>
      <c r="C430" s="140" t="s">
        <v>377</v>
      </c>
      <c r="D430" s="141">
        <v>45712</v>
      </c>
      <c r="E430" s="141">
        <v>46456</v>
      </c>
      <c r="F430" s="57">
        <v>6824.09</v>
      </c>
      <c r="G430" s="58">
        <f t="shared" si="90"/>
        <v>434</v>
      </c>
      <c r="H430" s="142">
        <f t="shared" si="91"/>
        <v>0</v>
      </c>
      <c r="I430" s="142">
        <f t="shared" si="92"/>
        <v>0</v>
      </c>
      <c r="J430" s="143">
        <f t="shared" si="93"/>
        <v>0</v>
      </c>
      <c r="K430" s="143">
        <f t="shared" si="94"/>
        <v>0</v>
      </c>
      <c r="L430" s="142">
        <f t="shared" si="95"/>
        <v>0</v>
      </c>
      <c r="M430" s="142">
        <f t="shared" si="96"/>
        <v>0</v>
      </c>
      <c r="N430" s="142">
        <f t="shared" si="97"/>
        <v>0</v>
      </c>
      <c r="O430" s="59">
        <f t="shared" si="98"/>
        <v>0</v>
      </c>
      <c r="P430" s="142">
        <f t="shared" si="99"/>
        <v>0</v>
      </c>
      <c r="Q430" s="142">
        <f t="shared" si="100"/>
        <v>0</v>
      </c>
      <c r="R430" s="142">
        <f t="shared" si="101"/>
        <v>0</v>
      </c>
      <c r="S430" s="142">
        <f t="shared" si="102"/>
        <v>0</v>
      </c>
      <c r="T430" s="142">
        <f t="shared" si="103"/>
        <v>6824.09</v>
      </c>
      <c r="U430" s="60">
        <f t="shared" si="104"/>
        <v>6824.09</v>
      </c>
    </row>
    <row r="431" spans="1:21" x14ac:dyDescent="0.2">
      <c r="A431" s="115"/>
      <c r="B431" s="139" t="s">
        <v>65</v>
      </c>
      <c r="C431" s="140" t="s">
        <v>376</v>
      </c>
      <c r="D431" s="141">
        <v>45712</v>
      </c>
      <c r="E431" s="141">
        <v>46487</v>
      </c>
      <c r="F431" s="57">
        <v>4057.02</v>
      </c>
      <c r="G431" s="58">
        <f t="shared" si="90"/>
        <v>465</v>
      </c>
      <c r="H431" s="142">
        <f t="shared" si="91"/>
        <v>0</v>
      </c>
      <c r="I431" s="142">
        <f t="shared" si="92"/>
        <v>0</v>
      </c>
      <c r="J431" s="143">
        <f t="shared" si="93"/>
        <v>0</v>
      </c>
      <c r="K431" s="143">
        <f t="shared" si="94"/>
        <v>0</v>
      </c>
      <c r="L431" s="142">
        <f t="shared" si="95"/>
        <v>0</v>
      </c>
      <c r="M431" s="142">
        <f t="shared" si="96"/>
        <v>0</v>
      </c>
      <c r="N431" s="142">
        <f t="shared" si="97"/>
        <v>0</v>
      </c>
      <c r="O431" s="59">
        <f t="shared" si="98"/>
        <v>0</v>
      </c>
      <c r="P431" s="142">
        <f t="shared" si="99"/>
        <v>0</v>
      </c>
      <c r="Q431" s="142">
        <f t="shared" si="100"/>
        <v>0</v>
      </c>
      <c r="R431" s="142">
        <f t="shared" si="101"/>
        <v>0</v>
      </c>
      <c r="S431" s="142">
        <f t="shared" si="102"/>
        <v>0</v>
      </c>
      <c r="T431" s="142">
        <f t="shared" si="103"/>
        <v>4057.02</v>
      </c>
      <c r="U431" s="60">
        <f t="shared" si="104"/>
        <v>4057.02</v>
      </c>
    </row>
    <row r="432" spans="1:21" x14ac:dyDescent="0.2">
      <c r="A432" s="115"/>
      <c r="B432" s="139" t="s">
        <v>65</v>
      </c>
      <c r="C432" s="140" t="s">
        <v>377</v>
      </c>
      <c r="D432" s="141">
        <v>45712</v>
      </c>
      <c r="E432" s="141">
        <v>46487</v>
      </c>
      <c r="F432" s="57">
        <v>6824.09</v>
      </c>
      <c r="G432" s="58">
        <f t="shared" si="90"/>
        <v>465</v>
      </c>
      <c r="H432" s="142">
        <f t="shared" si="91"/>
        <v>0</v>
      </c>
      <c r="I432" s="142">
        <f t="shared" si="92"/>
        <v>0</v>
      </c>
      <c r="J432" s="143">
        <f t="shared" si="93"/>
        <v>0</v>
      </c>
      <c r="K432" s="143">
        <f t="shared" si="94"/>
        <v>0</v>
      </c>
      <c r="L432" s="142">
        <f t="shared" si="95"/>
        <v>0</v>
      </c>
      <c r="M432" s="142">
        <f t="shared" si="96"/>
        <v>0</v>
      </c>
      <c r="N432" s="142">
        <f t="shared" si="97"/>
        <v>0</v>
      </c>
      <c r="O432" s="59">
        <f t="shared" si="98"/>
        <v>0</v>
      </c>
      <c r="P432" s="142">
        <f t="shared" si="99"/>
        <v>0</v>
      </c>
      <c r="Q432" s="142">
        <f t="shared" si="100"/>
        <v>0</v>
      </c>
      <c r="R432" s="142">
        <f t="shared" si="101"/>
        <v>0</v>
      </c>
      <c r="S432" s="142">
        <f t="shared" si="102"/>
        <v>0</v>
      </c>
      <c r="T432" s="142">
        <f t="shared" si="103"/>
        <v>6824.09</v>
      </c>
      <c r="U432" s="60">
        <f t="shared" si="104"/>
        <v>6824.09</v>
      </c>
    </row>
    <row r="433" spans="1:21" x14ac:dyDescent="0.2">
      <c r="A433" s="115"/>
      <c r="B433" s="139" t="s">
        <v>65</v>
      </c>
      <c r="C433" s="140" t="s">
        <v>376</v>
      </c>
      <c r="D433" s="141">
        <v>45712</v>
      </c>
      <c r="E433" s="141">
        <v>46517</v>
      </c>
      <c r="F433" s="57">
        <v>4057.02</v>
      </c>
      <c r="G433" s="58">
        <f t="shared" si="90"/>
        <v>495</v>
      </c>
      <c r="H433" s="142">
        <f t="shared" si="91"/>
        <v>0</v>
      </c>
      <c r="I433" s="142">
        <f t="shared" si="92"/>
        <v>0</v>
      </c>
      <c r="J433" s="143">
        <f t="shared" si="93"/>
        <v>0</v>
      </c>
      <c r="K433" s="143">
        <f t="shared" si="94"/>
        <v>0</v>
      </c>
      <c r="L433" s="142">
        <f t="shared" si="95"/>
        <v>0</v>
      </c>
      <c r="M433" s="142">
        <f t="shared" si="96"/>
        <v>0</v>
      </c>
      <c r="N433" s="142">
        <f t="shared" si="97"/>
        <v>0</v>
      </c>
      <c r="O433" s="59">
        <f t="shared" si="98"/>
        <v>0</v>
      </c>
      <c r="P433" s="142">
        <f t="shared" si="99"/>
        <v>0</v>
      </c>
      <c r="Q433" s="142">
        <f t="shared" si="100"/>
        <v>0</v>
      </c>
      <c r="R433" s="142">
        <f t="shared" si="101"/>
        <v>0</v>
      </c>
      <c r="S433" s="142">
        <f t="shared" si="102"/>
        <v>0</v>
      </c>
      <c r="T433" s="142">
        <f t="shared" si="103"/>
        <v>4057.02</v>
      </c>
      <c r="U433" s="60">
        <f t="shared" si="104"/>
        <v>4057.02</v>
      </c>
    </row>
    <row r="434" spans="1:21" x14ac:dyDescent="0.2">
      <c r="A434" s="115"/>
      <c r="B434" s="139" t="s">
        <v>65</v>
      </c>
      <c r="C434" s="140" t="s">
        <v>377</v>
      </c>
      <c r="D434" s="141">
        <v>45712</v>
      </c>
      <c r="E434" s="141">
        <v>46517</v>
      </c>
      <c r="F434" s="57">
        <v>6824.09</v>
      </c>
      <c r="G434" s="58">
        <f t="shared" si="90"/>
        <v>495</v>
      </c>
      <c r="H434" s="142">
        <f t="shared" si="91"/>
        <v>0</v>
      </c>
      <c r="I434" s="142">
        <f t="shared" si="92"/>
        <v>0</v>
      </c>
      <c r="J434" s="143">
        <f t="shared" si="93"/>
        <v>0</v>
      </c>
      <c r="K434" s="143">
        <f t="shared" si="94"/>
        <v>0</v>
      </c>
      <c r="L434" s="142">
        <f t="shared" si="95"/>
        <v>0</v>
      </c>
      <c r="M434" s="142">
        <f t="shared" si="96"/>
        <v>0</v>
      </c>
      <c r="N434" s="142">
        <f t="shared" si="97"/>
        <v>0</v>
      </c>
      <c r="O434" s="59">
        <f t="shared" si="98"/>
        <v>0</v>
      </c>
      <c r="P434" s="142">
        <f t="shared" si="99"/>
        <v>0</v>
      </c>
      <c r="Q434" s="142">
        <f t="shared" si="100"/>
        <v>0</v>
      </c>
      <c r="R434" s="142">
        <f t="shared" si="101"/>
        <v>0</v>
      </c>
      <c r="S434" s="142">
        <f t="shared" si="102"/>
        <v>0</v>
      </c>
      <c r="T434" s="142">
        <f t="shared" si="103"/>
        <v>6824.09</v>
      </c>
      <c r="U434" s="60">
        <f t="shared" si="104"/>
        <v>6824.09</v>
      </c>
    </row>
    <row r="435" spans="1:21" x14ac:dyDescent="0.2">
      <c r="A435" s="115"/>
      <c r="B435" s="139" t="s">
        <v>65</v>
      </c>
      <c r="C435" s="140" t="s">
        <v>376</v>
      </c>
      <c r="D435" s="141">
        <v>45712</v>
      </c>
      <c r="E435" s="141">
        <v>46548</v>
      </c>
      <c r="F435" s="57">
        <v>4057.1</v>
      </c>
      <c r="G435" s="58">
        <f t="shared" si="90"/>
        <v>526</v>
      </c>
      <c r="H435" s="142">
        <f t="shared" si="91"/>
        <v>0</v>
      </c>
      <c r="I435" s="142">
        <f t="shared" si="92"/>
        <v>0</v>
      </c>
      <c r="J435" s="143">
        <f t="shared" si="93"/>
        <v>0</v>
      </c>
      <c r="K435" s="143">
        <f t="shared" si="94"/>
        <v>0</v>
      </c>
      <c r="L435" s="142">
        <f t="shared" si="95"/>
        <v>0</v>
      </c>
      <c r="M435" s="142">
        <f t="shared" si="96"/>
        <v>0</v>
      </c>
      <c r="N435" s="142">
        <f t="shared" si="97"/>
        <v>0</v>
      </c>
      <c r="O435" s="59">
        <f t="shared" si="98"/>
        <v>0</v>
      </c>
      <c r="P435" s="142">
        <f t="shared" si="99"/>
        <v>0</v>
      </c>
      <c r="Q435" s="142">
        <f t="shared" si="100"/>
        <v>0</v>
      </c>
      <c r="R435" s="142">
        <f t="shared" si="101"/>
        <v>0</v>
      </c>
      <c r="S435" s="142">
        <f t="shared" si="102"/>
        <v>0</v>
      </c>
      <c r="T435" s="142">
        <f t="shared" si="103"/>
        <v>4057.1</v>
      </c>
      <c r="U435" s="60">
        <f t="shared" si="104"/>
        <v>4057.1</v>
      </c>
    </row>
    <row r="436" spans="1:21" x14ac:dyDescent="0.2">
      <c r="A436" s="115"/>
      <c r="B436" s="139" t="s">
        <v>65</v>
      </c>
      <c r="C436" s="140" t="s">
        <v>377</v>
      </c>
      <c r="D436" s="141">
        <v>45712</v>
      </c>
      <c r="E436" s="141">
        <v>46548</v>
      </c>
      <c r="F436" s="57">
        <v>6824.17</v>
      </c>
      <c r="G436" s="58">
        <f t="shared" si="90"/>
        <v>526</v>
      </c>
      <c r="H436" s="142">
        <f t="shared" si="91"/>
        <v>0</v>
      </c>
      <c r="I436" s="142">
        <f t="shared" si="92"/>
        <v>0</v>
      </c>
      <c r="J436" s="143">
        <f t="shared" si="93"/>
        <v>0</v>
      </c>
      <c r="K436" s="143">
        <f t="shared" si="94"/>
        <v>0</v>
      </c>
      <c r="L436" s="142">
        <f t="shared" si="95"/>
        <v>0</v>
      </c>
      <c r="M436" s="142">
        <f t="shared" si="96"/>
        <v>0</v>
      </c>
      <c r="N436" s="142">
        <f t="shared" si="97"/>
        <v>0</v>
      </c>
      <c r="O436" s="59">
        <f t="shared" si="98"/>
        <v>0</v>
      </c>
      <c r="P436" s="142">
        <f t="shared" si="99"/>
        <v>0</v>
      </c>
      <c r="Q436" s="142">
        <f t="shared" si="100"/>
        <v>0</v>
      </c>
      <c r="R436" s="142">
        <f t="shared" si="101"/>
        <v>0</v>
      </c>
      <c r="S436" s="142">
        <f t="shared" si="102"/>
        <v>0</v>
      </c>
      <c r="T436" s="142">
        <f t="shared" si="103"/>
        <v>6824.17</v>
      </c>
      <c r="U436" s="60">
        <f t="shared" si="104"/>
        <v>6824.17</v>
      </c>
    </row>
    <row r="437" spans="1:21" x14ac:dyDescent="0.2">
      <c r="A437" s="115"/>
      <c r="B437" s="139" t="s">
        <v>511</v>
      </c>
      <c r="C437" s="140" t="s">
        <v>207</v>
      </c>
      <c r="D437" s="141">
        <v>42222</v>
      </c>
      <c r="E437" s="141">
        <v>42252</v>
      </c>
      <c r="F437" s="57">
        <v>45650</v>
      </c>
      <c r="G437" s="58">
        <f t="shared" si="90"/>
        <v>-3770</v>
      </c>
      <c r="H437" s="142">
        <f t="shared" si="91"/>
        <v>45650</v>
      </c>
      <c r="I437" s="142">
        <f t="shared" si="92"/>
        <v>0</v>
      </c>
      <c r="J437" s="143">
        <f t="shared" si="93"/>
        <v>0</v>
      </c>
      <c r="K437" s="143">
        <f t="shared" si="94"/>
        <v>0</v>
      </c>
      <c r="L437" s="142">
        <f t="shared" si="95"/>
        <v>0</v>
      </c>
      <c r="M437" s="142">
        <f t="shared" si="96"/>
        <v>0</v>
      </c>
      <c r="N437" s="142">
        <f t="shared" si="97"/>
        <v>0</v>
      </c>
      <c r="O437" s="59">
        <f t="shared" si="98"/>
        <v>45650</v>
      </c>
      <c r="P437" s="142">
        <f t="shared" si="99"/>
        <v>0</v>
      </c>
      <c r="Q437" s="142">
        <f t="shared" si="100"/>
        <v>0</v>
      </c>
      <c r="R437" s="142">
        <f t="shared" si="101"/>
        <v>0</v>
      </c>
      <c r="S437" s="142">
        <f t="shared" si="102"/>
        <v>0</v>
      </c>
      <c r="T437" s="142">
        <f t="shared" si="103"/>
        <v>0</v>
      </c>
      <c r="U437" s="60">
        <f t="shared" si="104"/>
        <v>0</v>
      </c>
    </row>
    <row r="438" spans="1:21" x14ac:dyDescent="0.2">
      <c r="A438" s="115"/>
      <c r="B438" s="139" t="s">
        <v>511</v>
      </c>
      <c r="C438" s="140" t="s">
        <v>208</v>
      </c>
      <c r="D438" s="141">
        <v>42319</v>
      </c>
      <c r="E438" s="141">
        <v>42349</v>
      </c>
      <c r="F438" s="57">
        <v>63250</v>
      </c>
      <c r="G438" s="58">
        <f t="shared" si="90"/>
        <v>-3673</v>
      </c>
      <c r="H438" s="142">
        <f t="shared" si="91"/>
        <v>63250</v>
      </c>
      <c r="I438" s="142">
        <f t="shared" si="92"/>
        <v>0</v>
      </c>
      <c r="J438" s="143">
        <f t="shared" si="93"/>
        <v>0</v>
      </c>
      <c r="K438" s="143">
        <f t="shared" si="94"/>
        <v>0</v>
      </c>
      <c r="L438" s="142">
        <f t="shared" si="95"/>
        <v>0</v>
      </c>
      <c r="M438" s="142">
        <f t="shared" si="96"/>
        <v>0</v>
      </c>
      <c r="N438" s="142">
        <f t="shared" si="97"/>
        <v>0</v>
      </c>
      <c r="O438" s="59">
        <f t="shared" si="98"/>
        <v>63250</v>
      </c>
      <c r="P438" s="142">
        <f t="shared" si="99"/>
        <v>0</v>
      </c>
      <c r="Q438" s="142">
        <f t="shared" si="100"/>
        <v>0</v>
      </c>
      <c r="R438" s="142">
        <f t="shared" si="101"/>
        <v>0</v>
      </c>
      <c r="S438" s="142">
        <f t="shared" si="102"/>
        <v>0</v>
      </c>
      <c r="T438" s="142">
        <f t="shared" si="103"/>
        <v>0</v>
      </c>
      <c r="U438" s="60">
        <f t="shared" si="104"/>
        <v>0</v>
      </c>
    </row>
    <row r="439" spans="1:21" x14ac:dyDescent="0.2">
      <c r="A439" s="115"/>
      <c r="B439" s="139" t="s">
        <v>511</v>
      </c>
      <c r="C439" s="140" t="s">
        <v>209</v>
      </c>
      <c r="D439" s="141">
        <v>42319</v>
      </c>
      <c r="E439" s="141">
        <v>42349</v>
      </c>
      <c r="F439" s="57">
        <v>73850</v>
      </c>
      <c r="G439" s="58">
        <f t="shared" si="90"/>
        <v>-3673</v>
      </c>
      <c r="H439" s="142">
        <f t="shared" si="91"/>
        <v>73850</v>
      </c>
      <c r="I439" s="142">
        <f t="shared" si="92"/>
        <v>0</v>
      </c>
      <c r="J439" s="143">
        <f t="shared" si="93"/>
        <v>0</v>
      </c>
      <c r="K439" s="143">
        <f t="shared" si="94"/>
        <v>0</v>
      </c>
      <c r="L439" s="142">
        <f t="shared" si="95"/>
        <v>0</v>
      </c>
      <c r="M439" s="142">
        <f t="shared" si="96"/>
        <v>0</v>
      </c>
      <c r="N439" s="142">
        <f t="shared" si="97"/>
        <v>0</v>
      </c>
      <c r="O439" s="59">
        <f t="shared" si="98"/>
        <v>73850</v>
      </c>
      <c r="P439" s="142">
        <f t="shared" si="99"/>
        <v>0</v>
      </c>
      <c r="Q439" s="142">
        <f t="shared" si="100"/>
        <v>0</v>
      </c>
      <c r="R439" s="142">
        <f t="shared" si="101"/>
        <v>0</v>
      </c>
      <c r="S439" s="142">
        <f t="shared" si="102"/>
        <v>0</v>
      </c>
      <c r="T439" s="142">
        <f t="shared" si="103"/>
        <v>0</v>
      </c>
      <c r="U439" s="60">
        <f t="shared" si="104"/>
        <v>0</v>
      </c>
    </row>
    <row r="440" spans="1:21" x14ac:dyDescent="0.2">
      <c r="A440" s="115"/>
      <c r="B440" s="139" t="s">
        <v>438</v>
      </c>
      <c r="C440" s="140" t="s">
        <v>655</v>
      </c>
      <c r="D440" s="141">
        <v>45923</v>
      </c>
      <c r="E440" s="141">
        <v>46042</v>
      </c>
      <c r="F440" s="57">
        <v>69600</v>
      </c>
      <c r="G440" s="58">
        <f t="shared" si="90"/>
        <v>20</v>
      </c>
      <c r="H440" s="142">
        <f t="shared" si="91"/>
        <v>0</v>
      </c>
      <c r="I440" s="142">
        <f t="shared" si="92"/>
        <v>0</v>
      </c>
      <c r="J440" s="143">
        <f t="shared" si="93"/>
        <v>0</v>
      </c>
      <c r="K440" s="143">
        <f t="shared" si="94"/>
        <v>0</v>
      </c>
      <c r="L440" s="142">
        <f t="shared" si="95"/>
        <v>0</v>
      </c>
      <c r="M440" s="142">
        <f t="shared" si="96"/>
        <v>0</v>
      </c>
      <c r="N440" s="142">
        <f t="shared" si="97"/>
        <v>0</v>
      </c>
      <c r="O440" s="59">
        <f t="shared" si="98"/>
        <v>0</v>
      </c>
      <c r="P440" s="142">
        <f t="shared" si="99"/>
        <v>69600</v>
      </c>
      <c r="Q440" s="142">
        <f t="shared" si="100"/>
        <v>0</v>
      </c>
      <c r="R440" s="142">
        <f t="shared" si="101"/>
        <v>0</v>
      </c>
      <c r="S440" s="142">
        <f t="shared" si="102"/>
        <v>0</v>
      </c>
      <c r="T440" s="142">
        <f t="shared" si="103"/>
        <v>0</v>
      </c>
      <c r="U440" s="60">
        <f t="shared" si="104"/>
        <v>69600</v>
      </c>
    </row>
    <row r="441" spans="1:21" x14ac:dyDescent="0.2">
      <c r="A441" s="115"/>
      <c r="B441" s="139" t="s">
        <v>438</v>
      </c>
      <c r="C441" s="140" t="s">
        <v>802</v>
      </c>
      <c r="D441" s="141">
        <v>45960</v>
      </c>
      <c r="E441" s="141">
        <v>46050</v>
      </c>
      <c r="F441" s="57">
        <v>26097.119999999999</v>
      </c>
      <c r="G441" s="58">
        <f t="shared" si="90"/>
        <v>28</v>
      </c>
      <c r="H441" s="142">
        <f t="shared" si="91"/>
        <v>0</v>
      </c>
      <c r="I441" s="142">
        <f t="shared" si="92"/>
        <v>0</v>
      </c>
      <c r="J441" s="143">
        <f t="shared" si="93"/>
        <v>0</v>
      </c>
      <c r="K441" s="143">
        <f t="shared" si="94"/>
        <v>0</v>
      </c>
      <c r="L441" s="142">
        <f t="shared" si="95"/>
        <v>0</v>
      </c>
      <c r="M441" s="142">
        <f t="shared" si="96"/>
        <v>0</v>
      </c>
      <c r="N441" s="142">
        <f t="shared" si="97"/>
        <v>0</v>
      </c>
      <c r="O441" s="59">
        <f t="shared" si="98"/>
        <v>0</v>
      </c>
      <c r="P441" s="142">
        <f t="shared" si="99"/>
        <v>26097.119999999999</v>
      </c>
      <c r="Q441" s="142">
        <f t="shared" si="100"/>
        <v>0</v>
      </c>
      <c r="R441" s="142">
        <f t="shared" si="101"/>
        <v>0</v>
      </c>
      <c r="S441" s="142">
        <f t="shared" si="102"/>
        <v>0</v>
      </c>
      <c r="T441" s="142">
        <f t="shared" si="103"/>
        <v>0</v>
      </c>
      <c r="U441" s="60">
        <f t="shared" si="104"/>
        <v>26097.119999999999</v>
      </c>
    </row>
    <row r="442" spans="1:21" x14ac:dyDescent="0.2">
      <c r="A442" s="115"/>
      <c r="B442" s="139" t="s">
        <v>439</v>
      </c>
      <c r="C442" s="140" t="s">
        <v>656</v>
      </c>
      <c r="D442" s="141">
        <v>45925</v>
      </c>
      <c r="E442" s="141">
        <v>46045</v>
      </c>
      <c r="F442" s="57">
        <v>1619.94</v>
      </c>
      <c r="G442" s="58">
        <f t="shared" si="90"/>
        <v>23</v>
      </c>
      <c r="H442" s="142">
        <f t="shared" si="91"/>
        <v>0</v>
      </c>
      <c r="I442" s="142">
        <f t="shared" si="92"/>
        <v>0</v>
      </c>
      <c r="J442" s="143">
        <f t="shared" si="93"/>
        <v>0</v>
      </c>
      <c r="K442" s="143">
        <f t="shared" si="94"/>
        <v>0</v>
      </c>
      <c r="L442" s="142">
        <f t="shared" si="95"/>
        <v>0</v>
      </c>
      <c r="M442" s="142">
        <f t="shared" si="96"/>
        <v>0</v>
      </c>
      <c r="N442" s="142">
        <f t="shared" si="97"/>
        <v>0</v>
      </c>
      <c r="O442" s="59">
        <f t="shared" si="98"/>
        <v>0</v>
      </c>
      <c r="P442" s="142">
        <f t="shared" si="99"/>
        <v>1619.94</v>
      </c>
      <c r="Q442" s="142">
        <f t="shared" si="100"/>
        <v>0</v>
      </c>
      <c r="R442" s="142">
        <f t="shared" si="101"/>
        <v>0</v>
      </c>
      <c r="S442" s="142">
        <f t="shared" si="102"/>
        <v>0</v>
      </c>
      <c r="T442" s="142">
        <f t="shared" si="103"/>
        <v>0</v>
      </c>
      <c r="U442" s="60">
        <f t="shared" si="104"/>
        <v>1619.94</v>
      </c>
    </row>
    <row r="443" spans="1:21" x14ac:dyDescent="0.2">
      <c r="A443" s="115"/>
      <c r="B443" s="139" t="s">
        <v>410</v>
      </c>
      <c r="C443" s="140" t="s">
        <v>789</v>
      </c>
      <c r="D443" s="141">
        <v>45961</v>
      </c>
      <c r="E443" s="141">
        <v>46051</v>
      </c>
      <c r="F443" s="57">
        <v>17300</v>
      </c>
      <c r="G443" s="58">
        <f t="shared" si="90"/>
        <v>29</v>
      </c>
      <c r="H443" s="142">
        <f t="shared" si="91"/>
        <v>0</v>
      </c>
      <c r="I443" s="142">
        <f t="shared" si="92"/>
        <v>0</v>
      </c>
      <c r="J443" s="143">
        <f t="shared" si="93"/>
        <v>0</v>
      </c>
      <c r="K443" s="143">
        <f t="shared" si="94"/>
        <v>0</v>
      </c>
      <c r="L443" s="142">
        <f t="shared" si="95"/>
        <v>0</v>
      </c>
      <c r="M443" s="142">
        <f t="shared" si="96"/>
        <v>0</v>
      </c>
      <c r="N443" s="142">
        <f t="shared" si="97"/>
        <v>0</v>
      </c>
      <c r="O443" s="59">
        <f t="shared" si="98"/>
        <v>0</v>
      </c>
      <c r="P443" s="142">
        <f t="shared" si="99"/>
        <v>17300</v>
      </c>
      <c r="Q443" s="142">
        <f t="shared" si="100"/>
        <v>0</v>
      </c>
      <c r="R443" s="142">
        <f t="shared" si="101"/>
        <v>0</v>
      </c>
      <c r="S443" s="142">
        <f t="shared" si="102"/>
        <v>0</v>
      </c>
      <c r="T443" s="142">
        <f t="shared" si="103"/>
        <v>0</v>
      </c>
      <c r="U443" s="60">
        <f t="shared" si="104"/>
        <v>17300</v>
      </c>
    </row>
    <row r="444" spans="1:21" x14ac:dyDescent="0.2">
      <c r="A444" s="115"/>
      <c r="B444" s="139" t="s">
        <v>410</v>
      </c>
      <c r="C444" s="140" t="s">
        <v>892</v>
      </c>
      <c r="D444" s="141">
        <v>45986</v>
      </c>
      <c r="E444" s="141">
        <v>46076</v>
      </c>
      <c r="F444" s="57">
        <v>6948.7</v>
      </c>
      <c r="G444" s="58">
        <f t="shared" si="90"/>
        <v>54</v>
      </c>
      <c r="H444" s="142">
        <f t="shared" si="91"/>
        <v>0</v>
      </c>
      <c r="I444" s="142">
        <f t="shared" si="92"/>
        <v>0</v>
      </c>
      <c r="J444" s="143">
        <f t="shared" si="93"/>
        <v>0</v>
      </c>
      <c r="K444" s="143">
        <f t="shared" si="94"/>
        <v>0</v>
      </c>
      <c r="L444" s="142">
        <f t="shared" si="95"/>
        <v>0</v>
      </c>
      <c r="M444" s="142">
        <f t="shared" si="96"/>
        <v>0</v>
      </c>
      <c r="N444" s="142">
        <f t="shared" si="97"/>
        <v>0</v>
      </c>
      <c r="O444" s="59">
        <f t="shared" si="98"/>
        <v>0</v>
      </c>
      <c r="P444" s="142">
        <f t="shared" si="99"/>
        <v>0</v>
      </c>
      <c r="Q444" s="142">
        <f t="shared" si="100"/>
        <v>6948.7</v>
      </c>
      <c r="R444" s="142">
        <f t="shared" si="101"/>
        <v>0</v>
      </c>
      <c r="S444" s="142">
        <f t="shared" si="102"/>
        <v>0</v>
      </c>
      <c r="T444" s="142">
        <f t="shared" si="103"/>
        <v>0</v>
      </c>
      <c r="U444" s="60">
        <f t="shared" si="104"/>
        <v>6948.7</v>
      </c>
    </row>
    <row r="445" spans="1:21" x14ac:dyDescent="0.2">
      <c r="A445" s="115"/>
      <c r="B445" s="139" t="s">
        <v>893</v>
      </c>
      <c r="C445" s="140" t="s">
        <v>894</v>
      </c>
      <c r="D445" s="141">
        <v>45989</v>
      </c>
      <c r="E445" s="141">
        <v>46049</v>
      </c>
      <c r="F445" s="57">
        <v>57500</v>
      </c>
      <c r="G445" s="58">
        <f t="shared" si="90"/>
        <v>27</v>
      </c>
      <c r="H445" s="142">
        <f t="shared" si="91"/>
        <v>0</v>
      </c>
      <c r="I445" s="142">
        <f t="shared" si="92"/>
        <v>0</v>
      </c>
      <c r="J445" s="143">
        <f t="shared" si="93"/>
        <v>0</v>
      </c>
      <c r="K445" s="143">
        <f t="shared" si="94"/>
        <v>0</v>
      </c>
      <c r="L445" s="142">
        <f t="shared" si="95"/>
        <v>0</v>
      </c>
      <c r="M445" s="142">
        <f t="shared" si="96"/>
        <v>0</v>
      </c>
      <c r="N445" s="142">
        <f t="shared" si="97"/>
        <v>0</v>
      </c>
      <c r="O445" s="59">
        <f t="shared" si="98"/>
        <v>0</v>
      </c>
      <c r="P445" s="142">
        <f t="shared" si="99"/>
        <v>57500</v>
      </c>
      <c r="Q445" s="142">
        <f t="shared" si="100"/>
        <v>0</v>
      </c>
      <c r="R445" s="142">
        <f t="shared" si="101"/>
        <v>0</v>
      </c>
      <c r="S445" s="142">
        <f t="shared" si="102"/>
        <v>0</v>
      </c>
      <c r="T445" s="142">
        <f t="shared" si="103"/>
        <v>0</v>
      </c>
      <c r="U445" s="60">
        <f t="shared" si="104"/>
        <v>57500</v>
      </c>
    </row>
    <row r="446" spans="1:21" x14ac:dyDescent="0.2">
      <c r="A446" s="115"/>
      <c r="B446" s="139" t="s">
        <v>967</v>
      </c>
      <c r="C446" s="140" t="s">
        <v>968</v>
      </c>
      <c r="D446" s="141">
        <v>46014</v>
      </c>
      <c r="E446" s="141">
        <v>46114</v>
      </c>
      <c r="F446" s="57">
        <v>118100</v>
      </c>
      <c r="G446" s="58">
        <f t="shared" si="90"/>
        <v>92</v>
      </c>
      <c r="H446" s="142">
        <f t="shared" si="91"/>
        <v>0</v>
      </c>
      <c r="I446" s="142">
        <f t="shared" si="92"/>
        <v>0</v>
      </c>
      <c r="J446" s="143">
        <f t="shared" si="93"/>
        <v>0</v>
      </c>
      <c r="K446" s="143">
        <f t="shared" si="94"/>
        <v>0</v>
      </c>
      <c r="L446" s="142">
        <f t="shared" si="95"/>
        <v>0</v>
      </c>
      <c r="M446" s="142">
        <f t="shared" si="96"/>
        <v>0</v>
      </c>
      <c r="N446" s="142">
        <f t="shared" si="97"/>
        <v>0</v>
      </c>
      <c r="O446" s="59">
        <f t="shared" si="98"/>
        <v>0</v>
      </c>
      <c r="P446" s="142">
        <f t="shared" si="99"/>
        <v>0</v>
      </c>
      <c r="Q446" s="142">
        <f t="shared" si="100"/>
        <v>0</v>
      </c>
      <c r="R446" s="142">
        <f t="shared" si="101"/>
        <v>0</v>
      </c>
      <c r="S446" s="142">
        <f t="shared" si="102"/>
        <v>118100</v>
      </c>
      <c r="T446" s="142">
        <f t="shared" si="103"/>
        <v>0</v>
      </c>
      <c r="U446" s="60">
        <f t="shared" si="104"/>
        <v>118100</v>
      </c>
    </row>
    <row r="447" spans="1:21" x14ac:dyDescent="0.2">
      <c r="A447" s="115"/>
      <c r="B447" s="139" t="s">
        <v>317</v>
      </c>
      <c r="C447" s="140" t="s">
        <v>389</v>
      </c>
      <c r="D447" s="141">
        <v>45845</v>
      </c>
      <c r="E447" s="141">
        <v>46020</v>
      </c>
      <c r="F447" s="57">
        <v>9166.67</v>
      </c>
      <c r="G447" s="58">
        <f t="shared" si="90"/>
        <v>-2</v>
      </c>
      <c r="H447" s="142">
        <f t="shared" si="91"/>
        <v>0</v>
      </c>
      <c r="I447" s="142">
        <f t="shared" si="92"/>
        <v>0</v>
      </c>
      <c r="J447" s="143">
        <f t="shared" si="93"/>
        <v>0</v>
      </c>
      <c r="K447" s="143">
        <f t="shared" si="94"/>
        <v>0</v>
      </c>
      <c r="L447" s="142">
        <f t="shared" si="95"/>
        <v>0</v>
      </c>
      <c r="M447" s="142">
        <f t="shared" si="96"/>
        <v>0</v>
      </c>
      <c r="N447" s="142">
        <f t="shared" si="97"/>
        <v>9166.67</v>
      </c>
      <c r="O447" s="59">
        <f t="shared" si="98"/>
        <v>9166.67</v>
      </c>
      <c r="P447" s="142">
        <f t="shared" si="99"/>
        <v>0</v>
      </c>
      <c r="Q447" s="142">
        <f t="shared" si="100"/>
        <v>0</v>
      </c>
      <c r="R447" s="142">
        <f t="shared" si="101"/>
        <v>0</v>
      </c>
      <c r="S447" s="142">
        <f t="shared" si="102"/>
        <v>0</v>
      </c>
      <c r="T447" s="142">
        <f t="shared" si="103"/>
        <v>0</v>
      </c>
      <c r="U447" s="60">
        <f t="shared" si="104"/>
        <v>0</v>
      </c>
    </row>
    <row r="448" spans="1:21" x14ac:dyDescent="0.2">
      <c r="A448" s="115"/>
      <c r="B448" s="139" t="s">
        <v>317</v>
      </c>
      <c r="C448" s="140" t="s">
        <v>389</v>
      </c>
      <c r="D448" s="141">
        <v>45845</v>
      </c>
      <c r="E448" s="141">
        <v>46052</v>
      </c>
      <c r="F448" s="57">
        <v>9166.67</v>
      </c>
      <c r="G448" s="58">
        <f t="shared" si="90"/>
        <v>30</v>
      </c>
      <c r="H448" s="142">
        <f t="shared" si="91"/>
        <v>0</v>
      </c>
      <c r="I448" s="142">
        <f t="shared" si="92"/>
        <v>0</v>
      </c>
      <c r="J448" s="143">
        <f t="shared" si="93"/>
        <v>0</v>
      </c>
      <c r="K448" s="143">
        <f t="shared" si="94"/>
        <v>0</v>
      </c>
      <c r="L448" s="142">
        <f t="shared" si="95"/>
        <v>0</v>
      </c>
      <c r="M448" s="142">
        <f t="shared" si="96"/>
        <v>0</v>
      </c>
      <c r="N448" s="142">
        <f t="shared" si="97"/>
        <v>0</v>
      </c>
      <c r="O448" s="59">
        <f t="shared" si="98"/>
        <v>0</v>
      </c>
      <c r="P448" s="142">
        <f t="shared" si="99"/>
        <v>9166.67</v>
      </c>
      <c r="Q448" s="142">
        <f t="shared" si="100"/>
        <v>0</v>
      </c>
      <c r="R448" s="142">
        <f t="shared" si="101"/>
        <v>0</v>
      </c>
      <c r="S448" s="142">
        <f t="shared" si="102"/>
        <v>0</v>
      </c>
      <c r="T448" s="142">
        <f t="shared" si="103"/>
        <v>0</v>
      </c>
      <c r="U448" s="60">
        <f t="shared" si="104"/>
        <v>9166.67</v>
      </c>
    </row>
    <row r="449" spans="1:21" x14ac:dyDescent="0.2">
      <c r="A449" s="115"/>
      <c r="B449" s="139" t="s">
        <v>317</v>
      </c>
      <c r="C449" s="140" t="s">
        <v>389</v>
      </c>
      <c r="D449" s="141">
        <v>45845</v>
      </c>
      <c r="E449" s="141">
        <v>46080</v>
      </c>
      <c r="F449" s="57">
        <v>9166.67</v>
      </c>
      <c r="G449" s="58">
        <f t="shared" si="90"/>
        <v>58</v>
      </c>
      <c r="H449" s="142">
        <f t="shared" si="91"/>
        <v>0</v>
      </c>
      <c r="I449" s="142">
        <f t="shared" si="92"/>
        <v>0</v>
      </c>
      <c r="J449" s="143">
        <f t="shared" si="93"/>
        <v>0</v>
      </c>
      <c r="K449" s="143">
        <f t="shared" si="94"/>
        <v>0</v>
      </c>
      <c r="L449" s="142">
        <f t="shared" si="95"/>
        <v>0</v>
      </c>
      <c r="M449" s="142">
        <f t="shared" si="96"/>
        <v>0</v>
      </c>
      <c r="N449" s="142">
        <f t="shared" si="97"/>
        <v>0</v>
      </c>
      <c r="O449" s="59">
        <f t="shared" si="98"/>
        <v>0</v>
      </c>
      <c r="P449" s="142">
        <f t="shared" si="99"/>
        <v>0</v>
      </c>
      <c r="Q449" s="142">
        <f t="shared" si="100"/>
        <v>9166.67</v>
      </c>
      <c r="R449" s="142">
        <f t="shared" si="101"/>
        <v>0</v>
      </c>
      <c r="S449" s="142">
        <f t="shared" si="102"/>
        <v>0</v>
      </c>
      <c r="T449" s="142">
        <f t="shared" si="103"/>
        <v>0</v>
      </c>
      <c r="U449" s="60">
        <f t="shared" si="104"/>
        <v>9166.67</v>
      </c>
    </row>
    <row r="450" spans="1:21" x14ac:dyDescent="0.2">
      <c r="A450" s="115"/>
      <c r="B450" s="139" t="s">
        <v>317</v>
      </c>
      <c r="C450" s="140" t="s">
        <v>389</v>
      </c>
      <c r="D450" s="141">
        <v>45845</v>
      </c>
      <c r="E450" s="141">
        <v>46112</v>
      </c>
      <c r="F450" s="57">
        <v>9166.67</v>
      </c>
      <c r="G450" s="58">
        <f t="shared" si="90"/>
        <v>90</v>
      </c>
      <c r="H450" s="142">
        <f t="shared" si="91"/>
        <v>0</v>
      </c>
      <c r="I450" s="142">
        <f t="shared" si="92"/>
        <v>0</v>
      </c>
      <c r="J450" s="143">
        <f t="shared" si="93"/>
        <v>0</v>
      </c>
      <c r="K450" s="143">
        <f t="shared" si="94"/>
        <v>0</v>
      </c>
      <c r="L450" s="142">
        <f t="shared" si="95"/>
        <v>0</v>
      </c>
      <c r="M450" s="142">
        <f t="shared" si="96"/>
        <v>0</v>
      </c>
      <c r="N450" s="142">
        <f t="shared" si="97"/>
        <v>0</v>
      </c>
      <c r="O450" s="59">
        <f t="shared" si="98"/>
        <v>0</v>
      </c>
      <c r="P450" s="142">
        <f t="shared" si="99"/>
        <v>0</v>
      </c>
      <c r="Q450" s="142">
        <f t="shared" si="100"/>
        <v>0</v>
      </c>
      <c r="R450" s="142">
        <f t="shared" si="101"/>
        <v>9166.67</v>
      </c>
      <c r="S450" s="142">
        <f t="shared" si="102"/>
        <v>0</v>
      </c>
      <c r="T450" s="142">
        <f t="shared" si="103"/>
        <v>0</v>
      </c>
      <c r="U450" s="60">
        <f t="shared" si="104"/>
        <v>9166.67</v>
      </c>
    </row>
    <row r="451" spans="1:21" x14ac:dyDescent="0.2">
      <c r="A451" s="115"/>
      <c r="B451" s="139" t="s">
        <v>317</v>
      </c>
      <c r="C451" s="140" t="s">
        <v>389</v>
      </c>
      <c r="D451" s="141">
        <v>45845</v>
      </c>
      <c r="E451" s="141">
        <v>46142</v>
      </c>
      <c r="F451" s="57">
        <v>9166.67</v>
      </c>
      <c r="G451" s="58">
        <f t="shared" si="90"/>
        <v>120</v>
      </c>
      <c r="H451" s="142">
        <f t="shared" si="91"/>
        <v>0</v>
      </c>
      <c r="I451" s="142">
        <f t="shared" si="92"/>
        <v>0</v>
      </c>
      <c r="J451" s="143">
        <f t="shared" si="93"/>
        <v>0</v>
      </c>
      <c r="K451" s="143">
        <f t="shared" si="94"/>
        <v>0</v>
      </c>
      <c r="L451" s="142">
        <f t="shared" si="95"/>
        <v>0</v>
      </c>
      <c r="M451" s="142">
        <f t="shared" si="96"/>
        <v>0</v>
      </c>
      <c r="N451" s="142">
        <f t="shared" si="97"/>
        <v>0</v>
      </c>
      <c r="O451" s="59">
        <f t="shared" si="98"/>
        <v>0</v>
      </c>
      <c r="P451" s="142">
        <f t="shared" si="99"/>
        <v>0</v>
      </c>
      <c r="Q451" s="142">
        <f t="shared" si="100"/>
        <v>0</v>
      </c>
      <c r="R451" s="142">
        <f t="shared" si="101"/>
        <v>0</v>
      </c>
      <c r="S451" s="142">
        <f t="shared" si="102"/>
        <v>9166.67</v>
      </c>
      <c r="T451" s="142">
        <f t="shared" si="103"/>
        <v>0</v>
      </c>
      <c r="U451" s="60">
        <f t="shared" si="104"/>
        <v>9166.67</v>
      </c>
    </row>
    <row r="452" spans="1:21" x14ac:dyDescent="0.2">
      <c r="A452" s="115"/>
      <c r="B452" s="139" t="s">
        <v>317</v>
      </c>
      <c r="C452" s="140" t="s">
        <v>389</v>
      </c>
      <c r="D452" s="141">
        <v>45845</v>
      </c>
      <c r="E452" s="141">
        <v>46171</v>
      </c>
      <c r="F452" s="57">
        <v>9166.6299999999992</v>
      </c>
      <c r="G452" s="58">
        <f t="shared" si="90"/>
        <v>149</v>
      </c>
      <c r="H452" s="142">
        <f t="shared" si="91"/>
        <v>0</v>
      </c>
      <c r="I452" s="142">
        <f t="shared" si="92"/>
        <v>0</v>
      </c>
      <c r="J452" s="143">
        <f t="shared" si="93"/>
        <v>0</v>
      </c>
      <c r="K452" s="143">
        <f t="shared" si="94"/>
        <v>0</v>
      </c>
      <c r="L452" s="142">
        <f t="shared" si="95"/>
        <v>0</v>
      </c>
      <c r="M452" s="142">
        <f t="shared" si="96"/>
        <v>0</v>
      </c>
      <c r="N452" s="142">
        <f t="shared" si="97"/>
        <v>0</v>
      </c>
      <c r="O452" s="59">
        <f t="shared" si="98"/>
        <v>0</v>
      </c>
      <c r="P452" s="142">
        <f t="shared" si="99"/>
        <v>0</v>
      </c>
      <c r="Q452" s="142">
        <f t="shared" si="100"/>
        <v>0</v>
      </c>
      <c r="R452" s="142">
        <f t="shared" si="101"/>
        <v>0</v>
      </c>
      <c r="S452" s="142">
        <f t="shared" si="102"/>
        <v>0</v>
      </c>
      <c r="T452" s="142">
        <f t="shared" si="103"/>
        <v>9166.6299999999992</v>
      </c>
      <c r="U452" s="60">
        <f t="shared" si="104"/>
        <v>9166.6299999999992</v>
      </c>
    </row>
    <row r="453" spans="1:21" x14ac:dyDescent="0.2">
      <c r="A453" s="115"/>
      <c r="B453" s="139" t="s">
        <v>390</v>
      </c>
      <c r="C453" s="140" t="s">
        <v>391</v>
      </c>
      <c r="D453" s="141">
        <v>45723</v>
      </c>
      <c r="E453" s="141">
        <v>45768</v>
      </c>
      <c r="F453" s="57">
        <v>43643.59</v>
      </c>
      <c r="G453" s="58">
        <f t="shared" si="90"/>
        <v>-254</v>
      </c>
      <c r="H453" s="142">
        <f t="shared" si="91"/>
        <v>43643.59</v>
      </c>
      <c r="I453" s="142">
        <f t="shared" si="92"/>
        <v>0</v>
      </c>
      <c r="J453" s="143">
        <f t="shared" si="93"/>
        <v>0</v>
      </c>
      <c r="K453" s="143">
        <f t="shared" si="94"/>
        <v>0</v>
      </c>
      <c r="L453" s="142">
        <f t="shared" si="95"/>
        <v>0</v>
      </c>
      <c r="M453" s="142">
        <f t="shared" si="96"/>
        <v>0</v>
      </c>
      <c r="N453" s="142">
        <f t="shared" si="97"/>
        <v>0</v>
      </c>
      <c r="O453" s="59">
        <f t="shared" si="98"/>
        <v>43643.59</v>
      </c>
      <c r="P453" s="142">
        <f t="shared" si="99"/>
        <v>0</v>
      </c>
      <c r="Q453" s="142">
        <f t="shared" si="100"/>
        <v>0</v>
      </c>
      <c r="R453" s="142">
        <f t="shared" si="101"/>
        <v>0</v>
      </c>
      <c r="S453" s="142">
        <f t="shared" si="102"/>
        <v>0</v>
      </c>
      <c r="T453" s="142">
        <f t="shared" si="103"/>
        <v>0</v>
      </c>
      <c r="U453" s="60">
        <f t="shared" si="104"/>
        <v>0</v>
      </c>
    </row>
    <row r="454" spans="1:21" x14ac:dyDescent="0.2">
      <c r="A454" s="115"/>
      <c r="B454" s="139" t="s">
        <v>390</v>
      </c>
      <c r="C454" s="140" t="s">
        <v>411</v>
      </c>
      <c r="D454" s="141">
        <v>45783</v>
      </c>
      <c r="E454" s="141">
        <v>45828</v>
      </c>
      <c r="F454" s="57">
        <v>43508.800000000003</v>
      </c>
      <c r="G454" s="58">
        <f t="shared" si="90"/>
        <v>-194</v>
      </c>
      <c r="H454" s="142">
        <f t="shared" si="91"/>
        <v>43508.800000000003</v>
      </c>
      <c r="I454" s="142">
        <f t="shared" si="92"/>
        <v>0</v>
      </c>
      <c r="J454" s="143">
        <f t="shared" si="93"/>
        <v>0</v>
      </c>
      <c r="K454" s="143">
        <f t="shared" si="94"/>
        <v>0</v>
      </c>
      <c r="L454" s="142">
        <f t="shared" si="95"/>
        <v>0</v>
      </c>
      <c r="M454" s="142">
        <f t="shared" si="96"/>
        <v>0</v>
      </c>
      <c r="N454" s="142">
        <f t="shared" si="97"/>
        <v>0</v>
      </c>
      <c r="O454" s="59">
        <f t="shared" si="98"/>
        <v>43508.800000000003</v>
      </c>
      <c r="P454" s="142">
        <f t="shared" si="99"/>
        <v>0</v>
      </c>
      <c r="Q454" s="142">
        <f t="shared" si="100"/>
        <v>0</v>
      </c>
      <c r="R454" s="142">
        <f t="shared" si="101"/>
        <v>0</v>
      </c>
      <c r="S454" s="142">
        <f t="shared" si="102"/>
        <v>0</v>
      </c>
      <c r="T454" s="142">
        <f t="shared" si="103"/>
        <v>0</v>
      </c>
      <c r="U454" s="60">
        <f t="shared" si="104"/>
        <v>0</v>
      </c>
    </row>
    <row r="455" spans="1:21" x14ac:dyDescent="0.2">
      <c r="A455" s="115"/>
      <c r="B455" s="139" t="s">
        <v>390</v>
      </c>
      <c r="C455" s="140" t="s">
        <v>412</v>
      </c>
      <c r="D455" s="141">
        <v>45789</v>
      </c>
      <c r="E455" s="141">
        <v>45834</v>
      </c>
      <c r="F455" s="57">
        <v>49317.9</v>
      </c>
      <c r="G455" s="58">
        <f t="shared" ref="G455:G518" si="105">E455-$H$3</f>
        <v>-188</v>
      </c>
      <c r="H455" s="142">
        <f t="shared" ref="H455:H518" si="106">IF(AND($G455&gt;=-8000,$G455&lt;=-181),$F455,0)</f>
        <v>49317.9</v>
      </c>
      <c r="I455" s="142">
        <f t="shared" ref="I455:I518" si="107">IF(AND($G455&gt;=-180,$G455&lt;=-151),$F455,0)</f>
        <v>0</v>
      </c>
      <c r="J455" s="143">
        <f t="shared" ref="J455:J518" si="108">IF(AND($G455&gt;=-150,$G455&lt;=-121),$F455,0)</f>
        <v>0</v>
      </c>
      <c r="K455" s="143">
        <f t="shared" ref="K455:K518" si="109">IF(AND($G455&gt;=-120,$G455&lt;=-91),$F455,0)</f>
        <v>0</v>
      </c>
      <c r="L455" s="142">
        <f t="shared" ref="L455:L518" si="110">IF(AND($G455&gt;=-90,$G455&lt;=-61),$F455,0)</f>
        <v>0</v>
      </c>
      <c r="M455" s="142">
        <f t="shared" ref="M455:M518" si="111">IF(AND($G455&gt;=-60,$G455&lt;=-31),$F455,0)</f>
        <v>0</v>
      </c>
      <c r="N455" s="142">
        <f t="shared" ref="N455:N518" si="112">IF(AND($G455&gt;=-30,$G455&lt;=-1),$F455,0)</f>
        <v>0</v>
      </c>
      <c r="O455" s="59">
        <f t="shared" ref="O455:O518" si="113">SUM(H455:N455)</f>
        <v>49317.9</v>
      </c>
      <c r="P455" s="142">
        <f t="shared" ref="P455:P518" si="114">IF(AND($G455&lt;=30,$G455&gt;=0),$F455,0)</f>
        <v>0</v>
      </c>
      <c r="Q455" s="142">
        <f t="shared" ref="Q455:Q518" si="115">IF(AND($G455&lt;=60,$G455&gt;=31),$F455,0)</f>
        <v>0</v>
      </c>
      <c r="R455" s="142">
        <f t="shared" ref="R455:R518" si="116">IF(AND($G455&lt;=90,$G455&gt;=61),$F455,0)</f>
        <v>0</v>
      </c>
      <c r="S455" s="142">
        <f t="shared" ref="S455:S518" si="117">IF(AND($G455&lt;=120,$G455&gt;=91),$F455,0)</f>
        <v>0</v>
      </c>
      <c r="T455" s="142">
        <f t="shared" ref="T455:T518" si="118">IF(G455&gt;=121,F455,0)</f>
        <v>0</v>
      </c>
      <c r="U455" s="60">
        <f t="shared" ref="U455:U518" si="119">SUM(P455:T455)</f>
        <v>0</v>
      </c>
    </row>
    <row r="456" spans="1:21" x14ac:dyDescent="0.2">
      <c r="A456" s="115"/>
      <c r="B456" s="139" t="s">
        <v>390</v>
      </c>
      <c r="C456" s="140" t="s">
        <v>440</v>
      </c>
      <c r="D456" s="141">
        <v>45814</v>
      </c>
      <c r="E456" s="141">
        <v>45859</v>
      </c>
      <c r="F456" s="57">
        <v>44799.47</v>
      </c>
      <c r="G456" s="58">
        <f t="shared" si="105"/>
        <v>-163</v>
      </c>
      <c r="H456" s="142">
        <f t="shared" si="106"/>
        <v>0</v>
      </c>
      <c r="I456" s="142">
        <f t="shared" si="107"/>
        <v>44799.47</v>
      </c>
      <c r="J456" s="143">
        <f t="shared" si="108"/>
        <v>0</v>
      </c>
      <c r="K456" s="143">
        <f t="shared" si="109"/>
        <v>0</v>
      </c>
      <c r="L456" s="142">
        <f t="shared" si="110"/>
        <v>0</v>
      </c>
      <c r="M456" s="142">
        <f t="shared" si="111"/>
        <v>0</v>
      </c>
      <c r="N456" s="142">
        <f t="shared" si="112"/>
        <v>0</v>
      </c>
      <c r="O456" s="59">
        <f t="shared" si="113"/>
        <v>44799.47</v>
      </c>
      <c r="P456" s="142">
        <f t="shared" si="114"/>
        <v>0</v>
      </c>
      <c r="Q456" s="142">
        <f t="shared" si="115"/>
        <v>0</v>
      </c>
      <c r="R456" s="142">
        <f t="shared" si="116"/>
        <v>0</v>
      </c>
      <c r="S456" s="142">
        <f t="shared" si="117"/>
        <v>0</v>
      </c>
      <c r="T456" s="142">
        <f t="shared" si="118"/>
        <v>0</v>
      </c>
      <c r="U456" s="60">
        <f t="shared" si="119"/>
        <v>0</v>
      </c>
    </row>
    <row r="457" spans="1:21" x14ac:dyDescent="0.2">
      <c r="A457" s="115"/>
      <c r="B457" s="139" t="s">
        <v>390</v>
      </c>
      <c r="C457" s="140" t="s">
        <v>524</v>
      </c>
      <c r="D457" s="141">
        <v>45854</v>
      </c>
      <c r="E457" s="141">
        <v>45899</v>
      </c>
      <c r="F457" s="57">
        <v>44319.31</v>
      </c>
      <c r="G457" s="58">
        <f t="shared" si="105"/>
        <v>-123</v>
      </c>
      <c r="H457" s="142">
        <f t="shared" si="106"/>
        <v>0</v>
      </c>
      <c r="I457" s="142">
        <f t="shared" si="107"/>
        <v>0</v>
      </c>
      <c r="J457" s="143">
        <f t="shared" si="108"/>
        <v>44319.31</v>
      </c>
      <c r="K457" s="143">
        <f t="shared" si="109"/>
        <v>0</v>
      </c>
      <c r="L457" s="142">
        <f t="shared" si="110"/>
        <v>0</v>
      </c>
      <c r="M457" s="142">
        <f t="shared" si="111"/>
        <v>0</v>
      </c>
      <c r="N457" s="142">
        <f t="shared" si="112"/>
        <v>0</v>
      </c>
      <c r="O457" s="59">
        <f t="shared" si="113"/>
        <v>44319.31</v>
      </c>
      <c r="P457" s="142">
        <f t="shared" si="114"/>
        <v>0</v>
      </c>
      <c r="Q457" s="142">
        <f t="shared" si="115"/>
        <v>0</v>
      </c>
      <c r="R457" s="142">
        <f t="shared" si="116"/>
        <v>0</v>
      </c>
      <c r="S457" s="142">
        <f t="shared" si="117"/>
        <v>0</v>
      </c>
      <c r="T457" s="142">
        <f t="shared" si="118"/>
        <v>0</v>
      </c>
      <c r="U457" s="60">
        <f t="shared" si="119"/>
        <v>0</v>
      </c>
    </row>
    <row r="458" spans="1:21" x14ac:dyDescent="0.2">
      <c r="A458" s="115"/>
      <c r="B458" s="139" t="s">
        <v>390</v>
      </c>
      <c r="C458" s="140" t="s">
        <v>596</v>
      </c>
      <c r="D458" s="141">
        <v>45875</v>
      </c>
      <c r="E458" s="141">
        <v>45920</v>
      </c>
      <c r="F458" s="57">
        <v>43598.66</v>
      </c>
      <c r="G458" s="58">
        <f t="shared" si="105"/>
        <v>-102</v>
      </c>
      <c r="H458" s="142">
        <f t="shared" si="106"/>
        <v>0</v>
      </c>
      <c r="I458" s="142">
        <f t="shared" si="107"/>
        <v>0</v>
      </c>
      <c r="J458" s="143">
        <f t="shared" si="108"/>
        <v>0</v>
      </c>
      <c r="K458" s="143">
        <f t="shared" si="109"/>
        <v>43598.66</v>
      </c>
      <c r="L458" s="142">
        <f t="shared" si="110"/>
        <v>0</v>
      </c>
      <c r="M458" s="142">
        <f t="shared" si="111"/>
        <v>0</v>
      </c>
      <c r="N458" s="142">
        <f t="shared" si="112"/>
        <v>0</v>
      </c>
      <c r="O458" s="59">
        <f t="shared" si="113"/>
        <v>43598.66</v>
      </c>
      <c r="P458" s="142">
        <f t="shared" si="114"/>
        <v>0</v>
      </c>
      <c r="Q458" s="142">
        <f t="shared" si="115"/>
        <v>0</v>
      </c>
      <c r="R458" s="142">
        <f t="shared" si="116"/>
        <v>0</v>
      </c>
      <c r="S458" s="142">
        <f t="shared" si="117"/>
        <v>0</v>
      </c>
      <c r="T458" s="142">
        <f t="shared" si="118"/>
        <v>0</v>
      </c>
      <c r="U458" s="60">
        <f t="shared" si="119"/>
        <v>0</v>
      </c>
    </row>
    <row r="459" spans="1:21" x14ac:dyDescent="0.2">
      <c r="A459" s="115"/>
      <c r="B459" s="139" t="s">
        <v>390</v>
      </c>
      <c r="C459" s="140" t="s">
        <v>657</v>
      </c>
      <c r="D459" s="141">
        <v>45901</v>
      </c>
      <c r="E459" s="141">
        <v>45946</v>
      </c>
      <c r="F459" s="57">
        <v>43741.07</v>
      </c>
      <c r="G459" s="58">
        <f t="shared" si="105"/>
        <v>-76</v>
      </c>
      <c r="H459" s="142">
        <f t="shared" si="106"/>
        <v>0</v>
      </c>
      <c r="I459" s="142">
        <f t="shared" si="107"/>
        <v>0</v>
      </c>
      <c r="J459" s="143">
        <f t="shared" si="108"/>
        <v>0</v>
      </c>
      <c r="K459" s="143">
        <f t="shared" si="109"/>
        <v>0</v>
      </c>
      <c r="L459" s="142">
        <f t="shared" si="110"/>
        <v>43741.07</v>
      </c>
      <c r="M459" s="142">
        <f t="shared" si="111"/>
        <v>0</v>
      </c>
      <c r="N459" s="142">
        <f t="shared" si="112"/>
        <v>0</v>
      </c>
      <c r="O459" s="59">
        <f t="shared" si="113"/>
        <v>43741.07</v>
      </c>
      <c r="P459" s="142">
        <f t="shared" si="114"/>
        <v>0</v>
      </c>
      <c r="Q459" s="142">
        <f t="shared" si="115"/>
        <v>0</v>
      </c>
      <c r="R459" s="142">
        <f t="shared" si="116"/>
        <v>0</v>
      </c>
      <c r="S459" s="142">
        <f t="shared" si="117"/>
        <v>0</v>
      </c>
      <c r="T459" s="142">
        <f t="shared" si="118"/>
        <v>0</v>
      </c>
      <c r="U459" s="60">
        <f t="shared" si="119"/>
        <v>0</v>
      </c>
    </row>
    <row r="460" spans="1:21" x14ac:dyDescent="0.2">
      <c r="A460" s="115"/>
      <c r="B460" s="139" t="s">
        <v>390</v>
      </c>
      <c r="C460" s="140" t="s">
        <v>658</v>
      </c>
      <c r="D460" s="141">
        <v>45915</v>
      </c>
      <c r="E460" s="141">
        <v>45960</v>
      </c>
      <c r="F460" s="57">
        <v>28240.38</v>
      </c>
      <c r="G460" s="58">
        <f t="shared" si="105"/>
        <v>-62</v>
      </c>
      <c r="H460" s="142">
        <f t="shared" si="106"/>
        <v>0</v>
      </c>
      <c r="I460" s="142">
        <f t="shared" si="107"/>
        <v>0</v>
      </c>
      <c r="J460" s="143">
        <f t="shared" si="108"/>
        <v>0</v>
      </c>
      <c r="K460" s="143">
        <f t="shared" si="109"/>
        <v>0</v>
      </c>
      <c r="L460" s="142">
        <f t="shared" si="110"/>
        <v>28240.38</v>
      </c>
      <c r="M460" s="142">
        <f t="shared" si="111"/>
        <v>0</v>
      </c>
      <c r="N460" s="142">
        <f t="shared" si="112"/>
        <v>0</v>
      </c>
      <c r="O460" s="59">
        <f t="shared" si="113"/>
        <v>28240.38</v>
      </c>
      <c r="P460" s="142">
        <f t="shared" si="114"/>
        <v>0</v>
      </c>
      <c r="Q460" s="142">
        <f t="shared" si="115"/>
        <v>0</v>
      </c>
      <c r="R460" s="142">
        <f t="shared" si="116"/>
        <v>0</v>
      </c>
      <c r="S460" s="142">
        <f t="shared" si="117"/>
        <v>0</v>
      </c>
      <c r="T460" s="142">
        <f t="shared" si="118"/>
        <v>0</v>
      </c>
      <c r="U460" s="60">
        <f t="shared" si="119"/>
        <v>0</v>
      </c>
    </row>
    <row r="461" spans="1:21" x14ac:dyDescent="0.2">
      <c r="A461" s="115"/>
      <c r="B461" s="139" t="s">
        <v>390</v>
      </c>
      <c r="C461" s="140" t="s">
        <v>659</v>
      </c>
      <c r="D461" s="141">
        <v>45931</v>
      </c>
      <c r="E461" s="141">
        <v>45976</v>
      </c>
      <c r="F461" s="57">
        <v>43508.800000000003</v>
      </c>
      <c r="G461" s="58">
        <f t="shared" si="105"/>
        <v>-46</v>
      </c>
      <c r="H461" s="142">
        <f t="shared" si="106"/>
        <v>0</v>
      </c>
      <c r="I461" s="142">
        <f t="shared" si="107"/>
        <v>0</v>
      </c>
      <c r="J461" s="143">
        <f t="shared" si="108"/>
        <v>0</v>
      </c>
      <c r="K461" s="143">
        <f t="shared" si="109"/>
        <v>0</v>
      </c>
      <c r="L461" s="142">
        <f t="shared" si="110"/>
        <v>0</v>
      </c>
      <c r="M461" s="142">
        <f t="shared" si="111"/>
        <v>43508.800000000003</v>
      </c>
      <c r="N461" s="142">
        <f t="shared" si="112"/>
        <v>0</v>
      </c>
      <c r="O461" s="59">
        <f t="shared" si="113"/>
        <v>43508.800000000003</v>
      </c>
      <c r="P461" s="142">
        <f t="shared" si="114"/>
        <v>0</v>
      </c>
      <c r="Q461" s="142">
        <f t="shared" si="115"/>
        <v>0</v>
      </c>
      <c r="R461" s="142">
        <f t="shared" si="116"/>
        <v>0</v>
      </c>
      <c r="S461" s="142">
        <f t="shared" si="117"/>
        <v>0</v>
      </c>
      <c r="T461" s="142">
        <f t="shared" si="118"/>
        <v>0</v>
      </c>
      <c r="U461" s="60">
        <f t="shared" si="119"/>
        <v>0</v>
      </c>
    </row>
    <row r="462" spans="1:21" x14ac:dyDescent="0.2">
      <c r="A462" s="115"/>
      <c r="B462" s="139" t="s">
        <v>390</v>
      </c>
      <c r="C462" s="140" t="s">
        <v>836</v>
      </c>
      <c r="D462" s="141">
        <v>45931</v>
      </c>
      <c r="E462" s="141">
        <v>45976</v>
      </c>
      <c r="F462" s="57">
        <v>61625.11</v>
      </c>
      <c r="G462" s="58">
        <f t="shared" si="105"/>
        <v>-46</v>
      </c>
      <c r="H462" s="142">
        <f t="shared" si="106"/>
        <v>0</v>
      </c>
      <c r="I462" s="142">
        <f t="shared" si="107"/>
        <v>0</v>
      </c>
      <c r="J462" s="143">
        <f t="shared" si="108"/>
        <v>0</v>
      </c>
      <c r="K462" s="143">
        <f t="shared" si="109"/>
        <v>0</v>
      </c>
      <c r="L462" s="142">
        <f t="shared" si="110"/>
        <v>0</v>
      </c>
      <c r="M462" s="142">
        <f t="shared" si="111"/>
        <v>61625.11</v>
      </c>
      <c r="N462" s="142">
        <f t="shared" si="112"/>
        <v>0</v>
      </c>
      <c r="O462" s="59">
        <f t="shared" si="113"/>
        <v>61625.11</v>
      </c>
      <c r="P462" s="142">
        <f t="shared" si="114"/>
        <v>0</v>
      </c>
      <c r="Q462" s="142">
        <f t="shared" si="115"/>
        <v>0</v>
      </c>
      <c r="R462" s="142">
        <f t="shared" si="116"/>
        <v>0</v>
      </c>
      <c r="S462" s="142">
        <f t="shared" si="117"/>
        <v>0</v>
      </c>
      <c r="T462" s="142">
        <f t="shared" si="118"/>
        <v>0</v>
      </c>
      <c r="U462" s="60">
        <f t="shared" si="119"/>
        <v>0</v>
      </c>
    </row>
    <row r="463" spans="1:21" x14ac:dyDescent="0.2">
      <c r="A463" s="115"/>
      <c r="B463" s="139" t="s">
        <v>390</v>
      </c>
      <c r="C463" s="140" t="s">
        <v>969</v>
      </c>
      <c r="D463" s="141">
        <v>45992</v>
      </c>
      <c r="E463" s="141">
        <v>46037</v>
      </c>
      <c r="F463" s="57">
        <v>43598.66</v>
      </c>
      <c r="G463" s="58">
        <f t="shared" si="105"/>
        <v>15</v>
      </c>
      <c r="H463" s="142">
        <f t="shared" si="106"/>
        <v>0</v>
      </c>
      <c r="I463" s="142">
        <f t="shared" si="107"/>
        <v>0</v>
      </c>
      <c r="J463" s="143">
        <f t="shared" si="108"/>
        <v>0</v>
      </c>
      <c r="K463" s="143">
        <f t="shared" si="109"/>
        <v>0</v>
      </c>
      <c r="L463" s="142">
        <f t="shared" si="110"/>
        <v>0</v>
      </c>
      <c r="M463" s="142">
        <f t="shared" si="111"/>
        <v>0</v>
      </c>
      <c r="N463" s="142">
        <f t="shared" si="112"/>
        <v>0</v>
      </c>
      <c r="O463" s="59">
        <f t="shared" si="113"/>
        <v>0</v>
      </c>
      <c r="P463" s="142">
        <f t="shared" si="114"/>
        <v>43598.66</v>
      </c>
      <c r="Q463" s="142">
        <f t="shared" si="115"/>
        <v>0</v>
      </c>
      <c r="R463" s="142">
        <f t="shared" si="116"/>
        <v>0</v>
      </c>
      <c r="S463" s="142">
        <f t="shared" si="117"/>
        <v>0</v>
      </c>
      <c r="T463" s="142">
        <f t="shared" si="118"/>
        <v>0</v>
      </c>
      <c r="U463" s="60">
        <f t="shared" si="119"/>
        <v>43598.66</v>
      </c>
    </row>
    <row r="464" spans="1:21" x14ac:dyDescent="0.2">
      <c r="A464" s="115"/>
      <c r="B464" s="139" t="s">
        <v>318</v>
      </c>
      <c r="C464" s="140" t="s">
        <v>392</v>
      </c>
      <c r="D464" s="141">
        <v>45743</v>
      </c>
      <c r="E464" s="141">
        <v>45863</v>
      </c>
      <c r="F464" s="57">
        <v>172560</v>
      </c>
      <c r="G464" s="58">
        <f t="shared" si="105"/>
        <v>-159</v>
      </c>
      <c r="H464" s="142">
        <f t="shared" si="106"/>
        <v>0</v>
      </c>
      <c r="I464" s="142">
        <f t="shared" si="107"/>
        <v>172560</v>
      </c>
      <c r="J464" s="143">
        <f t="shared" si="108"/>
        <v>0</v>
      </c>
      <c r="K464" s="143">
        <f t="shared" si="109"/>
        <v>0</v>
      </c>
      <c r="L464" s="142">
        <f t="shared" si="110"/>
        <v>0</v>
      </c>
      <c r="M464" s="142">
        <f t="shared" si="111"/>
        <v>0</v>
      </c>
      <c r="N464" s="142">
        <f t="shared" si="112"/>
        <v>0</v>
      </c>
      <c r="O464" s="59">
        <f t="shared" si="113"/>
        <v>172560</v>
      </c>
      <c r="P464" s="142">
        <f t="shared" si="114"/>
        <v>0</v>
      </c>
      <c r="Q464" s="142">
        <f t="shared" si="115"/>
        <v>0</v>
      </c>
      <c r="R464" s="142">
        <f t="shared" si="116"/>
        <v>0</v>
      </c>
      <c r="S464" s="142">
        <f t="shared" si="117"/>
        <v>0</v>
      </c>
      <c r="T464" s="142">
        <f t="shared" si="118"/>
        <v>0</v>
      </c>
      <c r="U464" s="60">
        <f t="shared" si="119"/>
        <v>0</v>
      </c>
    </row>
    <row r="465" spans="1:21" x14ac:dyDescent="0.2">
      <c r="A465" s="115"/>
      <c r="B465" s="139" t="s">
        <v>318</v>
      </c>
      <c r="C465" s="140" t="s">
        <v>413</v>
      </c>
      <c r="D465" s="141">
        <v>45806</v>
      </c>
      <c r="E465" s="141">
        <v>45866</v>
      </c>
      <c r="F465" s="57">
        <v>80450</v>
      </c>
      <c r="G465" s="58">
        <f t="shared" si="105"/>
        <v>-156</v>
      </c>
      <c r="H465" s="142">
        <f t="shared" si="106"/>
        <v>0</v>
      </c>
      <c r="I465" s="142">
        <f t="shared" si="107"/>
        <v>80450</v>
      </c>
      <c r="J465" s="143">
        <f t="shared" si="108"/>
        <v>0</v>
      </c>
      <c r="K465" s="143">
        <f t="shared" si="109"/>
        <v>0</v>
      </c>
      <c r="L465" s="142">
        <f t="shared" si="110"/>
        <v>0</v>
      </c>
      <c r="M465" s="142">
        <f t="shared" si="111"/>
        <v>0</v>
      </c>
      <c r="N465" s="142">
        <f t="shared" si="112"/>
        <v>0</v>
      </c>
      <c r="O465" s="59">
        <f t="shared" si="113"/>
        <v>80450</v>
      </c>
      <c r="P465" s="142">
        <f t="shared" si="114"/>
        <v>0</v>
      </c>
      <c r="Q465" s="142">
        <f t="shared" si="115"/>
        <v>0</v>
      </c>
      <c r="R465" s="142">
        <f t="shared" si="116"/>
        <v>0</v>
      </c>
      <c r="S465" s="142">
        <f t="shared" si="117"/>
        <v>0</v>
      </c>
      <c r="T465" s="142">
        <f t="shared" si="118"/>
        <v>0</v>
      </c>
      <c r="U465" s="60">
        <f t="shared" si="119"/>
        <v>0</v>
      </c>
    </row>
    <row r="466" spans="1:21" x14ac:dyDescent="0.2">
      <c r="A466" s="115"/>
      <c r="B466" s="139" t="s">
        <v>318</v>
      </c>
      <c r="C466" s="140" t="s">
        <v>401</v>
      </c>
      <c r="D466" s="141">
        <v>45751</v>
      </c>
      <c r="E466" s="141">
        <v>45871</v>
      </c>
      <c r="F466" s="57">
        <v>42308.56</v>
      </c>
      <c r="G466" s="58">
        <f t="shared" si="105"/>
        <v>-151</v>
      </c>
      <c r="H466" s="142">
        <f t="shared" si="106"/>
        <v>0</v>
      </c>
      <c r="I466" s="142">
        <f t="shared" si="107"/>
        <v>42308.56</v>
      </c>
      <c r="J466" s="143">
        <f t="shared" si="108"/>
        <v>0</v>
      </c>
      <c r="K466" s="143">
        <f t="shared" si="109"/>
        <v>0</v>
      </c>
      <c r="L466" s="142">
        <f t="shared" si="110"/>
        <v>0</v>
      </c>
      <c r="M466" s="142">
        <f t="shared" si="111"/>
        <v>0</v>
      </c>
      <c r="N466" s="142">
        <f t="shared" si="112"/>
        <v>0</v>
      </c>
      <c r="O466" s="59">
        <f t="shared" si="113"/>
        <v>42308.56</v>
      </c>
      <c r="P466" s="142">
        <f t="shared" si="114"/>
        <v>0</v>
      </c>
      <c r="Q466" s="142">
        <f t="shared" si="115"/>
        <v>0</v>
      </c>
      <c r="R466" s="142">
        <f t="shared" si="116"/>
        <v>0</v>
      </c>
      <c r="S466" s="142">
        <f t="shared" si="117"/>
        <v>0</v>
      </c>
      <c r="T466" s="142">
        <f t="shared" si="118"/>
        <v>0</v>
      </c>
      <c r="U466" s="60">
        <f t="shared" si="119"/>
        <v>0</v>
      </c>
    </row>
    <row r="467" spans="1:21" x14ac:dyDescent="0.2">
      <c r="A467" s="115"/>
      <c r="B467" s="139" t="s">
        <v>318</v>
      </c>
      <c r="C467" s="140" t="s">
        <v>517</v>
      </c>
      <c r="D467" s="141">
        <v>45862</v>
      </c>
      <c r="E467" s="141">
        <v>45982</v>
      </c>
      <c r="F467" s="57">
        <v>42922.45</v>
      </c>
      <c r="G467" s="58">
        <f t="shared" si="105"/>
        <v>-40</v>
      </c>
      <c r="H467" s="142">
        <f t="shared" si="106"/>
        <v>0</v>
      </c>
      <c r="I467" s="142">
        <f t="shared" si="107"/>
        <v>0</v>
      </c>
      <c r="J467" s="143">
        <f t="shared" si="108"/>
        <v>0</v>
      </c>
      <c r="K467" s="143">
        <f t="shared" si="109"/>
        <v>0</v>
      </c>
      <c r="L467" s="142">
        <f t="shared" si="110"/>
        <v>0</v>
      </c>
      <c r="M467" s="142">
        <f t="shared" si="111"/>
        <v>42922.45</v>
      </c>
      <c r="N467" s="142">
        <f t="shared" si="112"/>
        <v>0</v>
      </c>
      <c r="O467" s="59">
        <f t="shared" si="113"/>
        <v>42922.45</v>
      </c>
      <c r="P467" s="142">
        <f t="shared" si="114"/>
        <v>0</v>
      </c>
      <c r="Q467" s="142">
        <f t="shared" si="115"/>
        <v>0</v>
      </c>
      <c r="R467" s="142">
        <f t="shared" si="116"/>
        <v>0</v>
      </c>
      <c r="S467" s="142">
        <f t="shared" si="117"/>
        <v>0</v>
      </c>
      <c r="T467" s="142">
        <f t="shared" si="118"/>
        <v>0</v>
      </c>
      <c r="U467" s="60">
        <f t="shared" si="119"/>
        <v>0</v>
      </c>
    </row>
    <row r="468" spans="1:21" x14ac:dyDescent="0.2">
      <c r="A468" s="115"/>
      <c r="B468" s="139" t="s">
        <v>318</v>
      </c>
      <c r="C468" s="140" t="s">
        <v>518</v>
      </c>
      <c r="D468" s="141">
        <v>45869</v>
      </c>
      <c r="E468" s="141">
        <v>45989</v>
      </c>
      <c r="F468" s="57">
        <v>42308.56</v>
      </c>
      <c r="G468" s="58">
        <f t="shared" si="105"/>
        <v>-33</v>
      </c>
      <c r="H468" s="142">
        <f t="shared" si="106"/>
        <v>0</v>
      </c>
      <c r="I468" s="142">
        <f t="shared" si="107"/>
        <v>0</v>
      </c>
      <c r="J468" s="143">
        <f t="shared" si="108"/>
        <v>0</v>
      </c>
      <c r="K468" s="143">
        <f t="shared" si="109"/>
        <v>0</v>
      </c>
      <c r="L468" s="142">
        <f t="shared" si="110"/>
        <v>0</v>
      </c>
      <c r="M468" s="142">
        <f t="shared" si="111"/>
        <v>42308.56</v>
      </c>
      <c r="N468" s="142">
        <f t="shared" si="112"/>
        <v>0</v>
      </c>
      <c r="O468" s="59">
        <f t="shared" si="113"/>
        <v>42308.56</v>
      </c>
      <c r="P468" s="142">
        <f t="shared" si="114"/>
        <v>0</v>
      </c>
      <c r="Q468" s="142">
        <f t="shared" si="115"/>
        <v>0</v>
      </c>
      <c r="R468" s="142">
        <f t="shared" si="116"/>
        <v>0</v>
      </c>
      <c r="S468" s="142">
        <f t="shared" si="117"/>
        <v>0</v>
      </c>
      <c r="T468" s="142">
        <f t="shared" si="118"/>
        <v>0</v>
      </c>
      <c r="U468" s="60">
        <f t="shared" si="119"/>
        <v>0</v>
      </c>
    </row>
    <row r="469" spans="1:21" x14ac:dyDescent="0.2">
      <c r="A469" s="115"/>
      <c r="B469" s="139" t="s">
        <v>318</v>
      </c>
      <c r="C469" s="140" t="s">
        <v>661</v>
      </c>
      <c r="D469" s="141">
        <v>45922</v>
      </c>
      <c r="E469" s="141">
        <v>46012</v>
      </c>
      <c r="F469" s="57">
        <v>32050</v>
      </c>
      <c r="G469" s="58">
        <f t="shared" si="105"/>
        <v>-10</v>
      </c>
      <c r="H469" s="142">
        <f t="shared" si="106"/>
        <v>0</v>
      </c>
      <c r="I469" s="142">
        <f t="shared" si="107"/>
        <v>0</v>
      </c>
      <c r="J469" s="143">
        <f t="shared" si="108"/>
        <v>0</v>
      </c>
      <c r="K469" s="143">
        <f t="shared" si="109"/>
        <v>0</v>
      </c>
      <c r="L469" s="142">
        <f t="shared" si="110"/>
        <v>0</v>
      </c>
      <c r="M469" s="142">
        <f t="shared" si="111"/>
        <v>0</v>
      </c>
      <c r="N469" s="142">
        <f t="shared" si="112"/>
        <v>32050</v>
      </c>
      <c r="O469" s="59">
        <f t="shared" si="113"/>
        <v>32050</v>
      </c>
      <c r="P469" s="142">
        <f t="shared" si="114"/>
        <v>0</v>
      </c>
      <c r="Q469" s="142">
        <f t="shared" si="115"/>
        <v>0</v>
      </c>
      <c r="R469" s="142">
        <f t="shared" si="116"/>
        <v>0</v>
      </c>
      <c r="S469" s="142">
        <f t="shared" si="117"/>
        <v>0</v>
      </c>
      <c r="T469" s="142">
        <f t="shared" si="118"/>
        <v>0</v>
      </c>
      <c r="U469" s="60">
        <f t="shared" si="119"/>
        <v>0</v>
      </c>
    </row>
    <row r="470" spans="1:21" x14ac:dyDescent="0.2">
      <c r="A470" s="115"/>
      <c r="B470" s="139" t="s">
        <v>318</v>
      </c>
      <c r="C470" s="140" t="s">
        <v>844</v>
      </c>
      <c r="D470" s="141">
        <v>45960</v>
      </c>
      <c r="E470" s="141">
        <v>46020</v>
      </c>
      <c r="F470" s="57">
        <v>154556</v>
      </c>
      <c r="G470" s="58">
        <f t="shared" si="105"/>
        <v>-2</v>
      </c>
      <c r="H470" s="142">
        <f t="shared" si="106"/>
        <v>0</v>
      </c>
      <c r="I470" s="142">
        <f t="shared" si="107"/>
        <v>0</v>
      </c>
      <c r="J470" s="143">
        <f t="shared" si="108"/>
        <v>0</v>
      </c>
      <c r="K470" s="143">
        <f t="shared" si="109"/>
        <v>0</v>
      </c>
      <c r="L470" s="142">
        <f t="shared" si="110"/>
        <v>0</v>
      </c>
      <c r="M470" s="142">
        <f t="shared" si="111"/>
        <v>0</v>
      </c>
      <c r="N470" s="142">
        <f t="shared" si="112"/>
        <v>154556</v>
      </c>
      <c r="O470" s="59">
        <f t="shared" si="113"/>
        <v>154556</v>
      </c>
      <c r="P470" s="142">
        <f t="shared" si="114"/>
        <v>0</v>
      </c>
      <c r="Q470" s="142">
        <f t="shared" si="115"/>
        <v>0</v>
      </c>
      <c r="R470" s="142">
        <f t="shared" si="116"/>
        <v>0</v>
      </c>
      <c r="S470" s="142">
        <f t="shared" si="117"/>
        <v>0</v>
      </c>
      <c r="T470" s="142">
        <f t="shared" si="118"/>
        <v>0</v>
      </c>
      <c r="U470" s="60">
        <f t="shared" si="119"/>
        <v>0</v>
      </c>
    </row>
    <row r="471" spans="1:21" x14ac:dyDescent="0.2">
      <c r="A471" s="115"/>
      <c r="B471" s="139" t="s">
        <v>318</v>
      </c>
      <c r="C471" s="140" t="s">
        <v>660</v>
      </c>
      <c r="D471" s="141">
        <v>45916</v>
      </c>
      <c r="E471" s="141">
        <v>46036</v>
      </c>
      <c r="F471" s="57">
        <v>42922.45</v>
      </c>
      <c r="G471" s="58">
        <f t="shared" si="105"/>
        <v>14</v>
      </c>
      <c r="H471" s="142">
        <f t="shared" si="106"/>
        <v>0</v>
      </c>
      <c r="I471" s="142">
        <f t="shared" si="107"/>
        <v>0</v>
      </c>
      <c r="J471" s="143">
        <f t="shared" si="108"/>
        <v>0</v>
      </c>
      <c r="K471" s="143">
        <f t="shared" si="109"/>
        <v>0</v>
      </c>
      <c r="L471" s="142">
        <f t="shared" si="110"/>
        <v>0</v>
      </c>
      <c r="M471" s="142">
        <f t="shared" si="111"/>
        <v>0</v>
      </c>
      <c r="N471" s="142">
        <f t="shared" si="112"/>
        <v>0</v>
      </c>
      <c r="O471" s="59">
        <f t="shared" si="113"/>
        <v>0</v>
      </c>
      <c r="P471" s="142">
        <f t="shared" si="114"/>
        <v>42922.45</v>
      </c>
      <c r="Q471" s="142">
        <f t="shared" si="115"/>
        <v>0</v>
      </c>
      <c r="R471" s="142">
        <f t="shared" si="116"/>
        <v>0</v>
      </c>
      <c r="S471" s="142">
        <f t="shared" si="117"/>
        <v>0</v>
      </c>
      <c r="T471" s="142">
        <f t="shared" si="118"/>
        <v>0</v>
      </c>
      <c r="U471" s="60">
        <f t="shared" si="119"/>
        <v>42922.45</v>
      </c>
    </row>
    <row r="472" spans="1:21" x14ac:dyDescent="0.2">
      <c r="A472" s="115"/>
      <c r="B472" s="139" t="s">
        <v>841</v>
      </c>
      <c r="C472" s="140" t="s">
        <v>970</v>
      </c>
      <c r="D472" s="141">
        <v>45996</v>
      </c>
      <c r="E472" s="141">
        <v>46026</v>
      </c>
      <c r="F472" s="57">
        <v>30533.33</v>
      </c>
      <c r="G472" s="58">
        <f t="shared" si="105"/>
        <v>4</v>
      </c>
      <c r="H472" s="142">
        <f t="shared" si="106"/>
        <v>0</v>
      </c>
      <c r="I472" s="142">
        <f t="shared" si="107"/>
        <v>0</v>
      </c>
      <c r="J472" s="143">
        <f t="shared" si="108"/>
        <v>0</v>
      </c>
      <c r="K472" s="143">
        <f t="shared" si="109"/>
        <v>0</v>
      </c>
      <c r="L472" s="142">
        <f t="shared" si="110"/>
        <v>0</v>
      </c>
      <c r="M472" s="142">
        <f t="shared" si="111"/>
        <v>0</v>
      </c>
      <c r="N472" s="142">
        <f t="shared" si="112"/>
        <v>0</v>
      </c>
      <c r="O472" s="59">
        <f t="shared" si="113"/>
        <v>0</v>
      </c>
      <c r="P472" s="142">
        <f t="shared" si="114"/>
        <v>30533.33</v>
      </c>
      <c r="Q472" s="142">
        <f t="shared" si="115"/>
        <v>0</v>
      </c>
      <c r="R472" s="142">
        <f t="shared" si="116"/>
        <v>0</v>
      </c>
      <c r="S472" s="142">
        <f t="shared" si="117"/>
        <v>0</v>
      </c>
      <c r="T472" s="142">
        <f t="shared" si="118"/>
        <v>0</v>
      </c>
      <c r="U472" s="60">
        <f t="shared" si="119"/>
        <v>30533.33</v>
      </c>
    </row>
    <row r="473" spans="1:21" x14ac:dyDescent="0.2">
      <c r="A473" s="115"/>
      <c r="B473" s="139" t="s">
        <v>841</v>
      </c>
      <c r="C473" s="140" t="s">
        <v>971</v>
      </c>
      <c r="D473" s="141">
        <v>46002</v>
      </c>
      <c r="E473" s="141">
        <v>46032</v>
      </c>
      <c r="F473" s="57">
        <v>90500</v>
      </c>
      <c r="G473" s="58">
        <f t="shared" si="105"/>
        <v>10</v>
      </c>
      <c r="H473" s="142">
        <f t="shared" si="106"/>
        <v>0</v>
      </c>
      <c r="I473" s="142">
        <f t="shared" si="107"/>
        <v>0</v>
      </c>
      <c r="J473" s="143">
        <f t="shared" si="108"/>
        <v>0</v>
      </c>
      <c r="K473" s="143">
        <f t="shared" si="109"/>
        <v>0</v>
      </c>
      <c r="L473" s="142">
        <f t="shared" si="110"/>
        <v>0</v>
      </c>
      <c r="M473" s="142">
        <f t="shared" si="111"/>
        <v>0</v>
      </c>
      <c r="N473" s="142">
        <f t="shared" si="112"/>
        <v>0</v>
      </c>
      <c r="O473" s="59">
        <f t="shared" si="113"/>
        <v>0</v>
      </c>
      <c r="P473" s="142">
        <f t="shared" si="114"/>
        <v>90500</v>
      </c>
      <c r="Q473" s="142">
        <f t="shared" si="115"/>
        <v>0</v>
      </c>
      <c r="R473" s="142">
        <f t="shared" si="116"/>
        <v>0</v>
      </c>
      <c r="S473" s="142">
        <f t="shared" si="117"/>
        <v>0</v>
      </c>
      <c r="T473" s="142">
        <f t="shared" si="118"/>
        <v>0</v>
      </c>
      <c r="U473" s="60">
        <f t="shared" si="119"/>
        <v>90500</v>
      </c>
    </row>
    <row r="474" spans="1:21" x14ac:dyDescent="0.2">
      <c r="A474" s="115"/>
      <c r="B474" s="139" t="s">
        <v>841</v>
      </c>
      <c r="C474" s="140" t="s">
        <v>972</v>
      </c>
      <c r="D474" s="141">
        <v>46008</v>
      </c>
      <c r="E474" s="141">
        <v>46037</v>
      </c>
      <c r="F474" s="57">
        <v>28016.67</v>
      </c>
      <c r="G474" s="58">
        <f t="shared" si="105"/>
        <v>15</v>
      </c>
      <c r="H474" s="142">
        <f t="shared" si="106"/>
        <v>0</v>
      </c>
      <c r="I474" s="142">
        <f t="shared" si="107"/>
        <v>0</v>
      </c>
      <c r="J474" s="143">
        <f t="shared" si="108"/>
        <v>0</v>
      </c>
      <c r="K474" s="143">
        <f t="shared" si="109"/>
        <v>0</v>
      </c>
      <c r="L474" s="142">
        <f t="shared" si="110"/>
        <v>0</v>
      </c>
      <c r="M474" s="142">
        <f t="shared" si="111"/>
        <v>0</v>
      </c>
      <c r="N474" s="142">
        <f t="shared" si="112"/>
        <v>0</v>
      </c>
      <c r="O474" s="59">
        <f t="shared" si="113"/>
        <v>0</v>
      </c>
      <c r="P474" s="142">
        <f t="shared" si="114"/>
        <v>28016.67</v>
      </c>
      <c r="Q474" s="142">
        <f t="shared" si="115"/>
        <v>0</v>
      </c>
      <c r="R474" s="142">
        <f t="shared" si="116"/>
        <v>0</v>
      </c>
      <c r="S474" s="142">
        <f t="shared" si="117"/>
        <v>0</v>
      </c>
      <c r="T474" s="142">
        <f t="shared" si="118"/>
        <v>0</v>
      </c>
      <c r="U474" s="60">
        <f t="shared" si="119"/>
        <v>28016.67</v>
      </c>
    </row>
    <row r="475" spans="1:21" x14ac:dyDescent="0.2">
      <c r="A475" s="115"/>
      <c r="B475" s="139" t="s">
        <v>841</v>
      </c>
      <c r="C475" s="140" t="s">
        <v>970</v>
      </c>
      <c r="D475" s="141">
        <v>45996</v>
      </c>
      <c r="E475" s="141">
        <v>46056</v>
      </c>
      <c r="F475" s="57">
        <v>30533.33</v>
      </c>
      <c r="G475" s="58">
        <f t="shared" si="105"/>
        <v>34</v>
      </c>
      <c r="H475" s="142">
        <f t="shared" si="106"/>
        <v>0</v>
      </c>
      <c r="I475" s="142">
        <f t="shared" si="107"/>
        <v>0</v>
      </c>
      <c r="J475" s="143">
        <f t="shared" si="108"/>
        <v>0</v>
      </c>
      <c r="K475" s="143">
        <f t="shared" si="109"/>
        <v>0</v>
      </c>
      <c r="L475" s="142">
        <f t="shared" si="110"/>
        <v>0</v>
      </c>
      <c r="M475" s="142">
        <f t="shared" si="111"/>
        <v>0</v>
      </c>
      <c r="N475" s="142">
        <f t="shared" si="112"/>
        <v>0</v>
      </c>
      <c r="O475" s="59">
        <f t="shared" si="113"/>
        <v>0</v>
      </c>
      <c r="P475" s="142">
        <f t="shared" si="114"/>
        <v>0</v>
      </c>
      <c r="Q475" s="142">
        <f t="shared" si="115"/>
        <v>30533.33</v>
      </c>
      <c r="R475" s="142">
        <f t="shared" si="116"/>
        <v>0</v>
      </c>
      <c r="S475" s="142">
        <f t="shared" si="117"/>
        <v>0</v>
      </c>
      <c r="T475" s="142">
        <f t="shared" si="118"/>
        <v>0</v>
      </c>
      <c r="U475" s="60">
        <f t="shared" si="119"/>
        <v>30533.33</v>
      </c>
    </row>
    <row r="476" spans="1:21" x14ac:dyDescent="0.2">
      <c r="A476" s="115"/>
      <c r="B476" s="139" t="s">
        <v>841</v>
      </c>
      <c r="C476" s="140" t="s">
        <v>971</v>
      </c>
      <c r="D476" s="141">
        <v>46002</v>
      </c>
      <c r="E476" s="141">
        <v>46062</v>
      </c>
      <c r="F476" s="57">
        <v>90500</v>
      </c>
      <c r="G476" s="58">
        <f t="shared" si="105"/>
        <v>40</v>
      </c>
      <c r="H476" s="142">
        <f t="shared" si="106"/>
        <v>0</v>
      </c>
      <c r="I476" s="142">
        <f t="shared" si="107"/>
        <v>0</v>
      </c>
      <c r="J476" s="143">
        <f t="shared" si="108"/>
        <v>0</v>
      </c>
      <c r="K476" s="143">
        <f t="shared" si="109"/>
        <v>0</v>
      </c>
      <c r="L476" s="142">
        <f t="shared" si="110"/>
        <v>0</v>
      </c>
      <c r="M476" s="142">
        <f t="shared" si="111"/>
        <v>0</v>
      </c>
      <c r="N476" s="142">
        <f t="shared" si="112"/>
        <v>0</v>
      </c>
      <c r="O476" s="59">
        <f t="shared" si="113"/>
        <v>0</v>
      </c>
      <c r="P476" s="142">
        <f t="shared" si="114"/>
        <v>0</v>
      </c>
      <c r="Q476" s="142">
        <f t="shared" si="115"/>
        <v>90500</v>
      </c>
      <c r="R476" s="142">
        <f t="shared" si="116"/>
        <v>0</v>
      </c>
      <c r="S476" s="142">
        <f t="shared" si="117"/>
        <v>0</v>
      </c>
      <c r="T476" s="142">
        <f t="shared" si="118"/>
        <v>0</v>
      </c>
      <c r="U476" s="60">
        <f t="shared" si="119"/>
        <v>90500</v>
      </c>
    </row>
    <row r="477" spans="1:21" x14ac:dyDescent="0.2">
      <c r="A477" s="115"/>
      <c r="B477" s="139" t="s">
        <v>841</v>
      </c>
      <c r="C477" s="140" t="s">
        <v>972</v>
      </c>
      <c r="D477" s="141">
        <v>46008</v>
      </c>
      <c r="E477" s="141">
        <v>46067</v>
      </c>
      <c r="F477" s="57">
        <v>28016.67</v>
      </c>
      <c r="G477" s="58">
        <f t="shared" si="105"/>
        <v>45</v>
      </c>
      <c r="H477" s="142">
        <f t="shared" si="106"/>
        <v>0</v>
      </c>
      <c r="I477" s="142">
        <f t="shared" si="107"/>
        <v>0</v>
      </c>
      <c r="J477" s="143">
        <f t="shared" si="108"/>
        <v>0</v>
      </c>
      <c r="K477" s="143">
        <f t="shared" si="109"/>
        <v>0</v>
      </c>
      <c r="L477" s="142">
        <f t="shared" si="110"/>
        <v>0</v>
      </c>
      <c r="M477" s="142">
        <f t="shared" si="111"/>
        <v>0</v>
      </c>
      <c r="N477" s="142">
        <f t="shared" si="112"/>
        <v>0</v>
      </c>
      <c r="O477" s="59">
        <f t="shared" si="113"/>
        <v>0</v>
      </c>
      <c r="P477" s="142">
        <f t="shared" si="114"/>
        <v>0</v>
      </c>
      <c r="Q477" s="142">
        <f t="shared" si="115"/>
        <v>28016.67</v>
      </c>
      <c r="R477" s="142">
        <f t="shared" si="116"/>
        <v>0</v>
      </c>
      <c r="S477" s="142">
        <f t="shared" si="117"/>
        <v>0</v>
      </c>
      <c r="T477" s="142">
        <f t="shared" si="118"/>
        <v>0</v>
      </c>
      <c r="U477" s="60">
        <f t="shared" si="119"/>
        <v>28016.67</v>
      </c>
    </row>
    <row r="478" spans="1:21" x14ac:dyDescent="0.2">
      <c r="A478" s="115"/>
      <c r="B478" s="139" t="s">
        <v>841</v>
      </c>
      <c r="C478" s="140" t="s">
        <v>970</v>
      </c>
      <c r="D478" s="141">
        <v>45996</v>
      </c>
      <c r="E478" s="141">
        <v>46086</v>
      </c>
      <c r="F478" s="57">
        <v>30533.34</v>
      </c>
      <c r="G478" s="58">
        <f t="shared" si="105"/>
        <v>64</v>
      </c>
      <c r="H478" s="142">
        <f t="shared" si="106"/>
        <v>0</v>
      </c>
      <c r="I478" s="142">
        <f t="shared" si="107"/>
        <v>0</v>
      </c>
      <c r="J478" s="143">
        <f t="shared" si="108"/>
        <v>0</v>
      </c>
      <c r="K478" s="143">
        <f t="shared" si="109"/>
        <v>0</v>
      </c>
      <c r="L478" s="142">
        <f t="shared" si="110"/>
        <v>0</v>
      </c>
      <c r="M478" s="142">
        <f t="shared" si="111"/>
        <v>0</v>
      </c>
      <c r="N478" s="142">
        <f t="shared" si="112"/>
        <v>0</v>
      </c>
      <c r="O478" s="59">
        <f t="shared" si="113"/>
        <v>0</v>
      </c>
      <c r="P478" s="142">
        <f t="shared" si="114"/>
        <v>0</v>
      </c>
      <c r="Q478" s="142">
        <f t="shared" si="115"/>
        <v>0</v>
      </c>
      <c r="R478" s="142">
        <f t="shared" si="116"/>
        <v>30533.34</v>
      </c>
      <c r="S478" s="142">
        <f t="shared" si="117"/>
        <v>0</v>
      </c>
      <c r="T478" s="142">
        <f t="shared" si="118"/>
        <v>0</v>
      </c>
      <c r="U478" s="60">
        <f t="shared" si="119"/>
        <v>30533.34</v>
      </c>
    </row>
    <row r="479" spans="1:21" x14ac:dyDescent="0.2">
      <c r="A479" s="115"/>
      <c r="B479" s="139" t="s">
        <v>841</v>
      </c>
      <c r="C479" s="140" t="s">
        <v>971</v>
      </c>
      <c r="D479" s="141">
        <v>46002</v>
      </c>
      <c r="E479" s="141">
        <v>46092</v>
      </c>
      <c r="F479" s="57">
        <v>90500</v>
      </c>
      <c r="G479" s="58">
        <f t="shared" si="105"/>
        <v>70</v>
      </c>
      <c r="H479" s="142">
        <f t="shared" si="106"/>
        <v>0</v>
      </c>
      <c r="I479" s="142">
        <f t="shared" si="107"/>
        <v>0</v>
      </c>
      <c r="J479" s="143">
        <f t="shared" si="108"/>
        <v>0</v>
      </c>
      <c r="K479" s="143">
        <f t="shared" si="109"/>
        <v>0</v>
      </c>
      <c r="L479" s="142">
        <f t="shared" si="110"/>
        <v>0</v>
      </c>
      <c r="M479" s="142">
        <f t="shared" si="111"/>
        <v>0</v>
      </c>
      <c r="N479" s="142">
        <f t="shared" si="112"/>
        <v>0</v>
      </c>
      <c r="O479" s="59">
        <f t="shared" si="113"/>
        <v>0</v>
      </c>
      <c r="P479" s="142">
        <f t="shared" si="114"/>
        <v>0</v>
      </c>
      <c r="Q479" s="142">
        <f t="shared" si="115"/>
        <v>0</v>
      </c>
      <c r="R479" s="142">
        <f t="shared" si="116"/>
        <v>90500</v>
      </c>
      <c r="S479" s="142">
        <f t="shared" si="117"/>
        <v>0</v>
      </c>
      <c r="T479" s="142">
        <f t="shared" si="118"/>
        <v>0</v>
      </c>
      <c r="U479" s="60">
        <f t="shared" si="119"/>
        <v>90500</v>
      </c>
    </row>
    <row r="480" spans="1:21" x14ac:dyDescent="0.2">
      <c r="A480" s="115"/>
      <c r="B480" s="139" t="s">
        <v>841</v>
      </c>
      <c r="C480" s="140" t="s">
        <v>972</v>
      </c>
      <c r="D480" s="141">
        <v>46008</v>
      </c>
      <c r="E480" s="141">
        <v>46097</v>
      </c>
      <c r="F480" s="57">
        <v>28016.67</v>
      </c>
      <c r="G480" s="58">
        <f t="shared" si="105"/>
        <v>75</v>
      </c>
      <c r="H480" s="142">
        <f t="shared" si="106"/>
        <v>0</v>
      </c>
      <c r="I480" s="142">
        <f t="shared" si="107"/>
        <v>0</v>
      </c>
      <c r="J480" s="143">
        <f t="shared" si="108"/>
        <v>0</v>
      </c>
      <c r="K480" s="143">
        <f t="shared" si="109"/>
        <v>0</v>
      </c>
      <c r="L480" s="142">
        <f t="shared" si="110"/>
        <v>0</v>
      </c>
      <c r="M480" s="142">
        <f t="shared" si="111"/>
        <v>0</v>
      </c>
      <c r="N480" s="142">
        <f t="shared" si="112"/>
        <v>0</v>
      </c>
      <c r="O480" s="59">
        <f t="shared" si="113"/>
        <v>0</v>
      </c>
      <c r="P480" s="142">
        <f t="shared" si="114"/>
        <v>0</v>
      </c>
      <c r="Q480" s="142">
        <f t="shared" si="115"/>
        <v>0</v>
      </c>
      <c r="R480" s="142">
        <f t="shared" si="116"/>
        <v>28016.67</v>
      </c>
      <c r="S480" s="142">
        <f t="shared" si="117"/>
        <v>0</v>
      </c>
      <c r="T480" s="142">
        <f t="shared" si="118"/>
        <v>0</v>
      </c>
      <c r="U480" s="60">
        <f t="shared" si="119"/>
        <v>28016.67</v>
      </c>
    </row>
    <row r="481" spans="1:21" x14ac:dyDescent="0.2">
      <c r="A481" s="115"/>
      <c r="B481" s="139" t="s">
        <v>841</v>
      </c>
      <c r="C481" s="140" t="s">
        <v>972</v>
      </c>
      <c r="D481" s="141">
        <v>46008</v>
      </c>
      <c r="E481" s="141">
        <v>46127</v>
      </c>
      <c r="F481" s="57">
        <v>28016.67</v>
      </c>
      <c r="G481" s="58">
        <f t="shared" si="105"/>
        <v>105</v>
      </c>
      <c r="H481" s="142">
        <f t="shared" si="106"/>
        <v>0</v>
      </c>
      <c r="I481" s="142">
        <f t="shared" si="107"/>
        <v>0</v>
      </c>
      <c r="J481" s="143">
        <f t="shared" si="108"/>
        <v>0</v>
      </c>
      <c r="K481" s="143">
        <f t="shared" si="109"/>
        <v>0</v>
      </c>
      <c r="L481" s="142">
        <f t="shared" si="110"/>
        <v>0</v>
      </c>
      <c r="M481" s="142">
        <f t="shared" si="111"/>
        <v>0</v>
      </c>
      <c r="N481" s="142">
        <f t="shared" si="112"/>
        <v>0</v>
      </c>
      <c r="O481" s="59">
        <f t="shared" si="113"/>
        <v>0</v>
      </c>
      <c r="P481" s="142">
        <f t="shared" si="114"/>
        <v>0</v>
      </c>
      <c r="Q481" s="142">
        <f t="shared" si="115"/>
        <v>0</v>
      </c>
      <c r="R481" s="142">
        <f t="shared" si="116"/>
        <v>0</v>
      </c>
      <c r="S481" s="142">
        <f t="shared" si="117"/>
        <v>28016.67</v>
      </c>
      <c r="T481" s="142">
        <f t="shared" si="118"/>
        <v>0</v>
      </c>
      <c r="U481" s="60">
        <f t="shared" si="119"/>
        <v>28016.67</v>
      </c>
    </row>
    <row r="482" spans="1:21" x14ac:dyDescent="0.2">
      <c r="A482" s="115"/>
      <c r="B482" s="139" t="s">
        <v>841</v>
      </c>
      <c r="C482" s="140" t="s">
        <v>842</v>
      </c>
      <c r="D482" s="141">
        <v>45950</v>
      </c>
      <c r="E482" s="141">
        <v>46130</v>
      </c>
      <c r="F482" s="57">
        <v>138500</v>
      </c>
      <c r="G482" s="58">
        <f t="shared" si="105"/>
        <v>108</v>
      </c>
      <c r="H482" s="142">
        <f t="shared" si="106"/>
        <v>0</v>
      </c>
      <c r="I482" s="142">
        <f t="shared" si="107"/>
        <v>0</v>
      </c>
      <c r="J482" s="143">
        <f t="shared" si="108"/>
        <v>0</v>
      </c>
      <c r="K482" s="143">
        <f t="shared" si="109"/>
        <v>0</v>
      </c>
      <c r="L482" s="142">
        <f t="shared" si="110"/>
        <v>0</v>
      </c>
      <c r="M482" s="142">
        <f t="shared" si="111"/>
        <v>0</v>
      </c>
      <c r="N482" s="142">
        <f t="shared" si="112"/>
        <v>0</v>
      </c>
      <c r="O482" s="59">
        <f t="shared" si="113"/>
        <v>0</v>
      </c>
      <c r="P482" s="142">
        <f t="shared" si="114"/>
        <v>0</v>
      </c>
      <c r="Q482" s="142">
        <f t="shared" si="115"/>
        <v>0</v>
      </c>
      <c r="R482" s="142">
        <f t="shared" si="116"/>
        <v>0</v>
      </c>
      <c r="S482" s="142">
        <f t="shared" si="117"/>
        <v>138500</v>
      </c>
      <c r="T482" s="142">
        <f t="shared" si="118"/>
        <v>0</v>
      </c>
      <c r="U482" s="60">
        <f t="shared" si="119"/>
        <v>138500</v>
      </c>
    </row>
    <row r="483" spans="1:21" x14ac:dyDescent="0.2">
      <c r="A483" s="115"/>
      <c r="B483" s="139" t="s">
        <v>841</v>
      </c>
      <c r="C483" s="140" t="s">
        <v>895</v>
      </c>
      <c r="D483" s="141">
        <v>45973</v>
      </c>
      <c r="E483" s="141">
        <v>46153</v>
      </c>
      <c r="F483" s="57">
        <v>95500</v>
      </c>
      <c r="G483" s="58">
        <f t="shared" si="105"/>
        <v>131</v>
      </c>
      <c r="H483" s="142">
        <f t="shared" si="106"/>
        <v>0</v>
      </c>
      <c r="I483" s="142">
        <f t="shared" si="107"/>
        <v>0</v>
      </c>
      <c r="J483" s="143">
        <f t="shared" si="108"/>
        <v>0</v>
      </c>
      <c r="K483" s="143">
        <f t="shared" si="109"/>
        <v>0</v>
      </c>
      <c r="L483" s="142">
        <f t="shared" si="110"/>
        <v>0</v>
      </c>
      <c r="M483" s="142">
        <f t="shared" si="111"/>
        <v>0</v>
      </c>
      <c r="N483" s="142">
        <f t="shared" si="112"/>
        <v>0</v>
      </c>
      <c r="O483" s="59">
        <f t="shared" si="113"/>
        <v>0</v>
      </c>
      <c r="P483" s="142">
        <f t="shared" si="114"/>
        <v>0</v>
      </c>
      <c r="Q483" s="142">
        <f t="shared" si="115"/>
        <v>0</v>
      </c>
      <c r="R483" s="142">
        <f t="shared" si="116"/>
        <v>0</v>
      </c>
      <c r="S483" s="142">
        <f t="shared" si="117"/>
        <v>0</v>
      </c>
      <c r="T483" s="142">
        <f t="shared" si="118"/>
        <v>95500</v>
      </c>
      <c r="U483" s="60">
        <f t="shared" si="119"/>
        <v>95500</v>
      </c>
    </row>
    <row r="484" spans="1:21" x14ac:dyDescent="0.2">
      <c r="A484" s="115"/>
      <c r="B484" s="139" t="s">
        <v>841</v>
      </c>
      <c r="C484" s="140" t="s">
        <v>896</v>
      </c>
      <c r="D484" s="141">
        <v>45973</v>
      </c>
      <c r="E484" s="141">
        <v>46153</v>
      </c>
      <c r="F484" s="57">
        <v>138500</v>
      </c>
      <c r="G484" s="58">
        <f t="shared" si="105"/>
        <v>131</v>
      </c>
      <c r="H484" s="142">
        <f t="shared" si="106"/>
        <v>0</v>
      </c>
      <c r="I484" s="142">
        <f t="shared" si="107"/>
        <v>0</v>
      </c>
      <c r="J484" s="143">
        <f t="shared" si="108"/>
        <v>0</v>
      </c>
      <c r="K484" s="143">
        <f t="shared" si="109"/>
        <v>0</v>
      </c>
      <c r="L484" s="142">
        <f t="shared" si="110"/>
        <v>0</v>
      </c>
      <c r="M484" s="142">
        <f t="shared" si="111"/>
        <v>0</v>
      </c>
      <c r="N484" s="142">
        <f t="shared" si="112"/>
        <v>0</v>
      </c>
      <c r="O484" s="59">
        <f t="shared" si="113"/>
        <v>0</v>
      </c>
      <c r="P484" s="142">
        <f t="shared" si="114"/>
        <v>0</v>
      </c>
      <c r="Q484" s="142">
        <f t="shared" si="115"/>
        <v>0</v>
      </c>
      <c r="R484" s="142">
        <f t="shared" si="116"/>
        <v>0</v>
      </c>
      <c r="S484" s="142">
        <f t="shared" si="117"/>
        <v>0</v>
      </c>
      <c r="T484" s="142">
        <f t="shared" si="118"/>
        <v>138500</v>
      </c>
      <c r="U484" s="60">
        <f t="shared" si="119"/>
        <v>138500</v>
      </c>
    </row>
    <row r="485" spans="1:21" x14ac:dyDescent="0.2">
      <c r="A485" s="115"/>
      <c r="B485" s="139" t="s">
        <v>841</v>
      </c>
      <c r="C485" s="140" t="s">
        <v>972</v>
      </c>
      <c r="D485" s="141">
        <v>46008</v>
      </c>
      <c r="E485" s="141">
        <v>46157</v>
      </c>
      <c r="F485" s="57">
        <v>28016.67</v>
      </c>
      <c r="G485" s="58">
        <f t="shared" si="105"/>
        <v>135</v>
      </c>
      <c r="H485" s="142">
        <f t="shared" si="106"/>
        <v>0</v>
      </c>
      <c r="I485" s="142">
        <f t="shared" si="107"/>
        <v>0</v>
      </c>
      <c r="J485" s="143">
        <f t="shared" si="108"/>
        <v>0</v>
      </c>
      <c r="K485" s="143">
        <f t="shared" si="109"/>
        <v>0</v>
      </c>
      <c r="L485" s="142">
        <f t="shared" si="110"/>
        <v>0</v>
      </c>
      <c r="M485" s="142">
        <f t="shared" si="111"/>
        <v>0</v>
      </c>
      <c r="N485" s="142">
        <f t="shared" si="112"/>
        <v>0</v>
      </c>
      <c r="O485" s="59">
        <f t="shared" si="113"/>
        <v>0</v>
      </c>
      <c r="P485" s="142">
        <f t="shared" si="114"/>
        <v>0</v>
      </c>
      <c r="Q485" s="142">
        <f t="shared" si="115"/>
        <v>0</v>
      </c>
      <c r="R485" s="142">
        <f t="shared" si="116"/>
        <v>0</v>
      </c>
      <c r="S485" s="142">
        <f t="shared" si="117"/>
        <v>0</v>
      </c>
      <c r="T485" s="142">
        <f t="shared" si="118"/>
        <v>28016.67</v>
      </c>
      <c r="U485" s="60">
        <f t="shared" si="119"/>
        <v>28016.67</v>
      </c>
    </row>
    <row r="486" spans="1:21" x14ac:dyDescent="0.2">
      <c r="A486" s="115"/>
      <c r="B486" s="139" t="s">
        <v>841</v>
      </c>
      <c r="C486" s="140" t="s">
        <v>972</v>
      </c>
      <c r="D486" s="141">
        <v>46008</v>
      </c>
      <c r="E486" s="141">
        <v>46187</v>
      </c>
      <c r="F486" s="57">
        <v>28016.65</v>
      </c>
      <c r="G486" s="58">
        <f t="shared" si="105"/>
        <v>165</v>
      </c>
      <c r="H486" s="142">
        <f t="shared" si="106"/>
        <v>0</v>
      </c>
      <c r="I486" s="142">
        <f t="shared" si="107"/>
        <v>0</v>
      </c>
      <c r="J486" s="143">
        <f t="shared" si="108"/>
        <v>0</v>
      </c>
      <c r="K486" s="143">
        <f t="shared" si="109"/>
        <v>0</v>
      </c>
      <c r="L486" s="142">
        <f t="shared" si="110"/>
        <v>0</v>
      </c>
      <c r="M486" s="142">
        <f t="shared" si="111"/>
        <v>0</v>
      </c>
      <c r="N486" s="142">
        <f t="shared" si="112"/>
        <v>0</v>
      </c>
      <c r="O486" s="59">
        <f t="shared" si="113"/>
        <v>0</v>
      </c>
      <c r="P486" s="142">
        <f t="shared" si="114"/>
        <v>0</v>
      </c>
      <c r="Q486" s="142">
        <f t="shared" si="115"/>
        <v>0</v>
      </c>
      <c r="R486" s="142">
        <f t="shared" si="116"/>
        <v>0</v>
      </c>
      <c r="S486" s="142">
        <f t="shared" si="117"/>
        <v>0</v>
      </c>
      <c r="T486" s="142">
        <f t="shared" si="118"/>
        <v>28016.65</v>
      </c>
      <c r="U486" s="60">
        <f t="shared" si="119"/>
        <v>28016.65</v>
      </c>
    </row>
    <row r="487" spans="1:21" x14ac:dyDescent="0.2">
      <c r="A487" s="115"/>
      <c r="B487" s="139" t="s">
        <v>402</v>
      </c>
      <c r="C487" s="140" t="s">
        <v>743</v>
      </c>
      <c r="D487" s="141">
        <v>45943</v>
      </c>
      <c r="E487" s="141">
        <v>46033</v>
      </c>
      <c r="F487" s="57">
        <v>5333.34</v>
      </c>
      <c r="G487" s="58">
        <f t="shared" si="105"/>
        <v>11</v>
      </c>
      <c r="H487" s="142">
        <f t="shared" si="106"/>
        <v>0</v>
      </c>
      <c r="I487" s="142">
        <f t="shared" si="107"/>
        <v>0</v>
      </c>
      <c r="J487" s="143">
        <f t="shared" si="108"/>
        <v>0</v>
      </c>
      <c r="K487" s="143">
        <f t="shared" si="109"/>
        <v>0</v>
      </c>
      <c r="L487" s="142">
        <f t="shared" si="110"/>
        <v>0</v>
      </c>
      <c r="M487" s="142">
        <f t="shared" si="111"/>
        <v>0</v>
      </c>
      <c r="N487" s="142">
        <f t="shared" si="112"/>
        <v>0</v>
      </c>
      <c r="O487" s="59">
        <f t="shared" si="113"/>
        <v>0</v>
      </c>
      <c r="P487" s="142">
        <f t="shared" si="114"/>
        <v>5333.34</v>
      </c>
      <c r="Q487" s="142">
        <f t="shared" si="115"/>
        <v>0</v>
      </c>
      <c r="R487" s="142">
        <f t="shared" si="116"/>
        <v>0</v>
      </c>
      <c r="S487" s="142">
        <f t="shared" si="117"/>
        <v>0</v>
      </c>
      <c r="T487" s="142">
        <f t="shared" si="118"/>
        <v>0</v>
      </c>
      <c r="U487" s="60">
        <f t="shared" si="119"/>
        <v>5333.34</v>
      </c>
    </row>
    <row r="488" spans="1:21" x14ac:dyDescent="0.2">
      <c r="A488" s="115"/>
      <c r="B488" s="139" t="s">
        <v>402</v>
      </c>
      <c r="C488" s="140" t="s">
        <v>796</v>
      </c>
      <c r="D488" s="141">
        <v>45952</v>
      </c>
      <c r="E488" s="141">
        <v>46042</v>
      </c>
      <c r="F488" s="57">
        <v>23333.34</v>
      </c>
      <c r="G488" s="58">
        <f t="shared" si="105"/>
        <v>20</v>
      </c>
      <c r="H488" s="142">
        <f t="shared" si="106"/>
        <v>0</v>
      </c>
      <c r="I488" s="142">
        <f t="shared" si="107"/>
        <v>0</v>
      </c>
      <c r="J488" s="143">
        <f t="shared" si="108"/>
        <v>0</v>
      </c>
      <c r="K488" s="143">
        <f t="shared" si="109"/>
        <v>0</v>
      </c>
      <c r="L488" s="142">
        <f t="shared" si="110"/>
        <v>0</v>
      </c>
      <c r="M488" s="142">
        <f t="shared" si="111"/>
        <v>0</v>
      </c>
      <c r="N488" s="142">
        <f t="shared" si="112"/>
        <v>0</v>
      </c>
      <c r="O488" s="59">
        <f t="shared" si="113"/>
        <v>0</v>
      </c>
      <c r="P488" s="142">
        <f t="shared" si="114"/>
        <v>23333.34</v>
      </c>
      <c r="Q488" s="142">
        <f t="shared" si="115"/>
        <v>0</v>
      </c>
      <c r="R488" s="142">
        <f t="shared" si="116"/>
        <v>0</v>
      </c>
      <c r="S488" s="142">
        <f t="shared" si="117"/>
        <v>0</v>
      </c>
      <c r="T488" s="142">
        <f t="shared" si="118"/>
        <v>0</v>
      </c>
      <c r="U488" s="60">
        <f t="shared" si="119"/>
        <v>23333.34</v>
      </c>
    </row>
    <row r="489" spans="1:21" x14ac:dyDescent="0.2">
      <c r="A489" s="115"/>
      <c r="B489" s="139" t="s">
        <v>526</v>
      </c>
      <c r="C489" s="140" t="s">
        <v>662</v>
      </c>
      <c r="D489" s="141">
        <v>45930</v>
      </c>
      <c r="E489" s="141">
        <v>45990</v>
      </c>
      <c r="F489" s="57">
        <v>55467.43</v>
      </c>
      <c r="G489" s="58">
        <f t="shared" si="105"/>
        <v>-32</v>
      </c>
      <c r="H489" s="142">
        <f t="shared" si="106"/>
        <v>0</v>
      </c>
      <c r="I489" s="142">
        <f t="shared" si="107"/>
        <v>0</v>
      </c>
      <c r="J489" s="143">
        <f t="shared" si="108"/>
        <v>0</v>
      </c>
      <c r="K489" s="143">
        <f t="shared" si="109"/>
        <v>0</v>
      </c>
      <c r="L489" s="142">
        <f t="shared" si="110"/>
        <v>0</v>
      </c>
      <c r="M489" s="142">
        <f t="shared" si="111"/>
        <v>55467.43</v>
      </c>
      <c r="N489" s="142">
        <f t="shared" si="112"/>
        <v>0</v>
      </c>
      <c r="O489" s="59">
        <f t="shared" si="113"/>
        <v>55467.43</v>
      </c>
      <c r="P489" s="142">
        <f t="shared" si="114"/>
        <v>0</v>
      </c>
      <c r="Q489" s="142">
        <f t="shared" si="115"/>
        <v>0</v>
      </c>
      <c r="R489" s="142">
        <f t="shared" si="116"/>
        <v>0</v>
      </c>
      <c r="S489" s="142">
        <f t="shared" si="117"/>
        <v>0</v>
      </c>
      <c r="T489" s="142">
        <f t="shared" si="118"/>
        <v>0</v>
      </c>
      <c r="U489" s="60">
        <f t="shared" si="119"/>
        <v>0</v>
      </c>
    </row>
    <row r="490" spans="1:21" x14ac:dyDescent="0.2">
      <c r="A490" s="115"/>
      <c r="B490" s="139" t="s">
        <v>526</v>
      </c>
      <c r="C490" s="140" t="s">
        <v>829</v>
      </c>
      <c r="D490" s="141">
        <v>45932</v>
      </c>
      <c r="E490" s="141">
        <v>45992</v>
      </c>
      <c r="F490" s="57">
        <v>42922.54</v>
      </c>
      <c r="G490" s="58">
        <f t="shared" si="105"/>
        <v>-30</v>
      </c>
      <c r="H490" s="142">
        <f t="shared" si="106"/>
        <v>0</v>
      </c>
      <c r="I490" s="142">
        <f t="shared" si="107"/>
        <v>0</v>
      </c>
      <c r="J490" s="143">
        <f t="shared" si="108"/>
        <v>0</v>
      </c>
      <c r="K490" s="143">
        <f t="shared" si="109"/>
        <v>0</v>
      </c>
      <c r="L490" s="142">
        <f t="shared" si="110"/>
        <v>0</v>
      </c>
      <c r="M490" s="142">
        <f t="shared" si="111"/>
        <v>0</v>
      </c>
      <c r="N490" s="142">
        <f t="shared" si="112"/>
        <v>42922.54</v>
      </c>
      <c r="O490" s="59">
        <f t="shared" si="113"/>
        <v>42922.54</v>
      </c>
      <c r="P490" s="142">
        <f t="shared" si="114"/>
        <v>0</v>
      </c>
      <c r="Q490" s="142">
        <f t="shared" si="115"/>
        <v>0</v>
      </c>
      <c r="R490" s="142">
        <f t="shared" si="116"/>
        <v>0</v>
      </c>
      <c r="S490" s="142">
        <f t="shared" si="117"/>
        <v>0</v>
      </c>
      <c r="T490" s="142">
        <f t="shared" si="118"/>
        <v>0</v>
      </c>
      <c r="U490" s="60">
        <f t="shared" si="119"/>
        <v>0</v>
      </c>
    </row>
    <row r="491" spans="1:21" x14ac:dyDescent="0.2">
      <c r="A491" s="115"/>
      <c r="B491" s="139" t="s">
        <v>526</v>
      </c>
      <c r="C491" s="140" t="s">
        <v>973</v>
      </c>
      <c r="D491" s="141">
        <v>46001</v>
      </c>
      <c r="E491" s="141">
        <v>46031</v>
      </c>
      <c r="F491" s="57">
        <v>24184.67</v>
      </c>
      <c r="G491" s="58">
        <f t="shared" si="105"/>
        <v>9</v>
      </c>
      <c r="H491" s="142">
        <f t="shared" si="106"/>
        <v>0</v>
      </c>
      <c r="I491" s="142">
        <f t="shared" si="107"/>
        <v>0</v>
      </c>
      <c r="J491" s="143">
        <f t="shared" si="108"/>
        <v>0</v>
      </c>
      <c r="K491" s="143">
        <f t="shared" si="109"/>
        <v>0</v>
      </c>
      <c r="L491" s="142">
        <f t="shared" si="110"/>
        <v>0</v>
      </c>
      <c r="M491" s="142">
        <f t="shared" si="111"/>
        <v>0</v>
      </c>
      <c r="N491" s="142">
        <f t="shared" si="112"/>
        <v>0</v>
      </c>
      <c r="O491" s="59">
        <f t="shared" si="113"/>
        <v>0</v>
      </c>
      <c r="P491" s="142">
        <f t="shared" si="114"/>
        <v>24184.67</v>
      </c>
      <c r="Q491" s="142">
        <f t="shared" si="115"/>
        <v>0</v>
      </c>
      <c r="R491" s="142">
        <f t="shared" si="116"/>
        <v>0</v>
      </c>
      <c r="S491" s="142">
        <f t="shared" si="117"/>
        <v>0</v>
      </c>
      <c r="T491" s="142">
        <f t="shared" si="118"/>
        <v>0</v>
      </c>
      <c r="U491" s="60">
        <f t="shared" si="119"/>
        <v>24184.67</v>
      </c>
    </row>
    <row r="492" spans="1:21" x14ac:dyDescent="0.2">
      <c r="A492" s="115"/>
      <c r="B492" s="139" t="s">
        <v>526</v>
      </c>
      <c r="C492" s="140" t="s">
        <v>974</v>
      </c>
      <c r="D492" s="141">
        <v>46001</v>
      </c>
      <c r="E492" s="141">
        <v>46031</v>
      </c>
      <c r="F492" s="57">
        <v>15915.55</v>
      </c>
      <c r="G492" s="58">
        <f t="shared" si="105"/>
        <v>9</v>
      </c>
      <c r="H492" s="142">
        <f t="shared" si="106"/>
        <v>0</v>
      </c>
      <c r="I492" s="142">
        <f t="shared" si="107"/>
        <v>0</v>
      </c>
      <c r="J492" s="143">
        <f t="shared" si="108"/>
        <v>0</v>
      </c>
      <c r="K492" s="143">
        <f t="shared" si="109"/>
        <v>0</v>
      </c>
      <c r="L492" s="142">
        <f t="shared" si="110"/>
        <v>0</v>
      </c>
      <c r="M492" s="142">
        <f t="shared" si="111"/>
        <v>0</v>
      </c>
      <c r="N492" s="142">
        <f t="shared" si="112"/>
        <v>0</v>
      </c>
      <c r="O492" s="59">
        <f t="shared" si="113"/>
        <v>0</v>
      </c>
      <c r="P492" s="142">
        <f t="shared" si="114"/>
        <v>15915.55</v>
      </c>
      <c r="Q492" s="142">
        <f t="shared" si="115"/>
        <v>0</v>
      </c>
      <c r="R492" s="142">
        <f t="shared" si="116"/>
        <v>0</v>
      </c>
      <c r="S492" s="142">
        <f t="shared" si="117"/>
        <v>0</v>
      </c>
      <c r="T492" s="142">
        <f t="shared" si="118"/>
        <v>0</v>
      </c>
      <c r="U492" s="60">
        <f t="shared" si="119"/>
        <v>15915.55</v>
      </c>
    </row>
    <row r="493" spans="1:21" x14ac:dyDescent="0.2">
      <c r="A493" s="115"/>
      <c r="B493" s="139" t="s">
        <v>526</v>
      </c>
      <c r="C493" s="140" t="s">
        <v>973</v>
      </c>
      <c r="D493" s="141">
        <v>46001</v>
      </c>
      <c r="E493" s="141">
        <v>46061</v>
      </c>
      <c r="F493" s="57">
        <v>24184.67</v>
      </c>
      <c r="G493" s="58">
        <f t="shared" si="105"/>
        <v>39</v>
      </c>
      <c r="H493" s="142">
        <f t="shared" si="106"/>
        <v>0</v>
      </c>
      <c r="I493" s="142">
        <f t="shared" si="107"/>
        <v>0</v>
      </c>
      <c r="J493" s="143">
        <f t="shared" si="108"/>
        <v>0</v>
      </c>
      <c r="K493" s="143">
        <f t="shared" si="109"/>
        <v>0</v>
      </c>
      <c r="L493" s="142">
        <f t="shared" si="110"/>
        <v>0</v>
      </c>
      <c r="M493" s="142">
        <f t="shared" si="111"/>
        <v>0</v>
      </c>
      <c r="N493" s="142">
        <f t="shared" si="112"/>
        <v>0</v>
      </c>
      <c r="O493" s="59">
        <f t="shared" si="113"/>
        <v>0</v>
      </c>
      <c r="P493" s="142">
        <f t="shared" si="114"/>
        <v>0</v>
      </c>
      <c r="Q493" s="142">
        <f t="shared" si="115"/>
        <v>24184.67</v>
      </c>
      <c r="R493" s="142">
        <f t="shared" si="116"/>
        <v>0</v>
      </c>
      <c r="S493" s="142">
        <f t="shared" si="117"/>
        <v>0</v>
      </c>
      <c r="T493" s="142">
        <f t="shared" si="118"/>
        <v>0</v>
      </c>
      <c r="U493" s="60">
        <f t="shared" si="119"/>
        <v>24184.67</v>
      </c>
    </row>
    <row r="494" spans="1:21" x14ac:dyDescent="0.2">
      <c r="A494" s="115"/>
      <c r="B494" s="139" t="s">
        <v>526</v>
      </c>
      <c r="C494" s="140" t="s">
        <v>974</v>
      </c>
      <c r="D494" s="141">
        <v>46001</v>
      </c>
      <c r="E494" s="141">
        <v>46061</v>
      </c>
      <c r="F494" s="57">
        <v>15915.55</v>
      </c>
      <c r="G494" s="58">
        <f t="shared" si="105"/>
        <v>39</v>
      </c>
      <c r="H494" s="142">
        <f t="shared" si="106"/>
        <v>0</v>
      </c>
      <c r="I494" s="142">
        <f t="shared" si="107"/>
        <v>0</v>
      </c>
      <c r="J494" s="143">
        <f t="shared" si="108"/>
        <v>0</v>
      </c>
      <c r="K494" s="143">
        <f t="shared" si="109"/>
        <v>0</v>
      </c>
      <c r="L494" s="142">
        <f t="shared" si="110"/>
        <v>0</v>
      </c>
      <c r="M494" s="142">
        <f t="shared" si="111"/>
        <v>0</v>
      </c>
      <c r="N494" s="142">
        <f t="shared" si="112"/>
        <v>0</v>
      </c>
      <c r="O494" s="59">
        <f t="shared" si="113"/>
        <v>0</v>
      </c>
      <c r="P494" s="142">
        <f t="shared" si="114"/>
        <v>0</v>
      </c>
      <c r="Q494" s="142">
        <f t="shared" si="115"/>
        <v>15915.55</v>
      </c>
      <c r="R494" s="142">
        <f t="shared" si="116"/>
        <v>0</v>
      </c>
      <c r="S494" s="142">
        <f t="shared" si="117"/>
        <v>0</v>
      </c>
      <c r="T494" s="142">
        <f t="shared" si="118"/>
        <v>0</v>
      </c>
      <c r="U494" s="60">
        <f t="shared" si="119"/>
        <v>15915.55</v>
      </c>
    </row>
    <row r="495" spans="1:21" x14ac:dyDescent="0.2">
      <c r="A495" s="115"/>
      <c r="B495" s="139" t="s">
        <v>526</v>
      </c>
      <c r="C495" s="140" t="s">
        <v>975</v>
      </c>
      <c r="D495" s="141">
        <v>46002</v>
      </c>
      <c r="E495" s="141">
        <v>46062</v>
      </c>
      <c r="F495" s="57">
        <v>42922.45</v>
      </c>
      <c r="G495" s="58">
        <f t="shared" si="105"/>
        <v>40</v>
      </c>
      <c r="H495" s="142">
        <f t="shared" si="106"/>
        <v>0</v>
      </c>
      <c r="I495" s="142">
        <f t="shared" si="107"/>
        <v>0</v>
      </c>
      <c r="J495" s="143">
        <f t="shared" si="108"/>
        <v>0</v>
      </c>
      <c r="K495" s="143">
        <f t="shared" si="109"/>
        <v>0</v>
      </c>
      <c r="L495" s="142">
        <f t="shared" si="110"/>
        <v>0</v>
      </c>
      <c r="M495" s="142">
        <f t="shared" si="111"/>
        <v>0</v>
      </c>
      <c r="N495" s="142">
        <f t="shared" si="112"/>
        <v>0</v>
      </c>
      <c r="O495" s="59">
        <f t="shared" si="113"/>
        <v>0</v>
      </c>
      <c r="P495" s="142">
        <f t="shared" si="114"/>
        <v>0</v>
      </c>
      <c r="Q495" s="142">
        <f t="shared" si="115"/>
        <v>42922.45</v>
      </c>
      <c r="R495" s="142">
        <f t="shared" si="116"/>
        <v>0</v>
      </c>
      <c r="S495" s="142">
        <f t="shared" si="117"/>
        <v>0</v>
      </c>
      <c r="T495" s="142">
        <f t="shared" si="118"/>
        <v>0</v>
      </c>
      <c r="U495" s="60">
        <f t="shared" si="119"/>
        <v>42922.45</v>
      </c>
    </row>
    <row r="496" spans="1:21" x14ac:dyDescent="0.2">
      <c r="A496" s="115"/>
      <c r="B496" s="139" t="s">
        <v>526</v>
      </c>
      <c r="C496" s="140" t="s">
        <v>976</v>
      </c>
      <c r="D496" s="141">
        <v>46002</v>
      </c>
      <c r="E496" s="141">
        <v>46062</v>
      </c>
      <c r="F496" s="57">
        <v>14000</v>
      </c>
      <c r="G496" s="58">
        <f t="shared" si="105"/>
        <v>40</v>
      </c>
      <c r="H496" s="142">
        <f t="shared" si="106"/>
        <v>0</v>
      </c>
      <c r="I496" s="142">
        <f t="shared" si="107"/>
        <v>0</v>
      </c>
      <c r="J496" s="143">
        <f t="shared" si="108"/>
        <v>0</v>
      </c>
      <c r="K496" s="143">
        <f t="shared" si="109"/>
        <v>0</v>
      </c>
      <c r="L496" s="142">
        <f t="shared" si="110"/>
        <v>0</v>
      </c>
      <c r="M496" s="142">
        <f t="shared" si="111"/>
        <v>0</v>
      </c>
      <c r="N496" s="142">
        <f t="shared" si="112"/>
        <v>0</v>
      </c>
      <c r="O496" s="59">
        <f t="shared" si="113"/>
        <v>0</v>
      </c>
      <c r="P496" s="142">
        <f t="shared" si="114"/>
        <v>0</v>
      </c>
      <c r="Q496" s="142">
        <f t="shared" si="115"/>
        <v>14000</v>
      </c>
      <c r="R496" s="142">
        <f t="shared" si="116"/>
        <v>0</v>
      </c>
      <c r="S496" s="142">
        <f t="shared" si="117"/>
        <v>0</v>
      </c>
      <c r="T496" s="142">
        <f t="shared" si="118"/>
        <v>0</v>
      </c>
      <c r="U496" s="60">
        <f t="shared" si="119"/>
        <v>14000</v>
      </c>
    </row>
    <row r="497" spans="1:21" x14ac:dyDescent="0.2">
      <c r="A497" s="115"/>
      <c r="B497" s="139" t="s">
        <v>526</v>
      </c>
      <c r="C497" s="140" t="s">
        <v>973</v>
      </c>
      <c r="D497" s="141">
        <v>46001</v>
      </c>
      <c r="E497" s="141">
        <v>46091</v>
      </c>
      <c r="F497" s="57">
        <v>24184.68</v>
      </c>
      <c r="G497" s="58">
        <f t="shared" si="105"/>
        <v>69</v>
      </c>
      <c r="H497" s="142">
        <f t="shared" si="106"/>
        <v>0</v>
      </c>
      <c r="I497" s="142">
        <f t="shared" si="107"/>
        <v>0</v>
      </c>
      <c r="J497" s="143">
        <f t="shared" si="108"/>
        <v>0</v>
      </c>
      <c r="K497" s="143">
        <f t="shared" si="109"/>
        <v>0</v>
      </c>
      <c r="L497" s="142">
        <f t="shared" si="110"/>
        <v>0</v>
      </c>
      <c r="M497" s="142">
        <f t="shared" si="111"/>
        <v>0</v>
      </c>
      <c r="N497" s="142">
        <f t="shared" si="112"/>
        <v>0</v>
      </c>
      <c r="O497" s="59">
        <f t="shared" si="113"/>
        <v>0</v>
      </c>
      <c r="P497" s="142">
        <f t="shared" si="114"/>
        <v>0</v>
      </c>
      <c r="Q497" s="142">
        <f t="shared" si="115"/>
        <v>0</v>
      </c>
      <c r="R497" s="142">
        <f t="shared" si="116"/>
        <v>24184.68</v>
      </c>
      <c r="S497" s="142">
        <f t="shared" si="117"/>
        <v>0</v>
      </c>
      <c r="T497" s="142">
        <f t="shared" si="118"/>
        <v>0</v>
      </c>
      <c r="U497" s="60">
        <f t="shared" si="119"/>
        <v>24184.68</v>
      </c>
    </row>
    <row r="498" spans="1:21" x14ac:dyDescent="0.2">
      <c r="A498" s="115"/>
      <c r="B498" s="139" t="s">
        <v>526</v>
      </c>
      <c r="C498" s="140" t="s">
        <v>974</v>
      </c>
      <c r="D498" s="141">
        <v>46001</v>
      </c>
      <c r="E498" s="141">
        <v>46091</v>
      </c>
      <c r="F498" s="57">
        <v>15915.56</v>
      </c>
      <c r="G498" s="58">
        <f t="shared" si="105"/>
        <v>69</v>
      </c>
      <c r="H498" s="142">
        <f t="shared" si="106"/>
        <v>0</v>
      </c>
      <c r="I498" s="142">
        <f t="shared" si="107"/>
        <v>0</v>
      </c>
      <c r="J498" s="143">
        <f t="shared" si="108"/>
        <v>0</v>
      </c>
      <c r="K498" s="143">
        <f t="shared" si="109"/>
        <v>0</v>
      </c>
      <c r="L498" s="142">
        <f t="shared" si="110"/>
        <v>0</v>
      </c>
      <c r="M498" s="142">
        <f t="shared" si="111"/>
        <v>0</v>
      </c>
      <c r="N498" s="142">
        <f t="shared" si="112"/>
        <v>0</v>
      </c>
      <c r="O498" s="59">
        <f t="shared" si="113"/>
        <v>0</v>
      </c>
      <c r="P498" s="142">
        <f t="shared" si="114"/>
        <v>0</v>
      </c>
      <c r="Q498" s="142">
        <f t="shared" si="115"/>
        <v>0</v>
      </c>
      <c r="R498" s="142">
        <f t="shared" si="116"/>
        <v>15915.56</v>
      </c>
      <c r="S498" s="142">
        <f t="shared" si="117"/>
        <v>0</v>
      </c>
      <c r="T498" s="142">
        <f t="shared" si="118"/>
        <v>0</v>
      </c>
      <c r="U498" s="60">
        <f t="shared" si="119"/>
        <v>15915.56</v>
      </c>
    </row>
    <row r="499" spans="1:21" x14ac:dyDescent="0.2">
      <c r="A499" s="115"/>
      <c r="B499" s="139" t="s">
        <v>63</v>
      </c>
      <c r="C499" s="140" t="s">
        <v>210</v>
      </c>
      <c r="D499" s="141">
        <v>45341</v>
      </c>
      <c r="E499" s="141">
        <v>45431</v>
      </c>
      <c r="F499" s="57">
        <v>21214.32</v>
      </c>
      <c r="G499" s="58">
        <f t="shared" si="105"/>
        <v>-591</v>
      </c>
      <c r="H499" s="142">
        <f t="shared" si="106"/>
        <v>21214.32</v>
      </c>
      <c r="I499" s="142">
        <f t="shared" si="107"/>
        <v>0</v>
      </c>
      <c r="J499" s="143">
        <f t="shared" si="108"/>
        <v>0</v>
      </c>
      <c r="K499" s="143">
        <f t="shared" si="109"/>
        <v>0</v>
      </c>
      <c r="L499" s="142">
        <f t="shared" si="110"/>
        <v>0</v>
      </c>
      <c r="M499" s="142">
        <f t="shared" si="111"/>
        <v>0</v>
      </c>
      <c r="N499" s="142">
        <f t="shared" si="112"/>
        <v>0</v>
      </c>
      <c r="O499" s="59">
        <f t="shared" si="113"/>
        <v>21214.32</v>
      </c>
      <c r="P499" s="142">
        <f t="shared" si="114"/>
        <v>0</v>
      </c>
      <c r="Q499" s="142">
        <f t="shared" si="115"/>
        <v>0</v>
      </c>
      <c r="R499" s="142">
        <f t="shared" si="116"/>
        <v>0</v>
      </c>
      <c r="S499" s="142">
        <f t="shared" si="117"/>
        <v>0</v>
      </c>
      <c r="T499" s="142">
        <f t="shared" si="118"/>
        <v>0</v>
      </c>
      <c r="U499" s="60">
        <f t="shared" si="119"/>
        <v>0</v>
      </c>
    </row>
    <row r="500" spans="1:21" x14ac:dyDescent="0.2">
      <c r="A500" s="115"/>
      <c r="B500" s="139" t="s">
        <v>505</v>
      </c>
      <c r="C500" s="140" t="s">
        <v>319</v>
      </c>
      <c r="D500" s="141">
        <v>45590</v>
      </c>
      <c r="E500" s="141">
        <v>45712</v>
      </c>
      <c r="F500" s="57">
        <v>32455.13</v>
      </c>
      <c r="G500" s="58">
        <f t="shared" si="105"/>
        <v>-310</v>
      </c>
      <c r="H500" s="142">
        <f t="shared" si="106"/>
        <v>32455.13</v>
      </c>
      <c r="I500" s="142">
        <f t="shared" si="107"/>
        <v>0</v>
      </c>
      <c r="J500" s="143">
        <f t="shared" si="108"/>
        <v>0</v>
      </c>
      <c r="K500" s="143">
        <f t="shared" si="109"/>
        <v>0</v>
      </c>
      <c r="L500" s="142">
        <f t="shared" si="110"/>
        <v>0</v>
      </c>
      <c r="M500" s="142">
        <f t="shared" si="111"/>
        <v>0</v>
      </c>
      <c r="N500" s="142">
        <f t="shared" si="112"/>
        <v>0</v>
      </c>
      <c r="O500" s="59">
        <f t="shared" si="113"/>
        <v>32455.13</v>
      </c>
      <c r="P500" s="142">
        <f t="shared" si="114"/>
        <v>0</v>
      </c>
      <c r="Q500" s="142">
        <f t="shared" si="115"/>
        <v>0</v>
      </c>
      <c r="R500" s="142">
        <f t="shared" si="116"/>
        <v>0</v>
      </c>
      <c r="S500" s="142">
        <f t="shared" si="117"/>
        <v>0</v>
      </c>
      <c r="T500" s="142">
        <f t="shared" si="118"/>
        <v>0</v>
      </c>
      <c r="U500" s="60">
        <f t="shared" si="119"/>
        <v>0</v>
      </c>
    </row>
    <row r="501" spans="1:21" x14ac:dyDescent="0.2">
      <c r="A501" s="115"/>
      <c r="B501" s="139" t="s">
        <v>58</v>
      </c>
      <c r="C501" s="140" t="s">
        <v>897</v>
      </c>
      <c r="D501" s="141">
        <v>45971</v>
      </c>
      <c r="E501" s="141">
        <v>46071</v>
      </c>
      <c r="F501" s="57">
        <v>14405</v>
      </c>
      <c r="G501" s="58">
        <f t="shared" si="105"/>
        <v>49</v>
      </c>
      <c r="H501" s="142">
        <f t="shared" si="106"/>
        <v>0</v>
      </c>
      <c r="I501" s="142">
        <f t="shared" si="107"/>
        <v>0</v>
      </c>
      <c r="J501" s="143">
        <f t="shared" si="108"/>
        <v>0</v>
      </c>
      <c r="K501" s="143">
        <f t="shared" si="109"/>
        <v>0</v>
      </c>
      <c r="L501" s="142">
        <f t="shared" si="110"/>
        <v>0</v>
      </c>
      <c r="M501" s="142">
        <f t="shared" si="111"/>
        <v>0</v>
      </c>
      <c r="N501" s="142">
        <f t="shared" si="112"/>
        <v>0</v>
      </c>
      <c r="O501" s="59">
        <f t="shared" si="113"/>
        <v>0</v>
      </c>
      <c r="P501" s="142">
        <f t="shared" si="114"/>
        <v>0</v>
      </c>
      <c r="Q501" s="142">
        <f t="shared" si="115"/>
        <v>14405</v>
      </c>
      <c r="R501" s="142">
        <f t="shared" si="116"/>
        <v>0</v>
      </c>
      <c r="S501" s="142">
        <f t="shared" si="117"/>
        <v>0</v>
      </c>
      <c r="T501" s="142">
        <f t="shared" si="118"/>
        <v>0</v>
      </c>
      <c r="U501" s="60">
        <f t="shared" si="119"/>
        <v>14405</v>
      </c>
    </row>
    <row r="502" spans="1:21" x14ac:dyDescent="0.2">
      <c r="A502" s="115"/>
      <c r="B502" s="139" t="s">
        <v>69</v>
      </c>
      <c r="C502" s="140" t="s">
        <v>663</v>
      </c>
      <c r="D502" s="141">
        <v>45905</v>
      </c>
      <c r="E502" s="141">
        <v>46032</v>
      </c>
      <c r="F502" s="57">
        <v>10302</v>
      </c>
      <c r="G502" s="58">
        <f t="shared" si="105"/>
        <v>10</v>
      </c>
      <c r="H502" s="142">
        <f t="shared" si="106"/>
        <v>0</v>
      </c>
      <c r="I502" s="142">
        <f t="shared" si="107"/>
        <v>0</v>
      </c>
      <c r="J502" s="143">
        <f t="shared" si="108"/>
        <v>0</v>
      </c>
      <c r="K502" s="143">
        <f t="shared" si="109"/>
        <v>0</v>
      </c>
      <c r="L502" s="142">
        <f t="shared" si="110"/>
        <v>0</v>
      </c>
      <c r="M502" s="142">
        <f t="shared" si="111"/>
        <v>0</v>
      </c>
      <c r="N502" s="142">
        <f t="shared" si="112"/>
        <v>0</v>
      </c>
      <c r="O502" s="59">
        <f t="shared" si="113"/>
        <v>0</v>
      </c>
      <c r="P502" s="142">
        <f t="shared" si="114"/>
        <v>10302</v>
      </c>
      <c r="Q502" s="142">
        <f t="shared" si="115"/>
        <v>0</v>
      </c>
      <c r="R502" s="142">
        <f t="shared" si="116"/>
        <v>0</v>
      </c>
      <c r="S502" s="142">
        <f t="shared" si="117"/>
        <v>0</v>
      </c>
      <c r="T502" s="142">
        <f t="shared" si="118"/>
        <v>0</v>
      </c>
      <c r="U502" s="60">
        <f t="shared" si="119"/>
        <v>10302</v>
      </c>
    </row>
    <row r="503" spans="1:21" x14ac:dyDescent="0.2">
      <c r="A503" s="115"/>
      <c r="B503" s="139" t="s">
        <v>69</v>
      </c>
      <c r="C503" s="140" t="s">
        <v>664</v>
      </c>
      <c r="D503" s="141">
        <v>45915</v>
      </c>
      <c r="E503" s="141">
        <v>46042</v>
      </c>
      <c r="F503" s="57">
        <v>40726.33</v>
      </c>
      <c r="G503" s="58">
        <f t="shared" si="105"/>
        <v>20</v>
      </c>
      <c r="H503" s="142">
        <f t="shared" si="106"/>
        <v>0</v>
      </c>
      <c r="I503" s="142">
        <f t="shared" si="107"/>
        <v>0</v>
      </c>
      <c r="J503" s="143">
        <f t="shared" si="108"/>
        <v>0</v>
      </c>
      <c r="K503" s="143">
        <f t="shared" si="109"/>
        <v>0</v>
      </c>
      <c r="L503" s="142">
        <f t="shared" si="110"/>
        <v>0</v>
      </c>
      <c r="M503" s="142">
        <f t="shared" si="111"/>
        <v>0</v>
      </c>
      <c r="N503" s="142">
        <f t="shared" si="112"/>
        <v>0</v>
      </c>
      <c r="O503" s="59">
        <f t="shared" si="113"/>
        <v>0</v>
      </c>
      <c r="P503" s="142">
        <f t="shared" si="114"/>
        <v>40726.33</v>
      </c>
      <c r="Q503" s="142">
        <f t="shared" si="115"/>
        <v>0</v>
      </c>
      <c r="R503" s="142">
        <f t="shared" si="116"/>
        <v>0</v>
      </c>
      <c r="S503" s="142">
        <f t="shared" si="117"/>
        <v>0</v>
      </c>
      <c r="T503" s="142">
        <f t="shared" si="118"/>
        <v>0</v>
      </c>
      <c r="U503" s="60">
        <f t="shared" si="119"/>
        <v>40726.33</v>
      </c>
    </row>
    <row r="504" spans="1:21" x14ac:dyDescent="0.2">
      <c r="A504" s="115"/>
      <c r="B504" s="139" t="s">
        <v>69</v>
      </c>
      <c r="C504" s="140" t="s">
        <v>800</v>
      </c>
      <c r="D504" s="141">
        <v>45931</v>
      </c>
      <c r="E504" s="141">
        <v>46052</v>
      </c>
      <c r="F504" s="57">
        <v>25365.83</v>
      </c>
      <c r="G504" s="58">
        <f t="shared" si="105"/>
        <v>30</v>
      </c>
      <c r="H504" s="142">
        <f t="shared" si="106"/>
        <v>0</v>
      </c>
      <c r="I504" s="142">
        <f t="shared" si="107"/>
        <v>0</v>
      </c>
      <c r="J504" s="143">
        <f t="shared" si="108"/>
        <v>0</v>
      </c>
      <c r="K504" s="143">
        <f t="shared" si="109"/>
        <v>0</v>
      </c>
      <c r="L504" s="142">
        <f t="shared" si="110"/>
        <v>0</v>
      </c>
      <c r="M504" s="142">
        <f t="shared" si="111"/>
        <v>0</v>
      </c>
      <c r="N504" s="142">
        <f t="shared" si="112"/>
        <v>0</v>
      </c>
      <c r="O504" s="59">
        <f t="shared" si="113"/>
        <v>0</v>
      </c>
      <c r="P504" s="142">
        <f t="shared" si="114"/>
        <v>25365.83</v>
      </c>
      <c r="Q504" s="142">
        <f t="shared" si="115"/>
        <v>0</v>
      </c>
      <c r="R504" s="142">
        <f t="shared" si="116"/>
        <v>0</v>
      </c>
      <c r="S504" s="142">
        <f t="shared" si="117"/>
        <v>0</v>
      </c>
      <c r="T504" s="142">
        <f t="shared" si="118"/>
        <v>0</v>
      </c>
      <c r="U504" s="60">
        <f t="shared" si="119"/>
        <v>25365.83</v>
      </c>
    </row>
    <row r="505" spans="1:21" x14ac:dyDescent="0.2">
      <c r="A505" s="115"/>
      <c r="B505" s="139" t="s">
        <v>69</v>
      </c>
      <c r="C505" s="140" t="s">
        <v>814</v>
      </c>
      <c r="D505" s="141">
        <v>45960</v>
      </c>
      <c r="E505" s="141">
        <v>46091</v>
      </c>
      <c r="F505" s="57">
        <v>33705</v>
      </c>
      <c r="G505" s="58">
        <f t="shared" si="105"/>
        <v>69</v>
      </c>
      <c r="H505" s="142">
        <f t="shared" si="106"/>
        <v>0</v>
      </c>
      <c r="I505" s="142">
        <f t="shared" si="107"/>
        <v>0</v>
      </c>
      <c r="J505" s="143">
        <f t="shared" si="108"/>
        <v>0</v>
      </c>
      <c r="K505" s="143">
        <f t="shared" si="109"/>
        <v>0</v>
      </c>
      <c r="L505" s="142">
        <f t="shared" si="110"/>
        <v>0</v>
      </c>
      <c r="M505" s="142">
        <f t="shared" si="111"/>
        <v>0</v>
      </c>
      <c r="N505" s="142">
        <f t="shared" si="112"/>
        <v>0</v>
      </c>
      <c r="O505" s="59">
        <f t="shared" si="113"/>
        <v>0</v>
      </c>
      <c r="P505" s="142">
        <f t="shared" si="114"/>
        <v>0</v>
      </c>
      <c r="Q505" s="142">
        <f t="shared" si="115"/>
        <v>0</v>
      </c>
      <c r="R505" s="142">
        <f t="shared" si="116"/>
        <v>33705</v>
      </c>
      <c r="S505" s="142">
        <f t="shared" si="117"/>
        <v>0</v>
      </c>
      <c r="T505" s="142">
        <f t="shared" si="118"/>
        <v>0</v>
      </c>
      <c r="U505" s="60">
        <f t="shared" si="119"/>
        <v>33705</v>
      </c>
    </row>
    <row r="506" spans="1:21" x14ac:dyDescent="0.2">
      <c r="A506" s="115"/>
      <c r="B506" s="139" t="s">
        <v>69</v>
      </c>
      <c r="C506" s="140" t="s">
        <v>799</v>
      </c>
      <c r="D506" s="141">
        <v>45960</v>
      </c>
      <c r="E506" s="141">
        <v>46091</v>
      </c>
      <c r="F506" s="57">
        <v>24540.5</v>
      </c>
      <c r="G506" s="58">
        <f t="shared" si="105"/>
        <v>69</v>
      </c>
      <c r="H506" s="142">
        <f t="shared" si="106"/>
        <v>0</v>
      </c>
      <c r="I506" s="142">
        <f t="shared" si="107"/>
        <v>0</v>
      </c>
      <c r="J506" s="143">
        <f t="shared" si="108"/>
        <v>0</v>
      </c>
      <c r="K506" s="143">
        <f t="shared" si="109"/>
        <v>0</v>
      </c>
      <c r="L506" s="142">
        <f t="shared" si="110"/>
        <v>0</v>
      </c>
      <c r="M506" s="142">
        <f t="shared" si="111"/>
        <v>0</v>
      </c>
      <c r="N506" s="142">
        <f t="shared" si="112"/>
        <v>0</v>
      </c>
      <c r="O506" s="59">
        <f t="shared" si="113"/>
        <v>0</v>
      </c>
      <c r="P506" s="142">
        <f t="shared" si="114"/>
        <v>0</v>
      </c>
      <c r="Q506" s="142">
        <f t="shared" si="115"/>
        <v>0</v>
      </c>
      <c r="R506" s="142">
        <f t="shared" si="116"/>
        <v>24540.5</v>
      </c>
      <c r="S506" s="142">
        <f t="shared" si="117"/>
        <v>0</v>
      </c>
      <c r="T506" s="142">
        <f t="shared" si="118"/>
        <v>0</v>
      </c>
      <c r="U506" s="60">
        <f t="shared" si="119"/>
        <v>24540.5</v>
      </c>
    </row>
    <row r="507" spans="1:21" x14ac:dyDescent="0.2">
      <c r="A507" s="115"/>
      <c r="B507" s="139" t="s">
        <v>355</v>
      </c>
      <c r="C507" s="140" t="s">
        <v>604</v>
      </c>
      <c r="D507" s="141">
        <v>45877</v>
      </c>
      <c r="E507" s="141">
        <v>45937</v>
      </c>
      <c r="F507" s="57">
        <v>5120</v>
      </c>
      <c r="G507" s="58">
        <f t="shared" si="105"/>
        <v>-85</v>
      </c>
      <c r="H507" s="142">
        <f t="shared" si="106"/>
        <v>0</v>
      </c>
      <c r="I507" s="142">
        <f t="shared" si="107"/>
        <v>0</v>
      </c>
      <c r="J507" s="143">
        <f t="shared" si="108"/>
        <v>0</v>
      </c>
      <c r="K507" s="143">
        <f t="shared" si="109"/>
        <v>0</v>
      </c>
      <c r="L507" s="142">
        <f t="shared" si="110"/>
        <v>5120</v>
      </c>
      <c r="M507" s="142">
        <f t="shared" si="111"/>
        <v>0</v>
      </c>
      <c r="N507" s="142">
        <f t="shared" si="112"/>
        <v>0</v>
      </c>
      <c r="O507" s="59">
        <f t="shared" si="113"/>
        <v>5120</v>
      </c>
      <c r="P507" s="142">
        <f t="shared" si="114"/>
        <v>0</v>
      </c>
      <c r="Q507" s="142">
        <f t="shared" si="115"/>
        <v>0</v>
      </c>
      <c r="R507" s="142">
        <f t="shared" si="116"/>
        <v>0</v>
      </c>
      <c r="S507" s="142">
        <f t="shared" si="117"/>
        <v>0</v>
      </c>
      <c r="T507" s="142">
        <f t="shared" si="118"/>
        <v>0</v>
      </c>
      <c r="U507" s="60">
        <f t="shared" si="119"/>
        <v>0</v>
      </c>
    </row>
    <row r="508" spans="1:21" x14ac:dyDescent="0.2">
      <c r="A508" s="115"/>
      <c r="B508" s="139" t="s">
        <v>977</v>
      </c>
      <c r="C508" s="140" t="s">
        <v>978</v>
      </c>
      <c r="D508" s="141">
        <v>45996</v>
      </c>
      <c r="E508" s="141">
        <v>46056</v>
      </c>
      <c r="F508" s="57">
        <v>35000</v>
      </c>
      <c r="G508" s="58">
        <f t="shared" si="105"/>
        <v>34</v>
      </c>
      <c r="H508" s="142">
        <f t="shared" si="106"/>
        <v>0</v>
      </c>
      <c r="I508" s="142">
        <f t="shared" si="107"/>
        <v>0</v>
      </c>
      <c r="J508" s="143">
        <f t="shared" si="108"/>
        <v>0</v>
      </c>
      <c r="K508" s="143">
        <f t="shared" si="109"/>
        <v>0</v>
      </c>
      <c r="L508" s="142">
        <f t="shared" si="110"/>
        <v>0</v>
      </c>
      <c r="M508" s="142">
        <f t="shared" si="111"/>
        <v>0</v>
      </c>
      <c r="N508" s="142">
        <f t="shared" si="112"/>
        <v>0</v>
      </c>
      <c r="O508" s="59">
        <f t="shared" si="113"/>
        <v>0</v>
      </c>
      <c r="P508" s="142">
        <f t="shared" si="114"/>
        <v>0</v>
      </c>
      <c r="Q508" s="142">
        <f t="shared" si="115"/>
        <v>35000</v>
      </c>
      <c r="R508" s="142">
        <f t="shared" si="116"/>
        <v>0</v>
      </c>
      <c r="S508" s="142">
        <f t="shared" si="117"/>
        <v>0</v>
      </c>
      <c r="T508" s="142">
        <f t="shared" si="118"/>
        <v>0</v>
      </c>
      <c r="U508" s="60">
        <f t="shared" si="119"/>
        <v>35000</v>
      </c>
    </row>
    <row r="509" spans="1:21" x14ac:dyDescent="0.2">
      <c r="A509" s="115"/>
      <c r="B509" s="139" t="s">
        <v>898</v>
      </c>
      <c r="C509" s="140" t="s">
        <v>899</v>
      </c>
      <c r="D509" s="141">
        <v>45971</v>
      </c>
      <c r="E509" s="141">
        <v>46064</v>
      </c>
      <c r="F509" s="57">
        <v>39238.339999999997</v>
      </c>
      <c r="G509" s="58">
        <f t="shared" si="105"/>
        <v>42</v>
      </c>
      <c r="H509" s="142">
        <f t="shared" si="106"/>
        <v>0</v>
      </c>
      <c r="I509" s="142">
        <f t="shared" si="107"/>
        <v>0</v>
      </c>
      <c r="J509" s="143">
        <f t="shared" si="108"/>
        <v>0</v>
      </c>
      <c r="K509" s="143">
        <f t="shared" si="109"/>
        <v>0</v>
      </c>
      <c r="L509" s="142">
        <f t="shared" si="110"/>
        <v>0</v>
      </c>
      <c r="M509" s="142">
        <f t="shared" si="111"/>
        <v>0</v>
      </c>
      <c r="N509" s="142">
        <f t="shared" si="112"/>
        <v>0</v>
      </c>
      <c r="O509" s="59">
        <f t="shared" si="113"/>
        <v>0</v>
      </c>
      <c r="P509" s="142">
        <f t="shared" si="114"/>
        <v>0</v>
      </c>
      <c r="Q509" s="142">
        <f t="shared" si="115"/>
        <v>39238.339999999997</v>
      </c>
      <c r="R509" s="142">
        <f t="shared" si="116"/>
        <v>0</v>
      </c>
      <c r="S509" s="142">
        <f t="shared" si="117"/>
        <v>0</v>
      </c>
      <c r="T509" s="142">
        <f t="shared" si="118"/>
        <v>0</v>
      </c>
      <c r="U509" s="60">
        <f t="shared" si="119"/>
        <v>39238.339999999997</v>
      </c>
    </row>
    <row r="510" spans="1:21" x14ac:dyDescent="0.2">
      <c r="A510" s="115"/>
      <c r="B510" s="139" t="s">
        <v>898</v>
      </c>
      <c r="C510" s="140" t="s">
        <v>979</v>
      </c>
      <c r="D510" s="141">
        <v>46021</v>
      </c>
      <c r="E510" s="141">
        <v>46113</v>
      </c>
      <c r="F510" s="57">
        <v>39238.339999999997</v>
      </c>
      <c r="G510" s="58">
        <f t="shared" si="105"/>
        <v>91</v>
      </c>
      <c r="H510" s="142">
        <f t="shared" si="106"/>
        <v>0</v>
      </c>
      <c r="I510" s="142">
        <f t="shared" si="107"/>
        <v>0</v>
      </c>
      <c r="J510" s="143">
        <f t="shared" si="108"/>
        <v>0</v>
      </c>
      <c r="K510" s="143">
        <f t="shared" si="109"/>
        <v>0</v>
      </c>
      <c r="L510" s="142">
        <f t="shared" si="110"/>
        <v>0</v>
      </c>
      <c r="M510" s="142">
        <f t="shared" si="111"/>
        <v>0</v>
      </c>
      <c r="N510" s="142">
        <f t="shared" si="112"/>
        <v>0</v>
      </c>
      <c r="O510" s="59">
        <f t="shared" si="113"/>
        <v>0</v>
      </c>
      <c r="P510" s="142">
        <f t="shared" si="114"/>
        <v>0</v>
      </c>
      <c r="Q510" s="142">
        <f t="shared" si="115"/>
        <v>0</v>
      </c>
      <c r="R510" s="142">
        <f t="shared" si="116"/>
        <v>0</v>
      </c>
      <c r="S510" s="142">
        <f t="shared" si="117"/>
        <v>39238.339999999997</v>
      </c>
      <c r="T510" s="142">
        <f t="shared" si="118"/>
        <v>0</v>
      </c>
      <c r="U510" s="60">
        <f t="shared" si="119"/>
        <v>39238.339999999997</v>
      </c>
    </row>
    <row r="511" spans="1:21" x14ac:dyDescent="0.2">
      <c r="A511" s="115"/>
      <c r="B511" s="139" t="s">
        <v>414</v>
      </c>
      <c r="C511" s="140" t="s">
        <v>415</v>
      </c>
      <c r="D511" s="141">
        <v>45777</v>
      </c>
      <c r="E511" s="141">
        <v>45867</v>
      </c>
      <c r="F511" s="57">
        <v>141827</v>
      </c>
      <c r="G511" s="58">
        <f t="shared" si="105"/>
        <v>-155</v>
      </c>
      <c r="H511" s="142">
        <f t="shared" si="106"/>
        <v>0</v>
      </c>
      <c r="I511" s="142">
        <f t="shared" si="107"/>
        <v>141827</v>
      </c>
      <c r="J511" s="143">
        <f t="shared" si="108"/>
        <v>0</v>
      </c>
      <c r="K511" s="143">
        <f t="shared" si="109"/>
        <v>0</v>
      </c>
      <c r="L511" s="142">
        <f t="shared" si="110"/>
        <v>0</v>
      </c>
      <c r="M511" s="142">
        <f t="shared" si="111"/>
        <v>0</v>
      </c>
      <c r="N511" s="142">
        <f t="shared" si="112"/>
        <v>0</v>
      </c>
      <c r="O511" s="59">
        <f t="shared" si="113"/>
        <v>141827</v>
      </c>
      <c r="P511" s="142">
        <f t="shared" si="114"/>
        <v>0</v>
      </c>
      <c r="Q511" s="142">
        <f t="shared" si="115"/>
        <v>0</v>
      </c>
      <c r="R511" s="142">
        <f t="shared" si="116"/>
        <v>0</v>
      </c>
      <c r="S511" s="142">
        <f t="shared" si="117"/>
        <v>0</v>
      </c>
      <c r="T511" s="142">
        <f t="shared" si="118"/>
        <v>0</v>
      </c>
      <c r="U511" s="60">
        <f t="shared" si="119"/>
        <v>0</v>
      </c>
    </row>
    <row r="512" spans="1:21" x14ac:dyDescent="0.2">
      <c r="A512" s="115"/>
      <c r="B512" s="139" t="s">
        <v>403</v>
      </c>
      <c r="C512" s="140" t="s">
        <v>416</v>
      </c>
      <c r="D512" s="141">
        <v>45945</v>
      </c>
      <c r="E512" s="141">
        <v>45991</v>
      </c>
      <c r="F512" s="57">
        <v>14976.58</v>
      </c>
      <c r="G512" s="58">
        <f t="shared" si="105"/>
        <v>-31</v>
      </c>
      <c r="H512" s="142">
        <f t="shared" si="106"/>
        <v>0</v>
      </c>
      <c r="I512" s="142">
        <f t="shared" si="107"/>
        <v>0</v>
      </c>
      <c r="J512" s="143">
        <f t="shared" si="108"/>
        <v>0</v>
      </c>
      <c r="K512" s="143">
        <f t="shared" si="109"/>
        <v>0</v>
      </c>
      <c r="L512" s="142">
        <f t="shared" si="110"/>
        <v>0</v>
      </c>
      <c r="M512" s="142">
        <f t="shared" si="111"/>
        <v>14976.58</v>
      </c>
      <c r="N512" s="142">
        <f t="shared" si="112"/>
        <v>0</v>
      </c>
      <c r="O512" s="59">
        <f t="shared" si="113"/>
        <v>14976.58</v>
      </c>
      <c r="P512" s="142">
        <f t="shared" si="114"/>
        <v>0</v>
      </c>
      <c r="Q512" s="142">
        <f t="shared" si="115"/>
        <v>0</v>
      </c>
      <c r="R512" s="142">
        <f t="shared" si="116"/>
        <v>0</v>
      </c>
      <c r="S512" s="142">
        <f t="shared" si="117"/>
        <v>0</v>
      </c>
      <c r="T512" s="142">
        <f t="shared" si="118"/>
        <v>0</v>
      </c>
      <c r="U512" s="60">
        <f t="shared" si="119"/>
        <v>0</v>
      </c>
    </row>
    <row r="513" spans="1:21" x14ac:dyDescent="0.2">
      <c r="A513" s="115"/>
      <c r="B513" s="139" t="s">
        <v>500</v>
      </c>
      <c r="C513" s="140" t="s">
        <v>211</v>
      </c>
      <c r="D513" s="141">
        <v>41989</v>
      </c>
      <c r="E513" s="141">
        <v>42049</v>
      </c>
      <c r="F513" s="57">
        <v>7000</v>
      </c>
      <c r="G513" s="58">
        <f t="shared" si="105"/>
        <v>-3973</v>
      </c>
      <c r="H513" s="142">
        <f t="shared" si="106"/>
        <v>7000</v>
      </c>
      <c r="I513" s="142">
        <f t="shared" si="107"/>
        <v>0</v>
      </c>
      <c r="J513" s="143">
        <f t="shared" si="108"/>
        <v>0</v>
      </c>
      <c r="K513" s="143">
        <f t="shared" si="109"/>
        <v>0</v>
      </c>
      <c r="L513" s="142">
        <f t="shared" si="110"/>
        <v>0</v>
      </c>
      <c r="M513" s="142">
        <f t="shared" si="111"/>
        <v>0</v>
      </c>
      <c r="N513" s="142">
        <f t="shared" si="112"/>
        <v>0</v>
      </c>
      <c r="O513" s="59">
        <f t="shared" si="113"/>
        <v>7000</v>
      </c>
      <c r="P513" s="142">
        <f t="shared" si="114"/>
        <v>0</v>
      </c>
      <c r="Q513" s="142">
        <f t="shared" si="115"/>
        <v>0</v>
      </c>
      <c r="R513" s="142">
        <f t="shared" si="116"/>
        <v>0</v>
      </c>
      <c r="S513" s="142">
        <f t="shared" si="117"/>
        <v>0</v>
      </c>
      <c r="T513" s="142">
        <f t="shared" si="118"/>
        <v>0</v>
      </c>
      <c r="U513" s="60">
        <f t="shared" si="119"/>
        <v>0</v>
      </c>
    </row>
    <row r="514" spans="1:21" x14ac:dyDescent="0.2">
      <c r="A514" s="115"/>
      <c r="B514" s="139" t="s">
        <v>500</v>
      </c>
      <c r="C514" s="140" t="s">
        <v>212</v>
      </c>
      <c r="D514" s="141">
        <v>42045</v>
      </c>
      <c r="E514" s="141">
        <v>42216</v>
      </c>
      <c r="F514" s="57">
        <v>700</v>
      </c>
      <c r="G514" s="58">
        <f t="shared" si="105"/>
        <v>-3806</v>
      </c>
      <c r="H514" s="142">
        <f t="shared" si="106"/>
        <v>700</v>
      </c>
      <c r="I514" s="142">
        <f t="shared" si="107"/>
        <v>0</v>
      </c>
      <c r="J514" s="143">
        <f t="shared" si="108"/>
        <v>0</v>
      </c>
      <c r="K514" s="143">
        <f t="shared" si="109"/>
        <v>0</v>
      </c>
      <c r="L514" s="142">
        <f t="shared" si="110"/>
        <v>0</v>
      </c>
      <c r="M514" s="142">
        <f t="shared" si="111"/>
        <v>0</v>
      </c>
      <c r="N514" s="142">
        <f t="shared" si="112"/>
        <v>0</v>
      </c>
      <c r="O514" s="59">
        <f t="shared" si="113"/>
        <v>700</v>
      </c>
      <c r="P514" s="142">
        <f t="shared" si="114"/>
        <v>0</v>
      </c>
      <c r="Q514" s="142">
        <f t="shared" si="115"/>
        <v>0</v>
      </c>
      <c r="R514" s="142">
        <f t="shared" si="116"/>
        <v>0</v>
      </c>
      <c r="S514" s="142">
        <f t="shared" si="117"/>
        <v>0</v>
      </c>
      <c r="T514" s="142">
        <f t="shared" si="118"/>
        <v>0</v>
      </c>
      <c r="U514" s="60">
        <f t="shared" si="119"/>
        <v>0</v>
      </c>
    </row>
    <row r="515" spans="1:21" x14ac:dyDescent="0.2">
      <c r="A515" s="115"/>
      <c r="B515" s="139" t="s">
        <v>500</v>
      </c>
      <c r="C515" s="140" t="s">
        <v>213</v>
      </c>
      <c r="D515" s="141">
        <v>42045</v>
      </c>
      <c r="E515" s="141">
        <v>42216</v>
      </c>
      <c r="F515" s="57">
        <v>700</v>
      </c>
      <c r="G515" s="58">
        <f t="shared" si="105"/>
        <v>-3806</v>
      </c>
      <c r="H515" s="142">
        <f t="shared" si="106"/>
        <v>700</v>
      </c>
      <c r="I515" s="142">
        <f t="shared" si="107"/>
        <v>0</v>
      </c>
      <c r="J515" s="143">
        <f t="shared" si="108"/>
        <v>0</v>
      </c>
      <c r="K515" s="143">
        <f t="shared" si="109"/>
        <v>0</v>
      </c>
      <c r="L515" s="142">
        <f t="shared" si="110"/>
        <v>0</v>
      </c>
      <c r="M515" s="142">
        <f t="shared" si="111"/>
        <v>0</v>
      </c>
      <c r="N515" s="142">
        <f t="shared" si="112"/>
        <v>0</v>
      </c>
      <c r="O515" s="59">
        <f t="shared" si="113"/>
        <v>700</v>
      </c>
      <c r="P515" s="142">
        <f t="shared" si="114"/>
        <v>0</v>
      </c>
      <c r="Q515" s="142">
        <f t="shared" si="115"/>
        <v>0</v>
      </c>
      <c r="R515" s="142">
        <f t="shared" si="116"/>
        <v>0</v>
      </c>
      <c r="S515" s="142">
        <f t="shared" si="117"/>
        <v>0</v>
      </c>
      <c r="T515" s="142">
        <f t="shared" si="118"/>
        <v>0</v>
      </c>
      <c r="U515" s="60">
        <f t="shared" si="119"/>
        <v>0</v>
      </c>
    </row>
    <row r="516" spans="1:21" x14ac:dyDescent="0.2">
      <c r="A516" s="115"/>
      <c r="B516" s="139" t="s">
        <v>500</v>
      </c>
      <c r="C516" s="140" t="s">
        <v>214</v>
      </c>
      <c r="D516" s="141">
        <v>42067</v>
      </c>
      <c r="E516" s="141">
        <v>42216</v>
      </c>
      <c r="F516" s="57">
        <v>1400</v>
      </c>
      <c r="G516" s="58">
        <f t="shared" si="105"/>
        <v>-3806</v>
      </c>
      <c r="H516" s="142">
        <f t="shared" si="106"/>
        <v>1400</v>
      </c>
      <c r="I516" s="142">
        <f t="shared" si="107"/>
        <v>0</v>
      </c>
      <c r="J516" s="143">
        <f t="shared" si="108"/>
        <v>0</v>
      </c>
      <c r="K516" s="143">
        <f t="shared" si="109"/>
        <v>0</v>
      </c>
      <c r="L516" s="142">
        <f t="shared" si="110"/>
        <v>0</v>
      </c>
      <c r="M516" s="142">
        <f t="shared" si="111"/>
        <v>0</v>
      </c>
      <c r="N516" s="142">
        <f t="shared" si="112"/>
        <v>0</v>
      </c>
      <c r="O516" s="59">
        <f t="shared" si="113"/>
        <v>1400</v>
      </c>
      <c r="P516" s="142">
        <f t="shared" si="114"/>
        <v>0</v>
      </c>
      <c r="Q516" s="142">
        <f t="shared" si="115"/>
        <v>0</v>
      </c>
      <c r="R516" s="142">
        <f t="shared" si="116"/>
        <v>0</v>
      </c>
      <c r="S516" s="142">
        <f t="shared" si="117"/>
        <v>0</v>
      </c>
      <c r="T516" s="142">
        <f t="shared" si="118"/>
        <v>0</v>
      </c>
      <c r="U516" s="60">
        <f t="shared" si="119"/>
        <v>0</v>
      </c>
    </row>
    <row r="517" spans="1:21" x14ac:dyDescent="0.2">
      <c r="A517" s="115"/>
      <c r="B517" s="139" t="s">
        <v>500</v>
      </c>
      <c r="C517" s="140" t="s">
        <v>215</v>
      </c>
      <c r="D517" s="141">
        <v>42083</v>
      </c>
      <c r="E517" s="141">
        <v>42216</v>
      </c>
      <c r="F517" s="57">
        <v>3200</v>
      </c>
      <c r="G517" s="58">
        <f t="shared" si="105"/>
        <v>-3806</v>
      </c>
      <c r="H517" s="142">
        <f t="shared" si="106"/>
        <v>3200</v>
      </c>
      <c r="I517" s="142">
        <f t="shared" si="107"/>
        <v>0</v>
      </c>
      <c r="J517" s="143">
        <f t="shared" si="108"/>
        <v>0</v>
      </c>
      <c r="K517" s="143">
        <f t="shared" si="109"/>
        <v>0</v>
      </c>
      <c r="L517" s="142">
        <f t="shared" si="110"/>
        <v>0</v>
      </c>
      <c r="M517" s="142">
        <f t="shared" si="111"/>
        <v>0</v>
      </c>
      <c r="N517" s="142">
        <f t="shared" si="112"/>
        <v>0</v>
      </c>
      <c r="O517" s="59">
        <f t="shared" si="113"/>
        <v>3200</v>
      </c>
      <c r="P517" s="142">
        <f t="shared" si="114"/>
        <v>0</v>
      </c>
      <c r="Q517" s="142">
        <f t="shared" si="115"/>
        <v>0</v>
      </c>
      <c r="R517" s="142">
        <f t="shared" si="116"/>
        <v>0</v>
      </c>
      <c r="S517" s="142">
        <f t="shared" si="117"/>
        <v>0</v>
      </c>
      <c r="T517" s="142">
        <f t="shared" si="118"/>
        <v>0</v>
      </c>
      <c r="U517" s="60">
        <f t="shared" si="119"/>
        <v>0</v>
      </c>
    </row>
    <row r="518" spans="1:21" x14ac:dyDescent="0.2">
      <c r="A518" s="115"/>
      <c r="B518" s="139" t="s">
        <v>500</v>
      </c>
      <c r="C518" s="140" t="s">
        <v>216</v>
      </c>
      <c r="D518" s="141">
        <v>42083</v>
      </c>
      <c r="E518" s="141">
        <v>42216</v>
      </c>
      <c r="F518" s="57">
        <v>3200</v>
      </c>
      <c r="G518" s="58">
        <f t="shared" si="105"/>
        <v>-3806</v>
      </c>
      <c r="H518" s="142">
        <f t="shared" si="106"/>
        <v>3200</v>
      </c>
      <c r="I518" s="142">
        <f t="shared" si="107"/>
        <v>0</v>
      </c>
      <c r="J518" s="143">
        <f t="shared" si="108"/>
        <v>0</v>
      </c>
      <c r="K518" s="143">
        <f t="shared" si="109"/>
        <v>0</v>
      </c>
      <c r="L518" s="142">
        <f t="shared" si="110"/>
        <v>0</v>
      </c>
      <c r="M518" s="142">
        <f t="shared" si="111"/>
        <v>0</v>
      </c>
      <c r="N518" s="142">
        <f t="shared" si="112"/>
        <v>0</v>
      </c>
      <c r="O518" s="59">
        <f t="shared" si="113"/>
        <v>3200</v>
      </c>
      <c r="P518" s="142">
        <f t="shared" si="114"/>
        <v>0</v>
      </c>
      <c r="Q518" s="142">
        <f t="shared" si="115"/>
        <v>0</v>
      </c>
      <c r="R518" s="142">
        <f t="shared" si="116"/>
        <v>0</v>
      </c>
      <c r="S518" s="142">
        <f t="shared" si="117"/>
        <v>0</v>
      </c>
      <c r="T518" s="142">
        <f t="shared" si="118"/>
        <v>0</v>
      </c>
      <c r="U518" s="60">
        <f t="shared" si="119"/>
        <v>0</v>
      </c>
    </row>
    <row r="519" spans="1:21" x14ac:dyDescent="0.2">
      <c r="A519" s="115"/>
      <c r="B519" s="139" t="s">
        <v>500</v>
      </c>
      <c r="C519" s="140" t="s">
        <v>217</v>
      </c>
      <c r="D519" s="141">
        <v>42179</v>
      </c>
      <c r="E519" s="141">
        <v>42239</v>
      </c>
      <c r="F519" s="57">
        <v>1600</v>
      </c>
      <c r="G519" s="58">
        <f t="shared" ref="G519:G582" si="120">E519-$H$3</f>
        <v>-3783</v>
      </c>
      <c r="H519" s="142">
        <f t="shared" ref="H519:H582" si="121">IF(AND($G519&gt;=-8000,$G519&lt;=-181),$F519,0)</f>
        <v>1600</v>
      </c>
      <c r="I519" s="142">
        <f t="shared" ref="I519:I582" si="122">IF(AND($G519&gt;=-180,$G519&lt;=-151),$F519,0)</f>
        <v>0</v>
      </c>
      <c r="J519" s="143">
        <f t="shared" ref="J519:J582" si="123">IF(AND($G519&gt;=-150,$G519&lt;=-121),$F519,0)</f>
        <v>0</v>
      </c>
      <c r="K519" s="143">
        <f t="shared" ref="K519:K582" si="124">IF(AND($G519&gt;=-120,$G519&lt;=-91),$F519,0)</f>
        <v>0</v>
      </c>
      <c r="L519" s="142">
        <f t="shared" ref="L519:L582" si="125">IF(AND($G519&gt;=-90,$G519&lt;=-61),$F519,0)</f>
        <v>0</v>
      </c>
      <c r="M519" s="142">
        <f t="shared" ref="M519:M582" si="126">IF(AND($G519&gt;=-60,$G519&lt;=-31),$F519,0)</f>
        <v>0</v>
      </c>
      <c r="N519" s="142">
        <f t="shared" ref="N519:N582" si="127">IF(AND($G519&gt;=-30,$G519&lt;=-1),$F519,0)</f>
        <v>0</v>
      </c>
      <c r="O519" s="59">
        <f t="shared" ref="O519:O582" si="128">SUM(H519:N519)</f>
        <v>1600</v>
      </c>
      <c r="P519" s="142">
        <f t="shared" ref="P519:P582" si="129">IF(AND($G519&lt;=30,$G519&gt;=0),$F519,0)</f>
        <v>0</v>
      </c>
      <c r="Q519" s="142">
        <f t="shared" ref="Q519:Q582" si="130">IF(AND($G519&lt;=60,$G519&gt;=31),$F519,0)</f>
        <v>0</v>
      </c>
      <c r="R519" s="142">
        <f t="shared" ref="R519:R582" si="131">IF(AND($G519&lt;=90,$G519&gt;=61),$F519,0)</f>
        <v>0</v>
      </c>
      <c r="S519" s="142">
        <f t="shared" ref="S519:S582" si="132">IF(AND($G519&lt;=120,$G519&gt;=91),$F519,0)</f>
        <v>0</v>
      </c>
      <c r="T519" s="142">
        <f t="shared" ref="T519:T582" si="133">IF(G519&gt;=121,F519,0)</f>
        <v>0</v>
      </c>
      <c r="U519" s="60">
        <f t="shared" ref="U519:U582" si="134">SUM(P519:T519)</f>
        <v>0</v>
      </c>
    </row>
    <row r="520" spans="1:21" x14ac:dyDescent="0.2">
      <c r="A520" s="115"/>
      <c r="B520" s="139" t="s">
        <v>500</v>
      </c>
      <c r="C520" s="140" t="s">
        <v>218</v>
      </c>
      <c r="D520" s="141">
        <v>41989</v>
      </c>
      <c r="E520" s="141">
        <v>42264</v>
      </c>
      <c r="F520" s="57">
        <v>4000</v>
      </c>
      <c r="G520" s="58">
        <f t="shared" si="120"/>
        <v>-3758</v>
      </c>
      <c r="H520" s="142">
        <f t="shared" si="121"/>
        <v>4000</v>
      </c>
      <c r="I520" s="142">
        <f t="shared" si="122"/>
        <v>0</v>
      </c>
      <c r="J520" s="143">
        <f t="shared" si="123"/>
        <v>0</v>
      </c>
      <c r="K520" s="143">
        <f t="shared" si="124"/>
        <v>0</v>
      </c>
      <c r="L520" s="142">
        <f t="shared" si="125"/>
        <v>0</v>
      </c>
      <c r="M520" s="142">
        <f t="shared" si="126"/>
        <v>0</v>
      </c>
      <c r="N520" s="142">
        <f t="shared" si="127"/>
        <v>0</v>
      </c>
      <c r="O520" s="59">
        <f t="shared" si="128"/>
        <v>4000</v>
      </c>
      <c r="P520" s="142">
        <f t="shared" si="129"/>
        <v>0</v>
      </c>
      <c r="Q520" s="142">
        <f t="shared" si="130"/>
        <v>0</v>
      </c>
      <c r="R520" s="142">
        <f t="shared" si="131"/>
        <v>0</v>
      </c>
      <c r="S520" s="142">
        <f t="shared" si="132"/>
        <v>0</v>
      </c>
      <c r="T520" s="142">
        <f t="shared" si="133"/>
        <v>0</v>
      </c>
      <c r="U520" s="60">
        <f t="shared" si="134"/>
        <v>0</v>
      </c>
    </row>
    <row r="521" spans="1:21" x14ac:dyDescent="0.2">
      <c r="A521" s="115"/>
      <c r="B521" s="139" t="s">
        <v>500</v>
      </c>
      <c r="C521" s="140" t="s">
        <v>219</v>
      </c>
      <c r="D521" s="141">
        <v>42179</v>
      </c>
      <c r="E521" s="141">
        <v>42269</v>
      </c>
      <c r="F521" s="57">
        <v>1600</v>
      </c>
      <c r="G521" s="58">
        <f t="shared" si="120"/>
        <v>-3753</v>
      </c>
      <c r="H521" s="142">
        <f t="shared" si="121"/>
        <v>1600</v>
      </c>
      <c r="I521" s="142">
        <f t="shared" si="122"/>
        <v>0</v>
      </c>
      <c r="J521" s="143">
        <f t="shared" si="123"/>
        <v>0</v>
      </c>
      <c r="K521" s="143">
        <f t="shared" si="124"/>
        <v>0</v>
      </c>
      <c r="L521" s="142">
        <f t="shared" si="125"/>
        <v>0</v>
      </c>
      <c r="M521" s="142">
        <f t="shared" si="126"/>
        <v>0</v>
      </c>
      <c r="N521" s="142">
        <f t="shared" si="127"/>
        <v>0</v>
      </c>
      <c r="O521" s="59">
        <f t="shared" si="128"/>
        <v>1600</v>
      </c>
      <c r="P521" s="142">
        <f t="shared" si="129"/>
        <v>0</v>
      </c>
      <c r="Q521" s="142">
        <f t="shared" si="130"/>
        <v>0</v>
      </c>
      <c r="R521" s="142">
        <f t="shared" si="131"/>
        <v>0</v>
      </c>
      <c r="S521" s="142">
        <f t="shared" si="132"/>
        <v>0</v>
      </c>
      <c r="T521" s="142">
        <f t="shared" si="133"/>
        <v>0</v>
      </c>
      <c r="U521" s="60">
        <f t="shared" si="134"/>
        <v>0</v>
      </c>
    </row>
    <row r="522" spans="1:21" x14ac:dyDescent="0.2">
      <c r="A522" s="115"/>
      <c r="B522" s="139" t="s">
        <v>471</v>
      </c>
      <c r="C522" s="140" t="s">
        <v>222</v>
      </c>
      <c r="D522" s="141">
        <v>45517</v>
      </c>
      <c r="E522" s="141">
        <v>45541</v>
      </c>
      <c r="F522" s="57">
        <v>21945</v>
      </c>
      <c r="G522" s="58">
        <f t="shared" si="120"/>
        <v>-481</v>
      </c>
      <c r="H522" s="142">
        <f t="shared" si="121"/>
        <v>21945</v>
      </c>
      <c r="I522" s="142">
        <f t="shared" si="122"/>
        <v>0</v>
      </c>
      <c r="J522" s="143">
        <f t="shared" si="123"/>
        <v>0</v>
      </c>
      <c r="K522" s="143">
        <f t="shared" si="124"/>
        <v>0</v>
      </c>
      <c r="L522" s="142">
        <f t="shared" si="125"/>
        <v>0</v>
      </c>
      <c r="M522" s="142">
        <f t="shared" si="126"/>
        <v>0</v>
      </c>
      <c r="N522" s="142">
        <f t="shared" si="127"/>
        <v>0</v>
      </c>
      <c r="O522" s="59">
        <f t="shared" si="128"/>
        <v>21945</v>
      </c>
      <c r="P522" s="142">
        <f t="shared" si="129"/>
        <v>0</v>
      </c>
      <c r="Q522" s="142">
        <f t="shared" si="130"/>
        <v>0</v>
      </c>
      <c r="R522" s="142">
        <f t="shared" si="131"/>
        <v>0</v>
      </c>
      <c r="S522" s="142">
        <f t="shared" si="132"/>
        <v>0</v>
      </c>
      <c r="T522" s="142">
        <f t="shared" si="133"/>
        <v>0</v>
      </c>
      <c r="U522" s="60">
        <f t="shared" si="134"/>
        <v>0</v>
      </c>
    </row>
    <row r="523" spans="1:21" x14ac:dyDescent="0.2">
      <c r="A523" s="115"/>
      <c r="B523" s="139" t="s">
        <v>471</v>
      </c>
      <c r="C523" s="140" t="s">
        <v>222</v>
      </c>
      <c r="D523" s="141">
        <v>45517</v>
      </c>
      <c r="E523" s="141">
        <v>45573</v>
      </c>
      <c r="F523" s="57">
        <v>21945</v>
      </c>
      <c r="G523" s="58">
        <f t="shared" si="120"/>
        <v>-449</v>
      </c>
      <c r="H523" s="142">
        <f t="shared" si="121"/>
        <v>21945</v>
      </c>
      <c r="I523" s="142">
        <f t="shared" si="122"/>
        <v>0</v>
      </c>
      <c r="J523" s="143">
        <f t="shared" si="123"/>
        <v>0</v>
      </c>
      <c r="K523" s="143">
        <f t="shared" si="124"/>
        <v>0</v>
      </c>
      <c r="L523" s="142">
        <f t="shared" si="125"/>
        <v>0</v>
      </c>
      <c r="M523" s="142">
        <f t="shared" si="126"/>
        <v>0</v>
      </c>
      <c r="N523" s="142">
        <f t="shared" si="127"/>
        <v>0</v>
      </c>
      <c r="O523" s="59">
        <f t="shared" si="128"/>
        <v>21945</v>
      </c>
      <c r="P523" s="142">
        <f t="shared" si="129"/>
        <v>0</v>
      </c>
      <c r="Q523" s="142">
        <f t="shared" si="130"/>
        <v>0</v>
      </c>
      <c r="R523" s="142">
        <f t="shared" si="131"/>
        <v>0</v>
      </c>
      <c r="S523" s="142">
        <f t="shared" si="132"/>
        <v>0</v>
      </c>
      <c r="T523" s="142">
        <f t="shared" si="133"/>
        <v>0</v>
      </c>
      <c r="U523" s="60">
        <f t="shared" si="134"/>
        <v>0</v>
      </c>
    </row>
    <row r="524" spans="1:21" x14ac:dyDescent="0.2">
      <c r="A524" s="115"/>
      <c r="B524" s="139" t="s">
        <v>471</v>
      </c>
      <c r="C524" s="140" t="s">
        <v>378</v>
      </c>
      <c r="D524" s="141">
        <v>45712</v>
      </c>
      <c r="E524" s="141">
        <v>45757</v>
      </c>
      <c r="F524" s="57">
        <v>19200.259999999998</v>
      </c>
      <c r="G524" s="58">
        <f t="shared" si="120"/>
        <v>-265</v>
      </c>
      <c r="H524" s="142">
        <f t="shared" si="121"/>
        <v>19200.259999999998</v>
      </c>
      <c r="I524" s="142">
        <f t="shared" si="122"/>
        <v>0</v>
      </c>
      <c r="J524" s="143">
        <f t="shared" si="123"/>
        <v>0</v>
      </c>
      <c r="K524" s="143">
        <f t="shared" si="124"/>
        <v>0</v>
      </c>
      <c r="L524" s="142">
        <f t="shared" si="125"/>
        <v>0</v>
      </c>
      <c r="M524" s="142">
        <f t="shared" si="126"/>
        <v>0</v>
      </c>
      <c r="N524" s="142">
        <f t="shared" si="127"/>
        <v>0</v>
      </c>
      <c r="O524" s="59">
        <f t="shared" si="128"/>
        <v>19200.259999999998</v>
      </c>
      <c r="P524" s="142">
        <f t="shared" si="129"/>
        <v>0</v>
      </c>
      <c r="Q524" s="142">
        <f t="shared" si="130"/>
        <v>0</v>
      </c>
      <c r="R524" s="142">
        <f t="shared" si="131"/>
        <v>0</v>
      </c>
      <c r="S524" s="142">
        <f t="shared" si="132"/>
        <v>0</v>
      </c>
      <c r="T524" s="142">
        <f t="shared" si="133"/>
        <v>0</v>
      </c>
      <c r="U524" s="60">
        <f t="shared" si="134"/>
        <v>0</v>
      </c>
    </row>
    <row r="525" spans="1:21" x14ac:dyDescent="0.2">
      <c r="A525" s="115"/>
      <c r="B525" s="139" t="s">
        <v>471</v>
      </c>
      <c r="C525" s="140" t="s">
        <v>221</v>
      </c>
      <c r="D525" s="141">
        <v>45712</v>
      </c>
      <c r="E525" s="141">
        <v>45787</v>
      </c>
      <c r="F525" s="57">
        <v>17069.54</v>
      </c>
      <c r="G525" s="58">
        <f t="shared" si="120"/>
        <v>-235</v>
      </c>
      <c r="H525" s="142">
        <f t="shared" si="121"/>
        <v>17069.54</v>
      </c>
      <c r="I525" s="142">
        <f t="shared" si="122"/>
        <v>0</v>
      </c>
      <c r="J525" s="143">
        <f t="shared" si="123"/>
        <v>0</v>
      </c>
      <c r="K525" s="143">
        <f t="shared" si="124"/>
        <v>0</v>
      </c>
      <c r="L525" s="142">
        <f t="shared" si="125"/>
        <v>0</v>
      </c>
      <c r="M525" s="142">
        <f t="shared" si="126"/>
        <v>0</v>
      </c>
      <c r="N525" s="142">
        <f t="shared" si="127"/>
        <v>0</v>
      </c>
      <c r="O525" s="59">
        <f t="shared" si="128"/>
        <v>17069.54</v>
      </c>
      <c r="P525" s="142">
        <f t="shared" si="129"/>
        <v>0</v>
      </c>
      <c r="Q525" s="142">
        <f t="shared" si="130"/>
        <v>0</v>
      </c>
      <c r="R525" s="142">
        <f t="shared" si="131"/>
        <v>0</v>
      </c>
      <c r="S525" s="142">
        <f t="shared" si="132"/>
        <v>0</v>
      </c>
      <c r="T525" s="142">
        <f t="shared" si="133"/>
        <v>0</v>
      </c>
      <c r="U525" s="60">
        <f t="shared" si="134"/>
        <v>0</v>
      </c>
    </row>
    <row r="526" spans="1:21" x14ac:dyDescent="0.2">
      <c r="A526" s="115"/>
      <c r="B526" s="139" t="s">
        <v>471</v>
      </c>
      <c r="C526" s="140" t="s">
        <v>378</v>
      </c>
      <c r="D526" s="141">
        <v>45712</v>
      </c>
      <c r="E526" s="141">
        <v>45787</v>
      </c>
      <c r="F526" s="57">
        <v>24816.83</v>
      </c>
      <c r="G526" s="58">
        <f t="shared" si="120"/>
        <v>-235</v>
      </c>
      <c r="H526" s="142">
        <f t="shared" si="121"/>
        <v>24816.83</v>
      </c>
      <c r="I526" s="142">
        <f t="shared" si="122"/>
        <v>0</v>
      </c>
      <c r="J526" s="143">
        <f t="shared" si="123"/>
        <v>0</v>
      </c>
      <c r="K526" s="143">
        <f t="shared" si="124"/>
        <v>0</v>
      </c>
      <c r="L526" s="142">
        <f t="shared" si="125"/>
        <v>0</v>
      </c>
      <c r="M526" s="142">
        <f t="shared" si="126"/>
        <v>0</v>
      </c>
      <c r="N526" s="142">
        <f t="shared" si="127"/>
        <v>0</v>
      </c>
      <c r="O526" s="59">
        <f t="shared" si="128"/>
        <v>24816.83</v>
      </c>
      <c r="P526" s="142">
        <f t="shared" si="129"/>
        <v>0</v>
      </c>
      <c r="Q526" s="142">
        <f t="shared" si="130"/>
        <v>0</v>
      </c>
      <c r="R526" s="142">
        <f t="shared" si="131"/>
        <v>0</v>
      </c>
      <c r="S526" s="142">
        <f t="shared" si="132"/>
        <v>0</v>
      </c>
      <c r="T526" s="142">
        <f t="shared" si="133"/>
        <v>0</v>
      </c>
      <c r="U526" s="60">
        <f t="shared" si="134"/>
        <v>0</v>
      </c>
    </row>
    <row r="527" spans="1:21" x14ac:dyDescent="0.2">
      <c r="A527" s="115"/>
      <c r="B527" s="139" t="s">
        <v>471</v>
      </c>
      <c r="C527" s="140" t="s">
        <v>595</v>
      </c>
      <c r="D527" s="141">
        <v>45882</v>
      </c>
      <c r="E527" s="141">
        <v>45981</v>
      </c>
      <c r="F527" s="57">
        <v>27483</v>
      </c>
      <c r="G527" s="58">
        <f t="shared" si="120"/>
        <v>-41</v>
      </c>
      <c r="H527" s="142">
        <f t="shared" si="121"/>
        <v>0</v>
      </c>
      <c r="I527" s="142">
        <f t="shared" si="122"/>
        <v>0</v>
      </c>
      <c r="J527" s="143">
        <f t="shared" si="123"/>
        <v>0</v>
      </c>
      <c r="K527" s="143">
        <f t="shared" si="124"/>
        <v>0</v>
      </c>
      <c r="L527" s="142">
        <f t="shared" si="125"/>
        <v>0</v>
      </c>
      <c r="M527" s="142">
        <f t="shared" si="126"/>
        <v>27483</v>
      </c>
      <c r="N527" s="142">
        <f t="shared" si="127"/>
        <v>0</v>
      </c>
      <c r="O527" s="59">
        <f t="shared" si="128"/>
        <v>27483</v>
      </c>
      <c r="P527" s="142">
        <f t="shared" si="129"/>
        <v>0</v>
      </c>
      <c r="Q527" s="142">
        <f t="shared" si="130"/>
        <v>0</v>
      </c>
      <c r="R527" s="142">
        <f t="shared" si="131"/>
        <v>0</v>
      </c>
      <c r="S527" s="142">
        <f t="shared" si="132"/>
        <v>0</v>
      </c>
      <c r="T527" s="142">
        <f t="shared" si="133"/>
        <v>0</v>
      </c>
      <c r="U527" s="60">
        <f t="shared" si="134"/>
        <v>0</v>
      </c>
    </row>
    <row r="528" spans="1:21" x14ac:dyDescent="0.2">
      <c r="A528" s="115"/>
      <c r="B528" s="139" t="s">
        <v>471</v>
      </c>
      <c r="C528" s="140" t="s">
        <v>980</v>
      </c>
      <c r="D528" s="141">
        <v>45994</v>
      </c>
      <c r="E528" s="141">
        <v>46024</v>
      </c>
      <c r="F528" s="57">
        <v>805</v>
      </c>
      <c r="G528" s="58">
        <f t="shared" si="120"/>
        <v>2</v>
      </c>
      <c r="H528" s="142">
        <f t="shared" si="121"/>
        <v>0</v>
      </c>
      <c r="I528" s="142">
        <f t="shared" si="122"/>
        <v>0</v>
      </c>
      <c r="J528" s="143">
        <f t="shared" si="123"/>
        <v>0</v>
      </c>
      <c r="K528" s="143">
        <f t="shared" si="124"/>
        <v>0</v>
      </c>
      <c r="L528" s="142">
        <f t="shared" si="125"/>
        <v>0</v>
      </c>
      <c r="M528" s="142">
        <f t="shared" si="126"/>
        <v>0</v>
      </c>
      <c r="N528" s="142">
        <f t="shared" si="127"/>
        <v>0</v>
      </c>
      <c r="O528" s="59">
        <f t="shared" si="128"/>
        <v>0</v>
      </c>
      <c r="P528" s="142">
        <f t="shared" si="129"/>
        <v>805</v>
      </c>
      <c r="Q528" s="142">
        <f t="shared" si="130"/>
        <v>0</v>
      </c>
      <c r="R528" s="142">
        <f t="shared" si="131"/>
        <v>0</v>
      </c>
      <c r="S528" s="142">
        <f t="shared" si="132"/>
        <v>0</v>
      </c>
      <c r="T528" s="142">
        <f t="shared" si="133"/>
        <v>0</v>
      </c>
      <c r="U528" s="60">
        <f t="shared" si="134"/>
        <v>805</v>
      </c>
    </row>
    <row r="529" spans="1:21" x14ac:dyDescent="0.2">
      <c r="A529" s="115"/>
      <c r="B529" s="139" t="s">
        <v>471</v>
      </c>
      <c r="C529" s="140" t="s">
        <v>900</v>
      </c>
      <c r="D529" s="141">
        <v>45966</v>
      </c>
      <c r="E529" s="141">
        <v>46026</v>
      </c>
      <c r="F529" s="57">
        <v>16878.5</v>
      </c>
      <c r="G529" s="58">
        <f t="shared" si="120"/>
        <v>4</v>
      </c>
      <c r="H529" s="142">
        <f t="shared" si="121"/>
        <v>0</v>
      </c>
      <c r="I529" s="142">
        <f t="shared" si="122"/>
        <v>0</v>
      </c>
      <c r="J529" s="143">
        <f t="shared" si="123"/>
        <v>0</v>
      </c>
      <c r="K529" s="143">
        <f t="shared" si="124"/>
        <v>0</v>
      </c>
      <c r="L529" s="142">
        <f t="shared" si="125"/>
        <v>0</v>
      </c>
      <c r="M529" s="142">
        <f t="shared" si="126"/>
        <v>0</v>
      </c>
      <c r="N529" s="142">
        <f t="shared" si="127"/>
        <v>0</v>
      </c>
      <c r="O529" s="59">
        <f t="shared" si="128"/>
        <v>0</v>
      </c>
      <c r="P529" s="142">
        <f t="shared" si="129"/>
        <v>16878.5</v>
      </c>
      <c r="Q529" s="142">
        <f t="shared" si="130"/>
        <v>0</v>
      </c>
      <c r="R529" s="142">
        <f t="shared" si="131"/>
        <v>0</v>
      </c>
      <c r="S529" s="142">
        <f t="shared" si="132"/>
        <v>0</v>
      </c>
      <c r="T529" s="142">
        <f t="shared" si="133"/>
        <v>0</v>
      </c>
      <c r="U529" s="60">
        <f t="shared" si="134"/>
        <v>16878.5</v>
      </c>
    </row>
    <row r="530" spans="1:21" x14ac:dyDescent="0.2">
      <c r="A530" s="115"/>
      <c r="B530" s="139" t="s">
        <v>471</v>
      </c>
      <c r="C530" s="140" t="s">
        <v>901</v>
      </c>
      <c r="D530" s="141">
        <v>45967</v>
      </c>
      <c r="E530" s="141">
        <v>46027</v>
      </c>
      <c r="F530" s="57">
        <v>840</v>
      </c>
      <c r="G530" s="58">
        <f t="shared" si="120"/>
        <v>5</v>
      </c>
      <c r="H530" s="142">
        <f t="shared" si="121"/>
        <v>0</v>
      </c>
      <c r="I530" s="142">
        <f t="shared" si="122"/>
        <v>0</v>
      </c>
      <c r="J530" s="143">
        <f t="shared" si="123"/>
        <v>0</v>
      </c>
      <c r="K530" s="143">
        <f t="shared" si="124"/>
        <v>0</v>
      </c>
      <c r="L530" s="142">
        <f t="shared" si="125"/>
        <v>0</v>
      </c>
      <c r="M530" s="142">
        <f t="shared" si="126"/>
        <v>0</v>
      </c>
      <c r="N530" s="142">
        <f t="shared" si="127"/>
        <v>0</v>
      </c>
      <c r="O530" s="59">
        <f t="shared" si="128"/>
        <v>0</v>
      </c>
      <c r="P530" s="145">
        <f t="shared" si="129"/>
        <v>840</v>
      </c>
      <c r="Q530" s="142">
        <f t="shared" si="130"/>
        <v>0</v>
      </c>
      <c r="R530" s="142">
        <f t="shared" si="131"/>
        <v>0</v>
      </c>
      <c r="S530" s="142">
        <f t="shared" si="132"/>
        <v>0</v>
      </c>
      <c r="T530" s="142">
        <f t="shared" si="133"/>
        <v>0</v>
      </c>
      <c r="U530" s="60">
        <f t="shared" si="134"/>
        <v>840</v>
      </c>
    </row>
    <row r="531" spans="1:21" x14ac:dyDescent="0.2">
      <c r="A531" s="115"/>
      <c r="B531" s="139" t="s">
        <v>471</v>
      </c>
      <c r="C531" s="140" t="s">
        <v>902</v>
      </c>
      <c r="D531" s="141">
        <v>45987</v>
      </c>
      <c r="E531" s="141">
        <v>46047</v>
      </c>
      <c r="F531" s="57">
        <v>11987.5</v>
      </c>
      <c r="G531" s="58">
        <f t="shared" si="120"/>
        <v>25</v>
      </c>
      <c r="H531" s="142">
        <f t="shared" si="121"/>
        <v>0</v>
      </c>
      <c r="I531" s="142">
        <f t="shared" si="122"/>
        <v>0</v>
      </c>
      <c r="J531" s="143">
        <f t="shared" si="123"/>
        <v>0</v>
      </c>
      <c r="K531" s="143">
        <f t="shared" si="124"/>
        <v>0</v>
      </c>
      <c r="L531" s="142">
        <f t="shared" si="125"/>
        <v>0</v>
      </c>
      <c r="M531" s="142">
        <f t="shared" si="126"/>
        <v>0</v>
      </c>
      <c r="N531" s="142">
        <f t="shared" si="127"/>
        <v>0</v>
      </c>
      <c r="O531" s="59">
        <f t="shared" si="128"/>
        <v>0</v>
      </c>
      <c r="P531" s="142">
        <f t="shared" si="129"/>
        <v>11987.5</v>
      </c>
      <c r="Q531" s="142">
        <f t="shared" si="130"/>
        <v>0</v>
      </c>
      <c r="R531" s="142">
        <f t="shared" si="131"/>
        <v>0</v>
      </c>
      <c r="S531" s="142">
        <f t="shared" si="132"/>
        <v>0</v>
      </c>
      <c r="T531" s="142">
        <f t="shared" si="133"/>
        <v>0</v>
      </c>
      <c r="U531" s="60">
        <f t="shared" si="134"/>
        <v>11987.5</v>
      </c>
    </row>
    <row r="532" spans="1:21" x14ac:dyDescent="0.2">
      <c r="A532" s="115"/>
      <c r="B532" s="139" t="s">
        <v>471</v>
      </c>
      <c r="C532" s="140" t="s">
        <v>903</v>
      </c>
      <c r="D532" s="141">
        <v>45987</v>
      </c>
      <c r="E532" s="141">
        <v>46047</v>
      </c>
      <c r="F532" s="57">
        <v>15662.75</v>
      </c>
      <c r="G532" s="58">
        <f t="shared" si="120"/>
        <v>25</v>
      </c>
      <c r="H532" s="142">
        <f t="shared" si="121"/>
        <v>0</v>
      </c>
      <c r="I532" s="142">
        <f t="shared" si="122"/>
        <v>0</v>
      </c>
      <c r="J532" s="143">
        <f t="shared" si="123"/>
        <v>0</v>
      </c>
      <c r="K532" s="143">
        <f t="shared" si="124"/>
        <v>0</v>
      </c>
      <c r="L532" s="142">
        <f t="shared" si="125"/>
        <v>0</v>
      </c>
      <c r="M532" s="142">
        <f t="shared" si="126"/>
        <v>0</v>
      </c>
      <c r="N532" s="142">
        <f t="shared" si="127"/>
        <v>0</v>
      </c>
      <c r="O532" s="59">
        <f t="shared" si="128"/>
        <v>0</v>
      </c>
      <c r="P532" s="142">
        <f t="shared" si="129"/>
        <v>15662.75</v>
      </c>
      <c r="Q532" s="142">
        <f t="shared" si="130"/>
        <v>0</v>
      </c>
      <c r="R532" s="142">
        <f t="shared" si="131"/>
        <v>0</v>
      </c>
      <c r="S532" s="142">
        <f t="shared" si="132"/>
        <v>0</v>
      </c>
      <c r="T532" s="142">
        <f t="shared" si="133"/>
        <v>0</v>
      </c>
      <c r="U532" s="60">
        <f t="shared" si="134"/>
        <v>15662.75</v>
      </c>
    </row>
    <row r="533" spans="1:21" x14ac:dyDescent="0.2">
      <c r="A533" s="115"/>
      <c r="B533" s="139" t="s">
        <v>471</v>
      </c>
      <c r="C533" s="140" t="s">
        <v>981</v>
      </c>
      <c r="D533" s="141">
        <v>45994</v>
      </c>
      <c r="E533" s="141">
        <v>46051</v>
      </c>
      <c r="F533" s="57">
        <v>20348.080000000002</v>
      </c>
      <c r="G533" s="58">
        <f t="shared" si="120"/>
        <v>29</v>
      </c>
      <c r="H533" s="142">
        <f t="shared" si="121"/>
        <v>0</v>
      </c>
      <c r="I533" s="142">
        <f t="shared" si="122"/>
        <v>0</v>
      </c>
      <c r="J533" s="143">
        <f t="shared" si="123"/>
        <v>0</v>
      </c>
      <c r="K533" s="143">
        <f t="shared" si="124"/>
        <v>0</v>
      </c>
      <c r="L533" s="142">
        <f t="shared" si="125"/>
        <v>0</v>
      </c>
      <c r="M533" s="142">
        <f t="shared" si="126"/>
        <v>0</v>
      </c>
      <c r="N533" s="142">
        <f t="shared" si="127"/>
        <v>0</v>
      </c>
      <c r="O533" s="59">
        <f t="shared" si="128"/>
        <v>0</v>
      </c>
      <c r="P533" s="145">
        <f t="shared" si="129"/>
        <v>20348.080000000002</v>
      </c>
      <c r="Q533" s="142">
        <f t="shared" si="130"/>
        <v>0</v>
      </c>
      <c r="R533" s="142">
        <f t="shared" si="131"/>
        <v>0</v>
      </c>
      <c r="S533" s="142">
        <f t="shared" si="132"/>
        <v>0</v>
      </c>
      <c r="T533" s="142">
        <f t="shared" si="133"/>
        <v>0</v>
      </c>
      <c r="U533" s="60">
        <f t="shared" si="134"/>
        <v>20348.080000000002</v>
      </c>
    </row>
    <row r="534" spans="1:21" x14ac:dyDescent="0.2">
      <c r="A534" s="115"/>
      <c r="B534" s="139" t="s">
        <v>471</v>
      </c>
      <c r="C534" s="140" t="s">
        <v>980</v>
      </c>
      <c r="D534" s="141">
        <v>45994</v>
      </c>
      <c r="E534" s="141">
        <v>46054</v>
      </c>
      <c r="F534" s="57">
        <v>805</v>
      </c>
      <c r="G534" s="58">
        <f t="shared" si="120"/>
        <v>32</v>
      </c>
      <c r="H534" s="142">
        <f t="shared" si="121"/>
        <v>0</v>
      </c>
      <c r="I534" s="142">
        <f t="shared" si="122"/>
        <v>0</v>
      </c>
      <c r="J534" s="143">
        <f t="shared" si="123"/>
        <v>0</v>
      </c>
      <c r="K534" s="143">
        <f t="shared" si="124"/>
        <v>0</v>
      </c>
      <c r="L534" s="142">
        <f t="shared" si="125"/>
        <v>0</v>
      </c>
      <c r="M534" s="142">
        <f t="shared" si="126"/>
        <v>0</v>
      </c>
      <c r="N534" s="142">
        <f t="shared" si="127"/>
        <v>0</v>
      </c>
      <c r="O534" s="59">
        <f t="shared" si="128"/>
        <v>0</v>
      </c>
      <c r="P534" s="142">
        <f t="shared" si="129"/>
        <v>0</v>
      </c>
      <c r="Q534" s="142">
        <f t="shared" si="130"/>
        <v>805</v>
      </c>
      <c r="R534" s="142">
        <f t="shared" si="131"/>
        <v>0</v>
      </c>
      <c r="S534" s="142">
        <f t="shared" si="132"/>
        <v>0</v>
      </c>
      <c r="T534" s="142">
        <f t="shared" si="133"/>
        <v>0</v>
      </c>
      <c r="U534" s="60">
        <f t="shared" si="134"/>
        <v>805</v>
      </c>
    </row>
    <row r="535" spans="1:21" x14ac:dyDescent="0.2">
      <c r="A535" s="115"/>
      <c r="B535" s="139" t="s">
        <v>471</v>
      </c>
      <c r="C535" s="140" t="s">
        <v>981</v>
      </c>
      <c r="D535" s="141">
        <v>45994</v>
      </c>
      <c r="E535" s="141">
        <v>46081</v>
      </c>
      <c r="F535" s="57">
        <v>20348.080000000002</v>
      </c>
      <c r="G535" s="58">
        <f t="shared" si="120"/>
        <v>59</v>
      </c>
      <c r="H535" s="142">
        <f t="shared" si="121"/>
        <v>0</v>
      </c>
      <c r="I535" s="142">
        <f t="shared" si="122"/>
        <v>0</v>
      </c>
      <c r="J535" s="143">
        <f t="shared" si="123"/>
        <v>0</v>
      </c>
      <c r="K535" s="143">
        <f t="shared" si="124"/>
        <v>0</v>
      </c>
      <c r="L535" s="142">
        <f t="shared" si="125"/>
        <v>0</v>
      </c>
      <c r="M535" s="142">
        <f t="shared" si="126"/>
        <v>0</v>
      </c>
      <c r="N535" s="142">
        <f t="shared" si="127"/>
        <v>0</v>
      </c>
      <c r="O535" s="59">
        <f t="shared" si="128"/>
        <v>0</v>
      </c>
      <c r="P535" s="142">
        <f t="shared" si="129"/>
        <v>0</v>
      </c>
      <c r="Q535" s="142">
        <f t="shared" si="130"/>
        <v>20348.080000000002</v>
      </c>
      <c r="R535" s="142">
        <f t="shared" si="131"/>
        <v>0</v>
      </c>
      <c r="S535" s="142">
        <f t="shared" si="132"/>
        <v>0</v>
      </c>
      <c r="T535" s="142">
        <f t="shared" si="133"/>
        <v>0</v>
      </c>
      <c r="U535" s="60">
        <f t="shared" si="134"/>
        <v>20348.080000000002</v>
      </c>
    </row>
    <row r="536" spans="1:21" x14ac:dyDescent="0.2">
      <c r="A536" s="115"/>
      <c r="B536" s="139" t="s">
        <v>471</v>
      </c>
      <c r="C536" s="140" t="s">
        <v>220</v>
      </c>
      <c r="D536" s="141">
        <v>45890</v>
      </c>
      <c r="E536" s="141">
        <v>46110</v>
      </c>
      <c r="F536" s="57">
        <v>8760.35</v>
      </c>
      <c r="G536" s="58">
        <f t="shared" si="120"/>
        <v>88</v>
      </c>
      <c r="H536" s="142">
        <f t="shared" si="121"/>
        <v>0</v>
      </c>
      <c r="I536" s="142">
        <f t="shared" si="122"/>
        <v>0</v>
      </c>
      <c r="J536" s="143">
        <f t="shared" si="123"/>
        <v>0</v>
      </c>
      <c r="K536" s="143">
        <f t="shared" si="124"/>
        <v>0</v>
      </c>
      <c r="L536" s="142">
        <f t="shared" si="125"/>
        <v>0</v>
      </c>
      <c r="M536" s="142">
        <f t="shared" si="126"/>
        <v>0</v>
      </c>
      <c r="N536" s="142">
        <f t="shared" si="127"/>
        <v>0</v>
      </c>
      <c r="O536" s="59">
        <f t="shared" si="128"/>
        <v>0</v>
      </c>
      <c r="P536" s="142">
        <f t="shared" si="129"/>
        <v>0</v>
      </c>
      <c r="Q536" s="142">
        <f t="shared" si="130"/>
        <v>0</v>
      </c>
      <c r="R536" s="142">
        <f t="shared" si="131"/>
        <v>8760.35</v>
      </c>
      <c r="S536" s="142">
        <f t="shared" si="132"/>
        <v>0</v>
      </c>
      <c r="T536" s="142">
        <f t="shared" si="133"/>
        <v>0</v>
      </c>
      <c r="U536" s="60">
        <f t="shared" si="134"/>
        <v>8760.35</v>
      </c>
    </row>
    <row r="537" spans="1:21" x14ac:dyDescent="0.2">
      <c r="A537" s="115"/>
      <c r="B537" s="139" t="s">
        <v>471</v>
      </c>
      <c r="C537" s="140" t="s">
        <v>981</v>
      </c>
      <c r="D537" s="141">
        <v>45994</v>
      </c>
      <c r="E537" s="141">
        <v>46110</v>
      </c>
      <c r="F537" s="57">
        <v>20348.07</v>
      </c>
      <c r="G537" s="58">
        <f t="shared" si="120"/>
        <v>88</v>
      </c>
      <c r="H537" s="142">
        <f t="shared" si="121"/>
        <v>0</v>
      </c>
      <c r="I537" s="142">
        <f t="shared" si="122"/>
        <v>0</v>
      </c>
      <c r="J537" s="143">
        <f t="shared" si="123"/>
        <v>0</v>
      </c>
      <c r="K537" s="143">
        <f t="shared" si="124"/>
        <v>0</v>
      </c>
      <c r="L537" s="142">
        <f t="shared" si="125"/>
        <v>0</v>
      </c>
      <c r="M537" s="142">
        <f t="shared" si="126"/>
        <v>0</v>
      </c>
      <c r="N537" s="142">
        <f t="shared" si="127"/>
        <v>0</v>
      </c>
      <c r="O537" s="59">
        <f t="shared" si="128"/>
        <v>0</v>
      </c>
      <c r="P537" s="142">
        <f t="shared" si="129"/>
        <v>0</v>
      </c>
      <c r="Q537" s="142">
        <f t="shared" si="130"/>
        <v>0</v>
      </c>
      <c r="R537" s="142">
        <f t="shared" si="131"/>
        <v>20348.07</v>
      </c>
      <c r="S537" s="142">
        <f t="shared" si="132"/>
        <v>0</v>
      </c>
      <c r="T537" s="142">
        <f t="shared" si="133"/>
        <v>0</v>
      </c>
      <c r="U537" s="60">
        <f t="shared" si="134"/>
        <v>20348.07</v>
      </c>
    </row>
    <row r="538" spans="1:21" x14ac:dyDescent="0.2">
      <c r="A538" s="115"/>
      <c r="B538" s="139" t="s">
        <v>471</v>
      </c>
      <c r="C538" s="140" t="s">
        <v>220</v>
      </c>
      <c r="D538" s="141">
        <v>45890</v>
      </c>
      <c r="E538" s="141">
        <v>46141</v>
      </c>
      <c r="F538" s="57">
        <v>8760.35</v>
      </c>
      <c r="G538" s="58">
        <f t="shared" si="120"/>
        <v>119</v>
      </c>
      <c r="H538" s="142">
        <f t="shared" si="121"/>
        <v>0</v>
      </c>
      <c r="I538" s="142">
        <f t="shared" si="122"/>
        <v>0</v>
      </c>
      <c r="J538" s="143">
        <f t="shared" si="123"/>
        <v>0</v>
      </c>
      <c r="K538" s="143">
        <f t="shared" si="124"/>
        <v>0</v>
      </c>
      <c r="L538" s="142">
        <f t="shared" si="125"/>
        <v>0</v>
      </c>
      <c r="M538" s="142">
        <f t="shared" si="126"/>
        <v>0</v>
      </c>
      <c r="N538" s="142">
        <f t="shared" si="127"/>
        <v>0</v>
      </c>
      <c r="O538" s="59">
        <f t="shared" si="128"/>
        <v>0</v>
      </c>
      <c r="P538" s="142">
        <f t="shared" si="129"/>
        <v>0</v>
      </c>
      <c r="Q538" s="142">
        <f t="shared" si="130"/>
        <v>0</v>
      </c>
      <c r="R538" s="142">
        <f t="shared" si="131"/>
        <v>0</v>
      </c>
      <c r="S538" s="142">
        <f t="shared" si="132"/>
        <v>8760.35</v>
      </c>
      <c r="T538" s="142">
        <f t="shared" si="133"/>
        <v>0</v>
      </c>
      <c r="U538" s="60">
        <f t="shared" si="134"/>
        <v>8760.35</v>
      </c>
    </row>
    <row r="539" spans="1:21" x14ac:dyDescent="0.2">
      <c r="A539" s="115"/>
      <c r="B539" s="139" t="s">
        <v>471</v>
      </c>
      <c r="C539" s="140" t="s">
        <v>220</v>
      </c>
      <c r="D539" s="141">
        <v>45890</v>
      </c>
      <c r="E539" s="141">
        <v>46141</v>
      </c>
      <c r="F539" s="57">
        <v>8760.35</v>
      </c>
      <c r="G539" s="58">
        <f t="shared" si="120"/>
        <v>119</v>
      </c>
      <c r="H539" s="142">
        <f t="shared" si="121"/>
        <v>0</v>
      </c>
      <c r="I539" s="142">
        <f t="shared" si="122"/>
        <v>0</v>
      </c>
      <c r="J539" s="143">
        <f t="shared" si="123"/>
        <v>0</v>
      </c>
      <c r="K539" s="143">
        <f t="shared" si="124"/>
        <v>0</v>
      </c>
      <c r="L539" s="142">
        <f t="shared" si="125"/>
        <v>0</v>
      </c>
      <c r="M539" s="142">
        <f t="shared" si="126"/>
        <v>0</v>
      </c>
      <c r="N539" s="142">
        <f t="shared" si="127"/>
        <v>0</v>
      </c>
      <c r="O539" s="59">
        <f t="shared" si="128"/>
        <v>0</v>
      </c>
      <c r="P539" s="142">
        <f t="shared" si="129"/>
        <v>0</v>
      </c>
      <c r="Q539" s="142">
        <f t="shared" si="130"/>
        <v>0</v>
      </c>
      <c r="R539" s="142">
        <f t="shared" si="131"/>
        <v>0</v>
      </c>
      <c r="S539" s="142">
        <f t="shared" si="132"/>
        <v>8760.35</v>
      </c>
      <c r="T539" s="142">
        <f t="shared" si="133"/>
        <v>0</v>
      </c>
      <c r="U539" s="60">
        <f t="shared" si="134"/>
        <v>8760.35</v>
      </c>
    </row>
    <row r="540" spans="1:21" x14ac:dyDescent="0.2">
      <c r="A540" s="115"/>
      <c r="B540" s="139" t="s">
        <v>471</v>
      </c>
      <c r="C540" s="140" t="s">
        <v>981</v>
      </c>
      <c r="D540" s="141">
        <v>45994</v>
      </c>
      <c r="E540" s="141">
        <v>46141</v>
      </c>
      <c r="F540" s="57">
        <v>20348.07</v>
      </c>
      <c r="G540" s="58">
        <f t="shared" si="120"/>
        <v>119</v>
      </c>
      <c r="H540" s="142">
        <f t="shared" si="121"/>
        <v>0</v>
      </c>
      <c r="I540" s="142">
        <f t="shared" si="122"/>
        <v>0</v>
      </c>
      <c r="J540" s="143">
        <f t="shared" si="123"/>
        <v>0</v>
      </c>
      <c r="K540" s="143">
        <f t="shared" si="124"/>
        <v>0</v>
      </c>
      <c r="L540" s="142">
        <f t="shared" si="125"/>
        <v>0</v>
      </c>
      <c r="M540" s="142">
        <f t="shared" si="126"/>
        <v>0</v>
      </c>
      <c r="N540" s="142">
        <f t="shared" si="127"/>
        <v>0</v>
      </c>
      <c r="O540" s="59">
        <f t="shared" si="128"/>
        <v>0</v>
      </c>
      <c r="P540" s="142">
        <f t="shared" si="129"/>
        <v>0</v>
      </c>
      <c r="Q540" s="142">
        <f t="shared" si="130"/>
        <v>0</v>
      </c>
      <c r="R540" s="142">
        <f t="shared" si="131"/>
        <v>0</v>
      </c>
      <c r="S540" s="142">
        <f t="shared" si="132"/>
        <v>20348.07</v>
      </c>
      <c r="T540" s="142">
        <f t="shared" si="133"/>
        <v>0</v>
      </c>
      <c r="U540" s="60">
        <f t="shared" si="134"/>
        <v>20348.07</v>
      </c>
    </row>
    <row r="541" spans="1:21" x14ac:dyDescent="0.2">
      <c r="A541" s="115"/>
      <c r="B541" s="139" t="s">
        <v>471</v>
      </c>
      <c r="C541" s="140" t="s">
        <v>220</v>
      </c>
      <c r="D541" s="141">
        <v>45890</v>
      </c>
      <c r="E541" s="141">
        <v>46171</v>
      </c>
      <c r="F541" s="57">
        <v>8760.31</v>
      </c>
      <c r="G541" s="58">
        <f t="shared" si="120"/>
        <v>149</v>
      </c>
      <c r="H541" s="142">
        <f t="shared" si="121"/>
        <v>0</v>
      </c>
      <c r="I541" s="142">
        <f t="shared" si="122"/>
        <v>0</v>
      </c>
      <c r="J541" s="143">
        <f t="shared" si="123"/>
        <v>0</v>
      </c>
      <c r="K541" s="143">
        <f t="shared" si="124"/>
        <v>0</v>
      </c>
      <c r="L541" s="142">
        <f t="shared" si="125"/>
        <v>0</v>
      </c>
      <c r="M541" s="142">
        <f t="shared" si="126"/>
        <v>0</v>
      </c>
      <c r="N541" s="142">
        <f t="shared" si="127"/>
        <v>0</v>
      </c>
      <c r="O541" s="59">
        <f t="shared" si="128"/>
        <v>0</v>
      </c>
      <c r="P541" s="142">
        <f t="shared" si="129"/>
        <v>0</v>
      </c>
      <c r="Q541" s="142">
        <f t="shared" si="130"/>
        <v>0</v>
      </c>
      <c r="R541" s="142">
        <f t="shared" si="131"/>
        <v>0</v>
      </c>
      <c r="S541" s="142">
        <f t="shared" si="132"/>
        <v>0</v>
      </c>
      <c r="T541" s="142">
        <f t="shared" si="133"/>
        <v>8760.31</v>
      </c>
      <c r="U541" s="60">
        <f t="shared" si="134"/>
        <v>8760.31</v>
      </c>
    </row>
    <row r="542" spans="1:21" x14ac:dyDescent="0.2">
      <c r="A542" s="115"/>
      <c r="B542" s="139" t="s">
        <v>417</v>
      </c>
      <c r="C542" s="140" t="s">
        <v>665</v>
      </c>
      <c r="D542" s="141">
        <v>45915</v>
      </c>
      <c r="E542" s="141">
        <v>45975</v>
      </c>
      <c r="F542" s="57">
        <v>39364</v>
      </c>
      <c r="G542" s="58">
        <f t="shared" si="120"/>
        <v>-47</v>
      </c>
      <c r="H542" s="142">
        <f t="shared" si="121"/>
        <v>0</v>
      </c>
      <c r="I542" s="142">
        <f t="shared" si="122"/>
        <v>0</v>
      </c>
      <c r="J542" s="143">
        <f t="shared" si="123"/>
        <v>0</v>
      </c>
      <c r="K542" s="143">
        <f t="shared" si="124"/>
        <v>0</v>
      </c>
      <c r="L542" s="142">
        <f t="shared" si="125"/>
        <v>0</v>
      </c>
      <c r="M542" s="142">
        <f t="shared" si="126"/>
        <v>39364</v>
      </c>
      <c r="N542" s="142">
        <f t="shared" si="127"/>
        <v>0</v>
      </c>
      <c r="O542" s="59">
        <f t="shared" si="128"/>
        <v>39364</v>
      </c>
      <c r="P542" s="142">
        <f t="shared" si="129"/>
        <v>0</v>
      </c>
      <c r="Q542" s="142">
        <f t="shared" si="130"/>
        <v>0</v>
      </c>
      <c r="R542" s="142">
        <f t="shared" si="131"/>
        <v>0</v>
      </c>
      <c r="S542" s="142">
        <f t="shared" si="132"/>
        <v>0</v>
      </c>
      <c r="T542" s="142">
        <f t="shared" si="133"/>
        <v>0</v>
      </c>
      <c r="U542" s="60">
        <f t="shared" si="134"/>
        <v>0</v>
      </c>
    </row>
    <row r="543" spans="1:21" x14ac:dyDescent="0.2">
      <c r="A543" s="115"/>
      <c r="B543" s="139" t="s">
        <v>417</v>
      </c>
      <c r="C543" s="140" t="s">
        <v>666</v>
      </c>
      <c r="D543" s="141">
        <v>45915</v>
      </c>
      <c r="E543" s="141">
        <v>45975</v>
      </c>
      <c r="F543" s="57">
        <v>39364</v>
      </c>
      <c r="G543" s="58">
        <f t="shared" si="120"/>
        <v>-47</v>
      </c>
      <c r="H543" s="142">
        <f t="shared" si="121"/>
        <v>0</v>
      </c>
      <c r="I543" s="142">
        <f t="shared" si="122"/>
        <v>0</v>
      </c>
      <c r="J543" s="143">
        <f t="shared" si="123"/>
        <v>0</v>
      </c>
      <c r="K543" s="143">
        <f t="shared" si="124"/>
        <v>0</v>
      </c>
      <c r="L543" s="142">
        <f t="shared" si="125"/>
        <v>0</v>
      </c>
      <c r="M543" s="142">
        <f t="shared" si="126"/>
        <v>39364</v>
      </c>
      <c r="N543" s="142">
        <f t="shared" si="127"/>
        <v>0</v>
      </c>
      <c r="O543" s="59">
        <f t="shared" si="128"/>
        <v>39364</v>
      </c>
      <c r="P543" s="142">
        <f t="shared" si="129"/>
        <v>0</v>
      </c>
      <c r="Q543" s="142">
        <f t="shared" si="130"/>
        <v>0</v>
      </c>
      <c r="R543" s="142">
        <f t="shared" si="131"/>
        <v>0</v>
      </c>
      <c r="S543" s="142">
        <f t="shared" si="132"/>
        <v>0</v>
      </c>
      <c r="T543" s="142">
        <f t="shared" si="133"/>
        <v>0</v>
      </c>
      <c r="U543" s="60">
        <f t="shared" si="134"/>
        <v>0</v>
      </c>
    </row>
    <row r="544" spans="1:21" x14ac:dyDescent="0.2">
      <c r="A544" s="115"/>
      <c r="B544" s="139" t="s">
        <v>417</v>
      </c>
      <c r="C544" s="140" t="s">
        <v>667</v>
      </c>
      <c r="D544" s="141">
        <v>45917</v>
      </c>
      <c r="E544" s="141">
        <v>45977</v>
      </c>
      <c r="F544" s="57">
        <v>40233</v>
      </c>
      <c r="G544" s="58">
        <f t="shared" si="120"/>
        <v>-45</v>
      </c>
      <c r="H544" s="142">
        <f t="shared" si="121"/>
        <v>0</v>
      </c>
      <c r="I544" s="142">
        <f t="shared" si="122"/>
        <v>0</v>
      </c>
      <c r="J544" s="143">
        <f t="shared" si="123"/>
        <v>0</v>
      </c>
      <c r="K544" s="143">
        <f t="shared" si="124"/>
        <v>0</v>
      </c>
      <c r="L544" s="142">
        <f t="shared" si="125"/>
        <v>0</v>
      </c>
      <c r="M544" s="142">
        <f t="shared" si="126"/>
        <v>40233</v>
      </c>
      <c r="N544" s="142">
        <f t="shared" si="127"/>
        <v>0</v>
      </c>
      <c r="O544" s="59">
        <f t="shared" si="128"/>
        <v>40233</v>
      </c>
      <c r="P544" s="142">
        <f t="shared" si="129"/>
        <v>0</v>
      </c>
      <c r="Q544" s="142">
        <f t="shared" si="130"/>
        <v>0</v>
      </c>
      <c r="R544" s="142">
        <f t="shared" si="131"/>
        <v>0</v>
      </c>
      <c r="S544" s="142">
        <f t="shared" si="132"/>
        <v>0</v>
      </c>
      <c r="T544" s="142">
        <f t="shared" si="133"/>
        <v>0</v>
      </c>
      <c r="U544" s="60">
        <f t="shared" si="134"/>
        <v>0</v>
      </c>
    </row>
    <row r="545" spans="1:21" x14ac:dyDescent="0.2">
      <c r="A545" s="115"/>
      <c r="B545" s="139" t="s">
        <v>417</v>
      </c>
      <c r="C545" s="140" t="s">
        <v>795</v>
      </c>
      <c r="D545" s="141">
        <v>45933</v>
      </c>
      <c r="E545" s="141">
        <v>45993</v>
      </c>
      <c r="F545" s="57">
        <v>23154</v>
      </c>
      <c r="G545" s="58">
        <f t="shared" si="120"/>
        <v>-29</v>
      </c>
      <c r="H545" s="142">
        <f t="shared" si="121"/>
        <v>0</v>
      </c>
      <c r="I545" s="142">
        <f t="shared" si="122"/>
        <v>0</v>
      </c>
      <c r="J545" s="143">
        <f t="shared" si="123"/>
        <v>0</v>
      </c>
      <c r="K545" s="143">
        <f t="shared" si="124"/>
        <v>0</v>
      </c>
      <c r="L545" s="142">
        <f t="shared" si="125"/>
        <v>0</v>
      </c>
      <c r="M545" s="142">
        <f t="shared" si="126"/>
        <v>0</v>
      </c>
      <c r="N545" s="142">
        <f t="shared" si="127"/>
        <v>23154</v>
      </c>
      <c r="O545" s="59">
        <f t="shared" si="128"/>
        <v>23154</v>
      </c>
      <c r="P545" s="142">
        <f t="shared" si="129"/>
        <v>0</v>
      </c>
      <c r="Q545" s="142">
        <f t="shared" si="130"/>
        <v>0</v>
      </c>
      <c r="R545" s="142">
        <f t="shared" si="131"/>
        <v>0</v>
      </c>
      <c r="S545" s="142">
        <f t="shared" si="132"/>
        <v>0</v>
      </c>
      <c r="T545" s="142">
        <f t="shared" si="133"/>
        <v>0</v>
      </c>
      <c r="U545" s="60">
        <f t="shared" si="134"/>
        <v>0</v>
      </c>
    </row>
    <row r="546" spans="1:21" x14ac:dyDescent="0.2">
      <c r="A546" s="115"/>
      <c r="B546" s="139" t="s">
        <v>417</v>
      </c>
      <c r="C546" s="140" t="s">
        <v>797</v>
      </c>
      <c r="D546" s="141">
        <v>45933</v>
      </c>
      <c r="E546" s="141">
        <v>45993</v>
      </c>
      <c r="F546" s="57">
        <v>24104</v>
      </c>
      <c r="G546" s="58">
        <f t="shared" si="120"/>
        <v>-29</v>
      </c>
      <c r="H546" s="142">
        <f t="shared" si="121"/>
        <v>0</v>
      </c>
      <c r="I546" s="142">
        <f t="shared" si="122"/>
        <v>0</v>
      </c>
      <c r="J546" s="143">
        <f t="shared" si="123"/>
        <v>0</v>
      </c>
      <c r="K546" s="143">
        <f t="shared" si="124"/>
        <v>0</v>
      </c>
      <c r="L546" s="142">
        <f t="shared" si="125"/>
        <v>0</v>
      </c>
      <c r="M546" s="142">
        <f t="shared" si="126"/>
        <v>0</v>
      </c>
      <c r="N546" s="142">
        <f t="shared" si="127"/>
        <v>24104</v>
      </c>
      <c r="O546" s="59">
        <f t="shared" si="128"/>
        <v>24104</v>
      </c>
      <c r="P546" s="142">
        <f t="shared" si="129"/>
        <v>0</v>
      </c>
      <c r="Q546" s="142">
        <f t="shared" si="130"/>
        <v>0</v>
      </c>
      <c r="R546" s="142">
        <f t="shared" si="131"/>
        <v>0</v>
      </c>
      <c r="S546" s="142">
        <f t="shared" si="132"/>
        <v>0</v>
      </c>
      <c r="T546" s="142">
        <f t="shared" si="133"/>
        <v>0</v>
      </c>
      <c r="U546" s="60">
        <f t="shared" si="134"/>
        <v>0</v>
      </c>
    </row>
    <row r="547" spans="1:21" x14ac:dyDescent="0.2">
      <c r="A547" s="115"/>
      <c r="B547" s="139" t="s">
        <v>417</v>
      </c>
      <c r="C547" s="140" t="s">
        <v>749</v>
      </c>
      <c r="D547" s="141">
        <v>45933</v>
      </c>
      <c r="E547" s="141">
        <v>45993</v>
      </c>
      <c r="F547" s="57">
        <v>5968</v>
      </c>
      <c r="G547" s="58">
        <f t="shared" si="120"/>
        <v>-29</v>
      </c>
      <c r="H547" s="142">
        <f t="shared" si="121"/>
        <v>0</v>
      </c>
      <c r="I547" s="142">
        <f t="shared" si="122"/>
        <v>0</v>
      </c>
      <c r="J547" s="143">
        <f t="shared" si="123"/>
        <v>0</v>
      </c>
      <c r="K547" s="143">
        <f t="shared" si="124"/>
        <v>0</v>
      </c>
      <c r="L547" s="142">
        <f t="shared" si="125"/>
        <v>0</v>
      </c>
      <c r="M547" s="142">
        <f t="shared" si="126"/>
        <v>0</v>
      </c>
      <c r="N547" s="142">
        <f t="shared" si="127"/>
        <v>5968</v>
      </c>
      <c r="O547" s="59">
        <f t="shared" si="128"/>
        <v>5968</v>
      </c>
      <c r="P547" s="142">
        <f t="shared" si="129"/>
        <v>0</v>
      </c>
      <c r="Q547" s="142">
        <f t="shared" si="130"/>
        <v>0</v>
      </c>
      <c r="R547" s="142">
        <f t="shared" si="131"/>
        <v>0</v>
      </c>
      <c r="S547" s="142">
        <f t="shared" si="132"/>
        <v>0</v>
      </c>
      <c r="T547" s="142">
        <f t="shared" si="133"/>
        <v>0</v>
      </c>
      <c r="U547" s="60">
        <f t="shared" si="134"/>
        <v>0</v>
      </c>
    </row>
    <row r="548" spans="1:21" x14ac:dyDescent="0.2">
      <c r="A548" s="115"/>
      <c r="B548" s="139" t="s">
        <v>417</v>
      </c>
      <c r="C548" s="140" t="s">
        <v>819</v>
      </c>
      <c r="D548" s="141">
        <v>45933</v>
      </c>
      <c r="E548" s="141">
        <v>45993</v>
      </c>
      <c r="F548" s="57">
        <v>37399</v>
      </c>
      <c r="G548" s="58">
        <f t="shared" si="120"/>
        <v>-29</v>
      </c>
      <c r="H548" s="142">
        <f t="shared" si="121"/>
        <v>0</v>
      </c>
      <c r="I548" s="142">
        <f t="shared" si="122"/>
        <v>0</v>
      </c>
      <c r="J548" s="143">
        <f t="shared" si="123"/>
        <v>0</v>
      </c>
      <c r="K548" s="143">
        <f t="shared" si="124"/>
        <v>0</v>
      </c>
      <c r="L548" s="142">
        <f t="shared" si="125"/>
        <v>0</v>
      </c>
      <c r="M548" s="142">
        <f t="shared" si="126"/>
        <v>0</v>
      </c>
      <c r="N548" s="142">
        <f t="shared" si="127"/>
        <v>37399</v>
      </c>
      <c r="O548" s="59">
        <f t="shared" si="128"/>
        <v>37399</v>
      </c>
      <c r="P548" s="142">
        <f t="shared" si="129"/>
        <v>0</v>
      </c>
      <c r="Q548" s="142">
        <f t="shared" si="130"/>
        <v>0</v>
      </c>
      <c r="R548" s="142">
        <f t="shared" si="131"/>
        <v>0</v>
      </c>
      <c r="S548" s="142">
        <f t="shared" si="132"/>
        <v>0</v>
      </c>
      <c r="T548" s="142">
        <f t="shared" si="133"/>
        <v>0</v>
      </c>
      <c r="U548" s="60">
        <f t="shared" si="134"/>
        <v>0</v>
      </c>
    </row>
    <row r="549" spans="1:21" x14ac:dyDescent="0.2">
      <c r="A549" s="115"/>
      <c r="B549" s="139" t="s">
        <v>417</v>
      </c>
      <c r="C549" s="140" t="s">
        <v>825</v>
      </c>
      <c r="D549" s="141">
        <v>45933</v>
      </c>
      <c r="E549" s="141">
        <v>45993</v>
      </c>
      <c r="F549" s="57">
        <v>40033</v>
      </c>
      <c r="G549" s="58">
        <f t="shared" si="120"/>
        <v>-29</v>
      </c>
      <c r="H549" s="142">
        <f t="shared" si="121"/>
        <v>0</v>
      </c>
      <c r="I549" s="142">
        <f t="shared" si="122"/>
        <v>0</v>
      </c>
      <c r="J549" s="143">
        <f t="shared" si="123"/>
        <v>0</v>
      </c>
      <c r="K549" s="143">
        <f t="shared" si="124"/>
        <v>0</v>
      </c>
      <c r="L549" s="142">
        <f t="shared" si="125"/>
        <v>0</v>
      </c>
      <c r="M549" s="142">
        <f t="shared" si="126"/>
        <v>0</v>
      </c>
      <c r="N549" s="142">
        <f t="shared" si="127"/>
        <v>40033</v>
      </c>
      <c r="O549" s="59">
        <f t="shared" si="128"/>
        <v>40033</v>
      </c>
      <c r="P549" s="142">
        <f t="shared" si="129"/>
        <v>0</v>
      </c>
      <c r="Q549" s="142">
        <f t="shared" si="130"/>
        <v>0</v>
      </c>
      <c r="R549" s="142">
        <f t="shared" si="131"/>
        <v>0</v>
      </c>
      <c r="S549" s="142">
        <f t="shared" si="132"/>
        <v>0</v>
      </c>
      <c r="T549" s="142">
        <f t="shared" si="133"/>
        <v>0</v>
      </c>
      <c r="U549" s="60">
        <f t="shared" si="134"/>
        <v>0</v>
      </c>
    </row>
    <row r="550" spans="1:21" x14ac:dyDescent="0.2">
      <c r="A550" s="115"/>
      <c r="B550" s="139" t="s">
        <v>417</v>
      </c>
      <c r="C550" s="140" t="s">
        <v>793</v>
      </c>
      <c r="D550" s="141">
        <v>45933</v>
      </c>
      <c r="E550" s="141">
        <v>45993</v>
      </c>
      <c r="F550" s="57">
        <v>22818</v>
      </c>
      <c r="G550" s="58">
        <f t="shared" si="120"/>
        <v>-29</v>
      </c>
      <c r="H550" s="142">
        <f t="shared" si="121"/>
        <v>0</v>
      </c>
      <c r="I550" s="142">
        <f t="shared" si="122"/>
        <v>0</v>
      </c>
      <c r="J550" s="143">
        <f t="shared" si="123"/>
        <v>0</v>
      </c>
      <c r="K550" s="143">
        <f t="shared" si="124"/>
        <v>0</v>
      </c>
      <c r="L550" s="142">
        <f t="shared" si="125"/>
        <v>0</v>
      </c>
      <c r="M550" s="142">
        <f t="shared" si="126"/>
        <v>0</v>
      </c>
      <c r="N550" s="142">
        <f t="shared" si="127"/>
        <v>22818</v>
      </c>
      <c r="O550" s="59">
        <f t="shared" si="128"/>
        <v>22818</v>
      </c>
      <c r="P550" s="142">
        <f t="shared" si="129"/>
        <v>0</v>
      </c>
      <c r="Q550" s="142">
        <f t="shared" si="130"/>
        <v>0</v>
      </c>
      <c r="R550" s="142">
        <f t="shared" si="131"/>
        <v>0</v>
      </c>
      <c r="S550" s="142">
        <f t="shared" si="132"/>
        <v>0</v>
      </c>
      <c r="T550" s="142">
        <f t="shared" si="133"/>
        <v>0</v>
      </c>
      <c r="U550" s="60">
        <f t="shared" si="134"/>
        <v>0</v>
      </c>
    </row>
    <row r="551" spans="1:21" x14ac:dyDescent="0.2">
      <c r="A551" s="115"/>
      <c r="B551" s="139" t="s">
        <v>417</v>
      </c>
      <c r="C551" s="140" t="s">
        <v>801</v>
      </c>
      <c r="D551" s="141">
        <v>45933</v>
      </c>
      <c r="E551" s="141">
        <v>45993</v>
      </c>
      <c r="F551" s="57">
        <v>25458</v>
      </c>
      <c r="G551" s="58">
        <f t="shared" si="120"/>
        <v>-29</v>
      </c>
      <c r="H551" s="142">
        <f t="shared" si="121"/>
        <v>0</v>
      </c>
      <c r="I551" s="142">
        <f t="shared" si="122"/>
        <v>0</v>
      </c>
      <c r="J551" s="143">
        <f t="shared" si="123"/>
        <v>0</v>
      </c>
      <c r="K551" s="143">
        <f t="shared" si="124"/>
        <v>0</v>
      </c>
      <c r="L551" s="142">
        <f t="shared" si="125"/>
        <v>0</v>
      </c>
      <c r="M551" s="142">
        <f t="shared" si="126"/>
        <v>0</v>
      </c>
      <c r="N551" s="142">
        <f t="shared" si="127"/>
        <v>25458</v>
      </c>
      <c r="O551" s="59">
        <f t="shared" si="128"/>
        <v>25458</v>
      </c>
      <c r="P551" s="142">
        <f t="shared" si="129"/>
        <v>0</v>
      </c>
      <c r="Q551" s="142">
        <f t="shared" si="130"/>
        <v>0</v>
      </c>
      <c r="R551" s="142">
        <f t="shared" si="131"/>
        <v>0</v>
      </c>
      <c r="S551" s="142">
        <f t="shared" si="132"/>
        <v>0</v>
      </c>
      <c r="T551" s="142">
        <f t="shared" si="133"/>
        <v>0</v>
      </c>
      <c r="U551" s="60">
        <f t="shared" si="134"/>
        <v>0</v>
      </c>
    </row>
    <row r="552" spans="1:21" x14ac:dyDescent="0.2">
      <c r="A552" s="115"/>
      <c r="B552" s="139" t="s">
        <v>417</v>
      </c>
      <c r="C552" s="140" t="s">
        <v>817</v>
      </c>
      <c r="D552" s="141">
        <v>45933</v>
      </c>
      <c r="E552" s="141">
        <v>45993</v>
      </c>
      <c r="F552" s="57">
        <v>35783</v>
      </c>
      <c r="G552" s="58">
        <f t="shared" si="120"/>
        <v>-29</v>
      </c>
      <c r="H552" s="142">
        <f t="shared" si="121"/>
        <v>0</v>
      </c>
      <c r="I552" s="142">
        <f t="shared" si="122"/>
        <v>0</v>
      </c>
      <c r="J552" s="143">
        <f t="shared" si="123"/>
        <v>0</v>
      </c>
      <c r="K552" s="143">
        <f t="shared" si="124"/>
        <v>0</v>
      </c>
      <c r="L552" s="142">
        <f t="shared" si="125"/>
        <v>0</v>
      </c>
      <c r="M552" s="142">
        <f t="shared" si="126"/>
        <v>0</v>
      </c>
      <c r="N552" s="142">
        <f t="shared" si="127"/>
        <v>35783</v>
      </c>
      <c r="O552" s="59">
        <f t="shared" si="128"/>
        <v>35783</v>
      </c>
      <c r="P552" s="142">
        <f t="shared" si="129"/>
        <v>0</v>
      </c>
      <c r="Q552" s="142">
        <f t="shared" si="130"/>
        <v>0</v>
      </c>
      <c r="R552" s="142">
        <f t="shared" si="131"/>
        <v>0</v>
      </c>
      <c r="S552" s="142">
        <f t="shared" si="132"/>
        <v>0</v>
      </c>
      <c r="T552" s="142">
        <f t="shared" si="133"/>
        <v>0</v>
      </c>
      <c r="U552" s="60">
        <f t="shared" si="134"/>
        <v>0</v>
      </c>
    </row>
    <row r="553" spans="1:21" x14ac:dyDescent="0.2">
      <c r="A553" s="115"/>
      <c r="B553" s="139" t="s">
        <v>417</v>
      </c>
      <c r="C553" s="140" t="s">
        <v>823</v>
      </c>
      <c r="D553" s="141">
        <v>45933</v>
      </c>
      <c r="E553" s="141">
        <v>45993</v>
      </c>
      <c r="F553" s="57">
        <v>39364</v>
      </c>
      <c r="G553" s="58">
        <f t="shared" si="120"/>
        <v>-29</v>
      </c>
      <c r="H553" s="142">
        <f t="shared" si="121"/>
        <v>0</v>
      </c>
      <c r="I553" s="142">
        <f t="shared" si="122"/>
        <v>0</v>
      </c>
      <c r="J553" s="143">
        <f t="shared" si="123"/>
        <v>0</v>
      </c>
      <c r="K553" s="143">
        <f t="shared" si="124"/>
        <v>0</v>
      </c>
      <c r="L553" s="142">
        <f t="shared" si="125"/>
        <v>0</v>
      </c>
      <c r="M553" s="142">
        <f t="shared" si="126"/>
        <v>0</v>
      </c>
      <c r="N553" s="142">
        <f t="shared" si="127"/>
        <v>39364</v>
      </c>
      <c r="O553" s="59">
        <f t="shared" si="128"/>
        <v>39364</v>
      </c>
      <c r="P553" s="142">
        <f t="shared" si="129"/>
        <v>0</v>
      </c>
      <c r="Q553" s="142">
        <f t="shared" si="130"/>
        <v>0</v>
      </c>
      <c r="R553" s="142">
        <f t="shared" si="131"/>
        <v>0</v>
      </c>
      <c r="S553" s="142">
        <f t="shared" si="132"/>
        <v>0</v>
      </c>
      <c r="T553" s="142">
        <f t="shared" si="133"/>
        <v>0</v>
      </c>
      <c r="U553" s="60">
        <f t="shared" si="134"/>
        <v>0</v>
      </c>
    </row>
    <row r="554" spans="1:21" x14ac:dyDescent="0.2">
      <c r="A554" s="115"/>
      <c r="B554" s="139" t="s">
        <v>417</v>
      </c>
      <c r="C554" s="140" t="s">
        <v>808</v>
      </c>
      <c r="D554" s="141">
        <v>45933</v>
      </c>
      <c r="E554" s="141">
        <v>45993</v>
      </c>
      <c r="F554" s="57">
        <v>31539</v>
      </c>
      <c r="G554" s="58">
        <f t="shared" si="120"/>
        <v>-29</v>
      </c>
      <c r="H554" s="142">
        <f t="shared" si="121"/>
        <v>0</v>
      </c>
      <c r="I554" s="142">
        <f t="shared" si="122"/>
        <v>0</v>
      </c>
      <c r="J554" s="143">
        <f t="shared" si="123"/>
        <v>0</v>
      </c>
      <c r="K554" s="143">
        <f t="shared" si="124"/>
        <v>0</v>
      </c>
      <c r="L554" s="142">
        <f t="shared" si="125"/>
        <v>0</v>
      </c>
      <c r="M554" s="142">
        <f t="shared" si="126"/>
        <v>0</v>
      </c>
      <c r="N554" s="142">
        <f t="shared" si="127"/>
        <v>31539</v>
      </c>
      <c r="O554" s="59">
        <f t="shared" si="128"/>
        <v>31539</v>
      </c>
      <c r="P554" s="142">
        <f t="shared" si="129"/>
        <v>0</v>
      </c>
      <c r="Q554" s="142">
        <f t="shared" si="130"/>
        <v>0</v>
      </c>
      <c r="R554" s="142">
        <f t="shared" si="131"/>
        <v>0</v>
      </c>
      <c r="S554" s="142">
        <f t="shared" si="132"/>
        <v>0</v>
      </c>
      <c r="T554" s="142">
        <f t="shared" si="133"/>
        <v>0</v>
      </c>
      <c r="U554" s="60">
        <f t="shared" si="134"/>
        <v>0</v>
      </c>
    </row>
    <row r="555" spans="1:21" x14ac:dyDescent="0.2">
      <c r="A555" s="115"/>
      <c r="B555" s="139" t="s">
        <v>417</v>
      </c>
      <c r="C555" s="140" t="s">
        <v>809</v>
      </c>
      <c r="D555" s="141">
        <v>45933</v>
      </c>
      <c r="E555" s="141">
        <v>45993</v>
      </c>
      <c r="F555" s="57">
        <v>32208</v>
      </c>
      <c r="G555" s="58">
        <f t="shared" si="120"/>
        <v>-29</v>
      </c>
      <c r="H555" s="142">
        <f t="shared" si="121"/>
        <v>0</v>
      </c>
      <c r="I555" s="142">
        <f t="shared" si="122"/>
        <v>0</v>
      </c>
      <c r="J555" s="143">
        <f t="shared" si="123"/>
        <v>0</v>
      </c>
      <c r="K555" s="143">
        <f t="shared" si="124"/>
        <v>0</v>
      </c>
      <c r="L555" s="142">
        <f t="shared" si="125"/>
        <v>0</v>
      </c>
      <c r="M555" s="142">
        <f t="shared" si="126"/>
        <v>0</v>
      </c>
      <c r="N555" s="142">
        <f t="shared" si="127"/>
        <v>32208</v>
      </c>
      <c r="O555" s="59">
        <f t="shared" si="128"/>
        <v>32208</v>
      </c>
      <c r="P555" s="142">
        <f t="shared" si="129"/>
        <v>0</v>
      </c>
      <c r="Q555" s="142">
        <f t="shared" si="130"/>
        <v>0</v>
      </c>
      <c r="R555" s="142">
        <f t="shared" si="131"/>
        <v>0</v>
      </c>
      <c r="S555" s="142">
        <f t="shared" si="132"/>
        <v>0</v>
      </c>
      <c r="T555" s="142">
        <f t="shared" si="133"/>
        <v>0</v>
      </c>
      <c r="U555" s="60">
        <f t="shared" si="134"/>
        <v>0</v>
      </c>
    </row>
    <row r="556" spans="1:21" x14ac:dyDescent="0.2">
      <c r="A556" s="115"/>
      <c r="B556" s="139" t="s">
        <v>417</v>
      </c>
      <c r="C556" s="140" t="s">
        <v>818</v>
      </c>
      <c r="D556" s="141">
        <v>45933</v>
      </c>
      <c r="E556" s="141">
        <v>45993</v>
      </c>
      <c r="F556" s="57">
        <v>35783</v>
      </c>
      <c r="G556" s="58">
        <f t="shared" si="120"/>
        <v>-29</v>
      </c>
      <c r="H556" s="142">
        <f t="shared" si="121"/>
        <v>0</v>
      </c>
      <c r="I556" s="142">
        <f t="shared" si="122"/>
        <v>0</v>
      </c>
      <c r="J556" s="143">
        <f t="shared" si="123"/>
        <v>0</v>
      </c>
      <c r="K556" s="143">
        <f t="shared" si="124"/>
        <v>0</v>
      </c>
      <c r="L556" s="142">
        <f t="shared" si="125"/>
        <v>0</v>
      </c>
      <c r="M556" s="142">
        <f t="shared" si="126"/>
        <v>0</v>
      </c>
      <c r="N556" s="142">
        <f t="shared" si="127"/>
        <v>35783</v>
      </c>
      <c r="O556" s="59">
        <f t="shared" si="128"/>
        <v>35783</v>
      </c>
      <c r="P556" s="142">
        <f t="shared" si="129"/>
        <v>0</v>
      </c>
      <c r="Q556" s="142">
        <f t="shared" si="130"/>
        <v>0</v>
      </c>
      <c r="R556" s="142">
        <f t="shared" si="131"/>
        <v>0</v>
      </c>
      <c r="S556" s="142">
        <f t="shared" si="132"/>
        <v>0</v>
      </c>
      <c r="T556" s="142">
        <f t="shared" si="133"/>
        <v>0</v>
      </c>
      <c r="U556" s="60">
        <f t="shared" si="134"/>
        <v>0</v>
      </c>
    </row>
    <row r="557" spans="1:21" x14ac:dyDescent="0.2">
      <c r="A557" s="115"/>
      <c r="B557" s="139" t="s">
        <v>417</v>
      </c>
      <c r="C557" s="140" t="s">
        <v>753</v>
      </c>
      <c r="D557" s="141">
        <v>45938</v>
      </c>
      <c r="E557" s="141">
        <v>45998</v>
      </c>
      <c r="F557" s="57">
        <v>6637</v>
      </c>
      <c r="G557" s="58">
        <f t="shared" si="120"/>
        <v>-24</v>
      </c>
      <c r="H557" s="142">
        <f t="shared" si="121"/>
        <v>0</v>
      </c>
      <c r="I557" s="142">
        <f t="shared" si="122"/>
        <v>0</v>
      </c>
      <c r="J557" s="143">
        <f t="shared" si="123"/>
        <v>0</v>
      </c>
      <c r="K557" s="143">
        <f t="shared" si="124"/>
        <v>0</v>
      </c>
      <c r="L557" s="142">
        <f t="shared" si="125"/>
        <v>0</v>
      </c>
      <c r="M557" s="142">
        <f t="shared" si="126"/>
        <v>0</v>
      </c>
      <c r="N557" s="142">
        <f t="shared" si="127"/>
        <v>6637</v>
      </c>
      <c r="O557" s="59">
        <f t="shared" si="128"/>
        <v>6637</v>
      </c>
      <c r="P557" s="142">
        <f t="shared" si="129"/>
        <v>0</v>
      </c>
      <c r="Q557" s="142">
        <f t="shared" si="130"/>
        <v>0</v>
      </c>
      <c r="R557" s="142">
        <f t="shared" si="131"/>
        <v>0</v>
      </c>
      <c r="S557" s="142">
        <f t="shared" si="132"/>
        <v>0</v>
      </c>
      <c r="T557" s="142">
        <f t="shared" si="133"/>
        <v>0</v>
      </c>
      <c r="U557" s="60">
        <f t="shared" si="134"/>
        <v>0</v>
      </c>
    </row>
    <row r="558" spans="1:21" x14ac:dyDescent="0.2">
      <c r="A558" s="115"/>
      <c r="B558" s="139" t="s">
        <v>417</v>
      </c>
      <c r="C558" s="140" t="s">
        <v>360</v>
      </c>
      <c r="D558" s="141">
        <v>45653</v>
      </c>
      <c r="E558" s="141">
        <v>46063</v>
      </c>
      <c r="F558" s="57">
        <v>4204.8</v>
      </c>
      <c r="G558" s="58">
        <f t="shared" si="120"/>
        <v>41</v>
      </c>
      <c r="H558" s="142">
        <f t="shared" si="121"/>
        <v>0</v>
      </c>
      <c r="I558" s="142">
        <f t="shared" si="122"/>
        <v>0</v>
      </c>
      <c r="J558" s="143">
        <f t="shared" si="123"/>
        <v>0</v>
      </c>
      <c r="K558" s="143">
        <f t="shared" si="124"/>
        <v>0</v>
      </c>
      <c r="L558" s="142">
        <f t="shared" si="125"/>
        <v>0</v>
      </c>
      <c r="M558" s="142">
        <f t="shared" si="126"/>
        <v>0</v>
      </c>
      <c r="N558" s="142">
        <f t="shared" si="127"/>
        <v>0</v>
      </c>
      <c r="O558" s="59">
        <f t="shared" si="128"/>
        <v>0</v>
      </c>
      <c r="P558" s="142">
        <f t="shared" si="129"/>
        <v>0</v>
      </c>
      <c r="Q558" s="142">
        <f t="shared" si="130"/>
        <v>4204.8</v>
      </c>
      <c r="R558" s="142">
        <f t="shared" si="131"/>
        <v>0</v>
      </c>
      <c r="S558" s="142">
        <f t="shared" si="132"/>
        <v>0</v>
      </c>
      <c r="T558" s="142">
        <f t="shared" si="133"/>
        <v>0</v>
      </c>
      <c r="U558" s="60">
        <f t="shared" si="134"/>
        <v>4204.8</v>
      </c>
    </row>
    <row r="559" spans="1:21" x14ac:dyDescent="0.2">
      <c r="A559" s="115"/>
      <c r="B559" s="139" t="s">
        <v>904</v>
      </c>
      <c r="C559" s="140" t="s">
        <v>905</v>
      </c>
      <c r="D559" s="141">
        <v>45989</v>
      </c>
      <c r="E559" s="141">
        <v>46079</v>
      </c>
      <c r="F559" s="57">
        <v>161000</v>
      </c>
      <c r="G559" s="58">
        <f t="shared" si="120"/>
        <v>57</v>
      </c>
      <c r="H559" s="142">
        <f t="shared" si="121"/>
        <v>0</v>
      </c>
      <c r="I559" s="142">
        <f t="shared" si="122"/>
        <v>0</v>
      </c>
      <c r="J559" s="143">
        <f t="shared" si="123"/>
        <v>0</v>
      </c>
      <c r="K559" s="143">
        <f t="shared" si="124"/>
        <v>0</v>
      </c>
      <c r="L559" s="142">
        <f t="shared" si="125"/>
        <v>0</v>
      </c>
      <c r="M559" s="142">
        <f t="shared" si="126"/>
        <v>0</v>
      </c>
      <c r="N559" s="142">
        <f t="shared" si="127"/>
        <v>0</v>
      </c>
      <c r="O559" s="59">
        <f t="shared" si="128"/>
        <v>0</v>
      </c>
      <c r="P559" s="142">
        <f t="shared" si="129"/>
        <v>0</v>
      </c>
      <c r="Q559" s="142">
        <f t="shared" si="130"/>
        <v>161000</v>
      </c>
      <c r="R559" s="142">
        <f t="shared" si="131"/>
        <v>0</v>
      </c>
      <c r="S559" s="142">
        <f t="shared" si="132"/>
        <v>0</v>
      </c>
      <c r="T559" s="142">
        <f t="shared" si="133"/>
        <v>0</v>
      </c>
      <c r="U559" s="60">
        <f t="shared" si="134"/>
        <v>161000</v>
      </c>
    </row>
    <row r="560" spans="1:21" x14ac:dyDescent="0.2">
      <c r="A560" s="115"/>
      <c r="B560" s="139" t="s">
        <v>982</v>
      </c>
      <c r="C560" s="140" t="s">
        <v>983</v>
      </c>
      <c r="D560" s="141">
        <v>46002</v>
      </c>
      <c r="E560" s="141">
        <v>46032</v>
      </c>
      <c r="F560" s="57">
        <v>5437.95</v>
      </c>
      <c r="G560" s="58">
        <f t="shared" si="120"/>
        <v>10</v>
      </c>
      <c r="H560" s="142">
        <f t="shared" si="121"/>
        <v>0</v>
      </c>
      <c r="I560" s="142">
        <f t="shared" si="122"/>
        <v>0</v>
      </c>
      <c r="J560" s="143">
        <f t="shared" si="123"/>
        <v>0</v>
      </c>
      <c r="K560" s="143">
        <f t="shared" si="124"/>
        <v>0</v>
      </c>
      <c r="L560" s="142">
        <f t="shared" si="125"/>
        <v>0</v>
      </c>
      <c r="M560" s="142">
        <f t="shared" si="126"/>
        <v>0</v>
      </c>
      <c r="N560" s="142">
        <f t="shared" si="127"/>
        <v>0</v>
      </c>
      <c r="O560" s="59">
        <f t="shared" si="128"/>
        <v>0</v>
      </c>
      <c r="P560" s="142">
        <f t="shared" si="129"/>
        <v>5437.95</v>
      </c>
      <c r="Q560" s="142">
        <f t="shared" si="130"/>
        <v>0</v>
      </c>
      <c r="R560" s="142">
        <f t="shared" si="131"/>
        <v>0</v>
      </c>
      <c r="S560" s="142">
        <f t="shared" si="132"/>
        <v>0</v>
      </c>
      <c r="T560" s="142">
        <f t="shared" si="133"/>
        <v>0</v>
      </c>
      <c r="U560" s="60">
        <f t="shared" si="134"/>
        <v>5437.95</v>
      </c>
    </row>
    <row r="561" spans="1:21" x14ac:dyDescent="0.2">
      <c r="A561" s="115"/>
      <c r="B561" s="139" t="s">
        <v>982</v>
      </c>
      <c r="C561" s="140" t="s">
        <v>984</v>
      </c>
      <c r="D561" s="141">
        <v>46002</v>
      </c>
      <c r="E561" s="141">
        <v>46062</v>
      </c>
      <c r="F561" s="57">
        <v>90930</v>
      </c>
      <c r="G561" s="58">
        <f t="shared" si="120"/>
        <v>40</v>
      </c>
      <c r="H561" s="142">
        <f t="shared" si="121"/>
        <v>0</v>
      </c>
      <c r="I561" s="142">
        <f t="shared" si="122"/>
        <v>0</v>
      </c>
      <c r="J561" s="143">
        <f t="shared" si="123"/>
        <v>0</v>
      </c>
      <c r="K561" s="143">
        <f t="shared" si="124"/>
        <v>0</v>
      </c>
      <c r="L561" s="142">
        <f t="shared" si="125"/>
        <v>0</v>
      </c>
      <c r="M561" s="142">
        <f t="shared" si="126"/>
        <v>0</v>
      </c>
      <c r="N561" s="142">
        <f t="shared" si="127"/>
        <v>0</v>
      </c>
      <c r="O561" s="59">
        <f t="shared" si="128"/>
        <v>0</v>
      </c>
      <c r="P561" s="142">
        <f t="shared" si="129"/>
        <v>0</v>
      </c>
      <c r="Q561" s="142">
        <f t="shared" si="130"/>
        <v>90930</v>
      </c>
      <c r="R561" s="142">
        <f t="shared" si="131"/>
        <v>0</v>
      </c>
      <c r="S561" s="142">
        <f t="shared" si="132"/>
        <v>0</v>
      </c>
      <c r="T561" s="142">
        <f t="shared" si="133"/>
        <v>0</v>
      </c>
      <c r="U561" s="60">
        <f t="shared" si="134"/>
        <v>90930</v>
      </c>
    </row>
    <row r="562" spans="1:21" x14ac:dyDescent="0.2">
      <c r="A562" s="115"/>
      <c r="B562" s="139" t="s">
        <v>982</v>
      </c>
      <c r="C562" s="140" t="s">
        <v>985</v>
      </c>
      <c r="D562" s="141">
        <v>46002</v>
      </c>
      <c r="E562" s="141">
        <v>46062</v>
      </c>
      <c r="F562" s="57">
        <v>16576.349999999999</v>
      </c>
      <c r="G562" s="58">
        <f t="shared" si="120"/>
        <v>40</v>
      </c>
      <c r="H562" s="142">
        <f t="shared" si="121"/>
        <v>0</v>
      </c>
      <c r="I562" s="142">
        <f t="shared" si="122"/>
        <v>0</v>
      </c>
      <c r="J562" s="143">
        <f t="shared" si="123"/>
        <v>0</v>
      </c>
      <c r="K562" s="143">
        <f t="shared" si="124"/>
        <v>0</v>
      </c>
      <c r="L562" s="142">
        <f t="shared" si="125"/>
        <v>0</v>
      </c>
      <c r="M562" s="142">
        <f t="shared" si="126"/>
        <v>0</v>
      </c>
      <c r="N562" s="142">
        <f t="shared" si="127"/>
        <v>0</v>
      </c>
      <c r="O562" s="59">
        <f t="shared" si="128"/>
        <v>0</v>
      </c>
      <c r="P562" s="142">
        <f t="shared" si="129"/>
        <v>0</v>
      </c>
      <c r="Q562" s="142">
        <f t="shared" si="130"/>
        <v>16576.349999999999</v>
      </c>
      <c r="R562" s="142">
        <f t="shared" si="131"/>
        <v>0</v>
      </c>
      <c r="S562" s="142">
        <f t="shared" si="132"/>
        <v>0</v>
      </c>
      <c r="T562" s="142">
        <f t="shared" si="133"/>
        <v>0</v>
      </c>
      <c r="U562" s="60">
        <f t="shared" si="134"/>
        <v>16576.349999999999</v>
      </c>
    </row>
    <row r="563" spans="1:21" x14ac:dyDescent="0.2">
      <c r="A563" s="115"/>
      <c r="B563" s="139" t="s">
        <v>982</v>
      </c>
      <c r="C563" s="140" t="s">
        <v>986</v>
      </c>
      <c r="D563" s="141">
        <v>46002</v>
      </c>
      <c r="E563" s="141">
        <v>46062</v>
      </c>
      <c r="F563" s="57">
        <v>16626.349999999999</v>
      </c>
      <c r="G563" s="58">
        <f t="shared" si="120"/>
        <v>40</v>
      </c>
      <c r="H563" s="142">
        <f t="shared" si="121"/>
        <v>0</v>
      </c>
      <c r="I563" s="142">
        <f t="shared" si="122"/>
        <v>0</v>
      </c>
      <c r="J563" s="143">
        <f t="shared" si="123"/>
        <v>0</v>
      </c>
      <c r="K563" s="143">
        <f t="shared" si="124"/>
        <v>0</v>
      </c>
      <c r="L563" s="142">
        <f t="shared" si="125"/>
        <v>0</v>
      </c>
      <c r="M563" s="142">
        <f t="shared" si="126"/>
        <v>0</v>
      </c>
      <c r="N563" s="142">
        <f t="shared" si="127"/>
        <v>0</v>
      </c>
      <c r="O563" s="59">
        <f t="shared" si="128"/>
        <v>0</v>
      </c>
      <c r="P563" s="142">
        <f t="shared" si="129"/>
        <v>0</v>
      </c>
      <c r="Q563" s="142">
        <f t="shared" si="130"/>
        <v>16626.349999999999</v>
      </c>
      <c r="R563" s="142">
        <f t="shared" si="131"/>
        <v>0</v>
      </c>
      <c r="S563" s="142">
        <f t="shared" si="132"/>
        <v>0</v>
      </c>
      <c r="T563" s="142">
        <f t="shared" si="133"/>
        <v>0</v>
      </c>
      <c r="U563" s="60">
        <f t="shared" si="134"/>
        <v>16626.349999999999</v>
      </c>
    </row>
    <row r="564" spans="1:21" x14ac:dyDescent="0.2">
      <c r="A564" s="115"/>
      <c r="B564" s="139" t="s">
        <v>982</v>
      </c>
      <c r="C564" s="140" t="s">
        <v>984</v>
      </c>
      <c r="D564" s="141">
        <v>46002</v>
      </c>
      <c r="E564" s="141">
        <v>46092</v>
      </c>
      <c r="F564" s="57">
        <v>90930</v>
      </c>
      <c r="G564" s="58">
        <f t="shared" si="120"/>
        <v>70</v>
      </c>
      <c r="H564" s="142">
        <f t="shared" si="121"/>
        <v>0</v>
      </c>
      <c r="I564" s="142">
        <f t="shared" si="122"/>
        <v>0</v>
      </c>
      <c r="J564" s="143">
        <f t="shared" si="123"/>
        <v>0</v>
      </c>
      <c r="K564" s="143">
        <f t="shared" si="124"/>
        <v>0</v>
      </c>
      <c r="L564" s="142">
        <f t="shared" si="125"/>
        <v>0</v>
      </c>
      <c r="M564" s="142">
        <f t="shared" si="126"/>
        <v>0</v>
      </c>
      <c r="N564" s="142">
        <f t="shared" si="127"/>
        <v>0</v>
      </c>
      <c r="O564" s="59">
        <f t="shared" si="128"/>
        <v>0</v>
      </c>
      <c r="P564" s="142">
        <f t="shared" si="129"/>
        <v>0</v>
      </c>
      <c r="Q564" s="142">
        <f t="shared" si="130"/>
        <v>0</v>
      </c>
      <c r="R564" s="142">
        <f t="shared" si="131"/>
        <v>90930</v>
      </c>
      <c r="S564" s="142">
        <f t="shared" si="132"/>
        <v>0</v>
      </c>
      <c r="T564" s="142">
        <f t="shared" si="133"/>
        <v>0</v>
      </c>
      <c r="U564" s="60">
        <f t="shared" si="134"/>
        <v>90930</v>
      </c>
    </row>
    <row r="565" spans="1:21" x14ac:dyDescent="0.2">
      <c r="A565" s="115"/>
      <c r="B565" s="139" t="s">
        <v>982</v>
      </c>
      <c r="C565" s="140" t="s">
        <v>985</v>
      </c>
      <c r="D565" s="141">
        <v>46002</v>
      </c>
      <c r="E565" s="141">
        <v>46092</v>
      </c>
      <c r="F565" s="57">
        <v>16576.349999999999</v>
      </c>
      <c r="G565" s="58">
        <f t="shared" si="120"/>
        <v>70</v>
      </c>
      <c r="H565" s="142">
        <f t="shared" si="121"/>
        <v>0</v>
      </c>
      <c r="I565" s="142">
        <f t="shared" si="122"/>
        <v>0</v>
      </c>
      <c r="J565" s="143">
        <f t="shared" si="123"/>
        <v>0</v>
      </c>
      <c r="K565" s="143">
        <f t="shared" si="124"/>
        <v>0</v>
      </c>
      <c r="L565" s="142">
        <f t="shared" si="125"/>
        <v>0</v>
      </c>
      <c r="M565" s="142">
        <f t="shared" si="126"/>
        <v>0</v>
      </c>
      <c r="N565" s="142">
        <f t="shared" si="127"/>
        <v>0</v>
      </c>
      <c r="O565" s="59">
        <f t="shared" si="128"/>
        <v>0</v>
      </c>
      <c r="P565" s="142">
        <f t="shared" si="129"/>
        <v>0</v>
      </c>
      <c r="Q565" s="142">
        <f t="shared" si="130"/>
        <v>0</v>
      </c>
      <c r="R565" s="142">
        <f t="shared" si="131"/>
        <v>16576.349999999999</v>
      </c>
      <c r="S565" s="142">
        <f t="shared" si="132"/>
        <v>0</v>
      </c>
      <c r="T565" s="142">
        <f t="shared" si="133"/>
        <v>0</v>
      </c>
      <c r="U565" s="60">
        <f t="shared" si="134"/>
        <v>16576.349999999999</v>
      </c>
    </row>
    <row r="566" spans="1:21" x14ac:dyDescent="0.2">
      <c r="A566" s="115"/>
      <c r="B566" s="139" t="s">
        <v>982</v>
      </c>
      <c r="C566" s="140" t="s">
        <v>986</v>
      </c>
      <c r="D566" s="141">
        <v>46002</v>
      </c>
      <c r="E566" s="141">
        <v>46092</v>
      </c>
      <c r="F566" s="57">
        <v>16626.349999999999</v>
      </c>
      <c r="G566" s="58">
        <f t="shared" si="120"/>
        <v>70</v>
      </c>
      <c r="H566" s="142">
        <f t="shared" si="121"/>
        <v>0</v>
      </c>
      <c r="I566" s="142">
        <f t="shared" si="122"/>
        <v>0</v>
      </c>
      <c r="J566" s="143">
        <f t="shared" si="123"/>
        <v>0</v>
      </c>
      <c r="K566" s="143">
        <f t="shared" si="124"/>
        <v>0</v>
      </c>
      <c r="L566" s="142">
        <f t="shared" si="125"/>
        <v>0</v>
      </c>
      <c r="M566" s="142">
        <f t="shared" si="126"/>
        <v>0</v>
      </c>
      <c r="N566" s="142">
        <f t="shared" si="127"/>
        <v>0</v>
      </c>
      <c r="O566" s="59">
        <f t="shared" si="128"/>
        <v>0</v>
      </c>
      <c r="P566" s="142">
        <f t="shared" si="129"/>
        <v>0</v>
      </c>
      <c r="Q566" s="142">
        <f t="shared" si="130"/>
        <v>0</v>
      </c>
      <c r="R566" s="142">
        <f t="shared" si="131"/>
        <v>16626.349999999999</v>
      </c>
      <c r="S566" s="142">
        <f t="shared" si="132"/>
        <v>0</v>
      </c>
      <c r="T566" s="142">
        <f t="shared" si="133"/>
        <v>0</v>
      </c>
      <c r="U566" s="60">
        <f t="shared" si="134"/>
        <v>16626.349999999999</v>
      </c>
    </row>
    <row r="567" spans="1:21" x14ac:dyDescent="0.2">
      <c r="A567" s="115"/>
      <c r="B567" s="139" t="s">
        <v>363</v>
      </c>
      <c r="C567" s="140" t="s">
        <v>441</v>
      </c>
      <c r="D567" s="141">
        <v>45826</v>
      </c>
      <c r="E567" s="141">
        <v>45916</v>
      </c>
      <c r="F567" s="57">
        <v>6000</v>
      </c>
      <c r="G567" s="58">
        <f t="shared" si="120"/>
        <v>-106</v>
      </c>
      <c r="H567" s="142">
        <f t="shared" si="121"/>
        <v>0</v>
      </c>
      <c r="I567" s="142">
        <f t="shared" si="122"/>
        <v>0</v>
      </c>
      <c r="J567" s="143">
        <f t="shared" si="123"/>
        <v>0</v>
      </c>
      <c r="K567" s="143">
        <f t="shared" si="124"/>
        <v>6000</v>
      </c>
      <c r="L567" s="142">
        <f t="shared" si="125"/>
        <v>0</v>
      </c>
      <c r="M567" s="142">
        <f t="shared" si="126"/>
        <v>0</v>
      </c>
      <c r="N567" s="142">
        <f t="shared" si="127"/>
        <v>0</v>
      </c>
      <c r="O567" s="59">
        <f t="shared" si="128"/>
        <v>6000</v>
      </c>
      <c r="P567" s="142">
        <f t="shared" si="129"/>
        <v>0</v>
      </c>
      <c r="Q567" s="142">
        <f t="shared" si="130"/>
        <v>0</v>
      </c>
      <c r="R567" s="142">
        <f t="shared" si="131"/>
        <v>0</v>
      </c>
      <c r="S567" s="142">
        <f t="shared" si="132"/>
        <v>0</v>
      </c>
      <c r="T567" s="142">
        <f t="shared" si="133"/>
        <v>0</v>
      </c>
      <c r="U567" s="60">
        <f t="shared" si="134"/>
        <v>0</v>
      </c>
    </row>
    <row r="568" spans="1:21" x14ac:dyDescent="0.2">
      <c r="A568" s="115"/>
      <c r="B568" s="139" t="s">
        <v>363</v>
      </c>
      <c r="C568" s="140" t="s">
        <v>442</v>
      </c>
      <c r="D568" s="141">
        <v>45826</v>
      </c>
      <c r="E568" s="141">
        <v>45916</v>
      </c>
      <c r="F568" s="57">
        <v>5910</v>
      </c>
      <c r="G568" s="58">
        <f t="shared" si="120"/>
        <v>-106</v>
      </c>
      <c r="H568" s="142">
        <f t="shared" si="121"/>
        <v>0</v>
      </c>
      <c r="I568" s="142">
        <f t="shared" si="122"/>
        <v>0</v>
      </c>
      <c r="J568" s="143">
        <f t="shared" si="123"/>
        <v>0</v>
      </c>
      <c r="K568" s="143">
        <f t="shared" si="124"/>
        <v>5910</v>
      </c>
      <c r="L568" s="142">
        <f t="shared" si="125"/>
        <v>0</v>
      </c>
      <c r="M568" s="142">
        <f t="shared" si="126"/>
        <v>0</v>
      </c>
      <c r="N568" s="142">
        <f t="shared" si="127"/>
        <v>0</v>
      </c>
      <c r="O568" s="59">
        <f t="shared" si="128"/>
        <v>5910</v>
      </c>
      <c r="P568" s="142">
        <f t="shared" si="129"/>
        <v>0</v>
      </c>
      <c r="Q568" s="142">
        <f t="shared" si="130"/>
        <v>0</v>
      </c>
      <c r="R568" s="142">
        <f t="shared" si="131"/>
        <v>0</v>
      </c>
      <c r="S568" s="142">
        <f t="shared" si="132"/>
        <v>0</v>
      </c>
      <c r="T568" s="142">
        <f t="shared" si="133"/>
        <v>0</v>
      </c>
      <c r="U568" s="60">
        <f t="shared" si="134"/>
        <v>0</v>
      </c>
    </row>
    <row r="569" spans="1:21" x14ac:dyDescent="0.2">
      <c r="A569" s="115"/>
      <c r="B569" s="139" t="s">
        <v>363</v>
      </c>
      <c r="C569" s="140" t="s">
        <v>443</v>
      </c>
      <c r="D569" s="141">
        <v>45826</v>
      </c>
      <c r="E569" s="141">
        <v>45916</v>
      </c>
      <c r="F569" s="57">
        <v>300</v>
      </c>
      <c r="G569" s="58">
        <f t="shared" si="120"/>
        <v>-106</v>
      </c>
      <c r="H569" s="142">
        <f t="shared" si="121"/>
        <v>0</v>
      </c>
      <c r="I569" s="142">
        <f t="shared" si="122"/>
        <v>0</v>
      </c>
      <c r="J569" s="143">
        <f t="shared" si="123"/>
        <v>0</v>
      </c>
      <c r="K569" s="143">
        <f t="shared" si="124"/>
        <v>300</v>
      </c>
      <c r="L569" s="142">
        <f t="shared" si="125"/>
        <v>0</v>
      </c>
      <c r="M569" s="142">
        <f t="shared" si="126"/>
        <v>0</v>
      </c>
      <c r="N569" s="142">
        <f t="shared" si="127"/>
        <v>0</v>
      </c>
      <c r="O569" s="59">
        <f t="shared" si="128"/>
        <v>300</v>
      </c>
      <c r="P569" s="142">
        <f t="shared" si="129"/>
        <v>0</v>
      </c>
      <c r="Q569" s="142">
        <f t="shared" si="130"/>
        <v>0</v>
      </c>
      <c r="R569" s="142">
        <f t="shared" si="131"/>
        <v>0</v>
      </c>
      <c r="S569" s="142">
        <f t="shared" si="132"/>
        <v>0</v>
      </c>
      <c r="T569" s="142">
        <f t="shared" si="133"/>
        <v>0</v>
      </c>
      <c r="U569" s="60">
        <f t="shared" si="134"/>
        <v>0</v>
      </c>
    </row>
    <row r="570" spans="1:21" x14ac:dyDescent="0.2">
      <c r="A570" s="115"/>
      <c r="B570" s="139" t="s">
        <v>363</v>
      </c>
      <c r="C570" s="140" t="s">
        <v>444</v>
      </c>
      <c r="D570" s="141">
        <v>45826</v>
      </c>
      <c r="E570" s="141">
        <v>45916</v>
      </c>
      <c r="F570" s="57">
        <v>4100</v>
      </c>
      <c r="G570" s="58">
        <f t="shared" si="120"/>
        <v>-106</v>
      </c>
      <c r="H570" s="142">
        <f t="shared" si="121"/>
        <v>0</v>
      </c>
      <c r="I570" s="142">
        <f t="shared" si="122"/>
        <v>0</v>
      </c>
      <c r="J570" s="143">
        <f t="shared" si="123"/>
        <v>0</v>
      </c>
      <c r="K570" s="143">
        <f t="shared" si="124"/>
        <v>4100</v>
      </c>
      <c r="L570" s="142">
        <f t="shared" si="125"/>
        <v>0</v>
      </c>
      <c r="M570" s="142">
        <f t="shared" si="126"/>
        <v>0</v>
      </c>
      <c r="N570" s="142">
        <f t="shared" si="127"/>
        <v>0</v>
      </c>
      <c r="O570" s="59">
        <f t="shared" si="128"/>
        <v>4100</v>
      </c>
      <c r="P570" s="142">
        <f t="shared" si="129"/>
        <v>0</v>
      </c>
      <c r="Q570" s="142">
        <f t="shared" si="130"/>
        <v>0</v>
      </c>
      <c r="R570" s="142">
        <f t="shared" si="131"/>
        <v>0</v>
      </c>
      <c r="S570" s="142">
        <f t="shared" si="132"/>
        <v>0</v>
      </c>
      <c r="T570" s="142">
        <f t="shared" si="133"/>
        <v>0</v>
      </c>
      <c r="U570" s="60">
        <f t="shared" si="134"/>
        <v>0</v>
      </c>
    </row>
    <row r="571" spans="1:21" x14ac:dyDescent="0.2">
      <c r="A571" s="115"/>
      <c r="B571" s="139" t="s">
        <v>363</v>
      </c>
      <c r="C571" s="140" t="s">
        <v>445</v>
      </c>
      <c r="D571" s="141">
        <v>45826</v>
      </c>
      <c r="E571" s="141">
        <v>45916</v>
      </c>
      <c r="F571" s="57">
        <v>4100</v>
      </c>
      <c r="G571" s="58">
        <f t="shared" si="120"/>
        <v>-106</v>
      </c>
      <c r="H571" s="142">
        <f t="shared" si="121"/>
        <v>0</v>
      </c>
      <c r="I571" s="142">
        <f t="shared" si="122"/>
        <v>0</v>
      </c>
      <c r="J571" s="143">
        <f t="shared" si="123"/>
        <v>0</v>
      </c>
      <c r="K571" s="143">
        <f t="shared" si="124"/>
        <v>4100</v>
      </c>
      <c r="L571" s="142">
        <f t="shared" si="125"/>
        <v>0</v>
      </c>
      <c r="M571" s="142">
        <f t="shared" si="126"/>
        <v>0</v>
      </c>
      <c r="N571" s="142">
        <f t="shared" si="127"/>
        <v>0</v>
      </c>
      <c r="O571" s="59">
        <f t="shared" si="128"/>
        <v>4100</v>
      </c>
      <c r="P571" s="142">
        <f t="shared" si="129"/>
        <v>0</v>
      </c>
      <c r="Q571" s="142">
        <f t="shared" si="130"/>
        <v>0</v>
      </c>
      <c r="R571" s="142">
        <f t="shared" si="131"/>
        <v>0</v>
      </c>
      <c r="S571" s="142">
        <f t="shared" si="132"/>
        <v>0</v>
      </c>
      <c r="T571" s="142">
        <f t="shared" si="133"/>
        <v>0</v>
      </c>
      <c r="U571" s="60">
        <f t="shared" si="134"/>
        <v>0</v>
      </c>
    </row>
    <row r="572" spans="1:21" x14ac:dyDescent="0.2">
      <c r="A572" s="115"/>
      <c r="B572" s="139" t="s">
        <v>363</v>
      </c>
      <c r="C572" s="140" t="s">
        <v>446</v>
      </c>
      <c r="D572" s="141">
        <v>45826</v>
      </c>
      <c r="E572" s="141">
        <v>45916</v>
      </c>
      <c r="F572" s="57">
        <v>300</v>
      </c>
      <c r="G572" s="58">
        <f t="shared" si="120"/>
        <v>-106</v>
      </c>
      <c r="H572" s="142">
        <f t="shared" si="121"/>
        <v>0</v>
      </c>
      <c r="I572" s="142">
        <f t="shared" si="122"/>
        <v>0</v>
      </c>
      <c r="J572" s="143">
        <f t="shared" si="123"/>
        <v>0</v>
      </c>
      <c r="K572" s="143">
        <f t="shared" si="124"/>
        <v>300</v>
      </c>
      <c r="L572" s="142">
        <f t="shared" si="125"/>
        <v>0</v>
      </c>
      <c r="M572" s="142">
        <f t="shared" si="126"/>
        <v>0</v>
      </c>
      <c r="N572" s="142">
        <f t="shared" si="127"/>
        <v>0</v>
      </c>
      <c r="O572" s="59">
        <f t="shared" si="128"/>
        <v>300</v>
      </c>
      <c r="P572" s="142">
        <f t="shared" si="129"/>
        <v>0</v>
      </c>
      <c r="Q572" s="142">
        <f t="shared" si="130"/>
        <v>0</v>
      </c>
      <c r="R572" s="142">
        <f t="shared" si="131"/>
        <v>0</v>
      </c>
      <c r="S572" s="142">
        <f t="shared" si="132"/>
        <v>0</v>
      </c>
      <c r="T572" s="142">
        <f t="shared" si="133"/>
        <v>0</v>
      </c>
      <c r="U572" s="60">
        <f t="shared" si="134"/>
        <v>0</v>
      </c>
    </row>
    <row r="573" spans="1:21" x14ac:dyDescent="0.2">
      <c r="A573" s="115"/>
      <c r="B573" s="139" t="s">
        <v>363</v>
      </c>
      <c r="C573" s="140" t="s">
        <v>447</v>
      </c>
      <c r="D573" s="141">
        <v>45826</v>
      </c>
      <c r="E573" s="141">
        <v>45916</v>
      </c>
      <c r="F573" s="57">
        <v>4100</v>
      </c>
      <c r="G573" s="58">
        <f t="shared" si="120"/>
        <v>-106</v>
      </c>
      <c r="H573" s="142">
        <f t="shared" si="121"/>
        <v>0</v>
      </c>
      <c r="I573" s="142">
        <f t="shared" si="122"/>
        <v>0</v>
      </c>
      <c r="J573" s="143">
        <f t="shared" si="123"/>
        <v>0</v>
      </c>
      <c r="K573" s="143">
        <f t="shared" si="124"/>
        <v>4100</v>
      </c>
      <c r="L573" s="142">
        <f t="shared" si="125"/>
        <v>0</v>
      </c>
      <c r="M573" s="142">
        <f t="shared" si="126"/>
        <v>0</v>
      </c>
      <c r="N573" s="142">
        <f t="shared" si="127"/>
        <v>0</v>
      </c>
      <c r="O573" s="59">
        <f t="shared" si="128"/>
        <v>4100</v>
      </c>
      <c r="P573" s="142">
        <f t="shared" si="129"/>
        <v>0</v>
      </c>
      <c r="Q573" s="142">
        <f t="shared" si="130"/>
        <v>0</v>
      </c>
      <c r="R573" s="142">
        <f t="shared" si="131"/>
        <v>0</v>
      </c>
      <c r="S573" s="142">
        <f t="shared" si="132"/>
        <v>0</v>
      </c>
      <c r="T573" s="142">
        <f t="shared" si="133"/>
        <v>0</v>
      </c>
      <c r="U573" s="60">
        <f t="shared" si="134"/>
        <v>0</v>
      </c>
    </row>
    <row r="574" spans="1:21" x14ac:dyDescent="0.2">
      <c r="A574" s="115"/>
      <c r="B574" s="139" t="s">
        <v>363</v>
      </c>
      <c r="C574" s="140" t="s">
        <v>448</v>
      </c>
      <c r="D574" s="141">
        <v>45826</v>
      </c>
      <c r="E574" s="141">
        <v>45916</v>
      </c>
      <c r="F574" s="57">
        <v>4100</v>
      </c>
      <c r="G574" s="58">
        <f t="shared" si="120"/>
        <v>-106</v>
      </c>
      <c r="H574" s="142">
        <f t="shared" si="121"/>
        <v>0</v>
      </c>
      <c r="I574" s="142">
        <f t="shared" si="122"/>
        <v>0</v>
      </c>
      <c r="J574" s="143">
        <f t="shared" si="123"/>
        <v>0</v>
      </c>
      <c r="K574" s="143">
        <f t="shared" si="124"/>
        <v>4100</v>
      </c>
      <c r="L574" s="142">
        <f t="shared" si="125"/>
        <v>0</v>
      </c>
      <c r="M574" s="142">
        <f t="shared" si="126"/>
        <v>0</v>
      </c>
      <c r="N574" s="142">
        <f t="shared" si="127"/>
        <v>0</v>
      </c>
      <c r="O574" s="59">
        <f t="shared" si="128"/>
        <v>4100</v>
      </c>
      <c r="P574" s="142">
        <f t="shared" si="129"/>
        <v>0</v>
      </c>
      <c r="Q574" s="142">
        <f t="shared" si="130"/>
        <v>0</v>
      </c>
      <c r="R574" s="142">
        <f t="shared" si="131"/>
        <v>0</v>
      </c>
      <c r="S574" s="142">
        <f t="shared" si="132"/>
        <v>0</v>
      </c>
      <c r="T574" s="142">
        <f t="shared" si="133"/>
        <v>0</v>
      </c>
      <c r="U574" s="60">
        <f t="shared" si="134"/>
        <v>0</v>
      </c>
    </row>
    <row r="575" spans="1:21" x14ac:dyDescent="0.2">
      <c r="A575" s="115"/>
      <c r="B575" s="139" t="s">
        <v>363</v>
      </c>
      <c r="C575" s="140" t="s">
        <v>449</v>
      </c>
      <c r="D575" s="141">
        <v>45826</v>
      </c>
      <c r="E575" s="141">
        <v>45916</v>
      </c>
      <c r="F575" s="57">
        <v>300</v>
      </c>
      <c r="G575" s="58">
        <f t="shared" si="120"/>
        <v>-106</v>
      </c>
      <c r="H575" s="142">
        <f t="shared" si="121"/>
        <v>0</v>
      </c>
      <c r="I575" s="142">
        <f t="shared" si="122"/>
        <v>0</v>
      </c>
      <c r="J575" s="143">
        <f t="shared" si="123"/>
        <v>0</v>
      </c>
      <c r="K575" s="143">
        <f t="shared" si="124"/>
        <v>300</v>
      </c>
      <c r="L575" s="142">
        <f t="shared" si="125"/>
        <v>0</v>
      </c>
      <c r="M575" s="142">
        <f t="shared" si="126"/>
        <v>0</v>
      </c>
      <c r="N575" s="142">
        <f t="shared" si="127"/>
        <v>0</v>
      </c>
      <c r="O575" s="59">
        <f t="shared" si="128"/>
        <v>300</v>
      </c>
      <c r="P575" s="142">
        <f t="shared" si="129"/>
        <v>0</v>
      </c>
      <c r="Q575" s="142">
        <f t="shared" si="130"/>
        <v>0</v>
      </c>
      <c r="R575" s="142">
        <f t="shared" si="131"/>
        <v>0</v>
      </c>
      <c r="S575" s="142">
        <f t="shared" si="132"/>
        <v>0</v>
      </c>
      <c r="T575" s="142">
        <f t="shared" si="133"/>
        <v>0</v>
      </c>
      <c r="U575" s="60">
        <f t="shared" si="134"/>
        <v>0</v>
      </c>
    </row>
    <row r="576" spans="1:21" x14ac:dyDescent="0.2">
      <c r="A576" s="115"/>
      <c r="B576" s="139" t="s">
        <v>363</v>
      </c>
      <c r="C576" s="140" t="s">
        <v>450</v>
      </c>
      <c r="D576" s="141">
        <v>45833</v>
      </c>
      <c r="E576" s="141">
        <v>45923</v>
      </c>
      <c r="F576" s="57">
        <v>4100</v>
      </c>
      <c r="G576" s="58">
        <f t="shared" si="120"/>
        <v>-99</v>
      </c>
      <c r="H576" s="142">
        <f t="shared" si="121"/>
        <v>0</v>
      </c>
      <c r="I576" s="142">
        <f t="shared" si="122"/>
        <v>0</v>
      </c>
      <c r="J576" s="143">
        <f t="shared" si="123"/>
        <v>0</v>
      </c>
      <c r="K576" s="143">
        <f t="shared" si="124"/>
        <v>4100</v>
      </c>
      <c r="L576" s="142">
        <f t="shared" si="125"/>
        <v>0</v>
      </c>
      <c r="M576" s="142">
        <f t="shared" si="126"/>
        <v>0</v>
      </c>
      <c r="N576" s="142">
        <f t="shared" si="127"/>
        <v>0</v>
      </c>
      <c r="O576" s="59">
        <f t="shared" si="128"/>
        <v>4100</v>
      </c>
      <c r="P576" s="142">
        <f t="shared" si="129"/>
        <v>0</v>
      </c>
      <c r="Q576" s="142">
        <f t="shared" si="130"/>
        <v>0</v>
      </c>
      <c r="R576" s="142">
        <f t="shared" si="131"/>
        <v>0</v>
      </c>
      <c r="S576" s="142">
        <f t="shared" si="132"/>
        <v>0</v>
      </c>
      <c r="T576" s="142">
        <f t="shared" si="133"/>
        <v>0</v>
      </c>
      <c r="U576" s="60">
        <f t="shared" si="134"/>
        <v>0</v>
      </c>
    </row>
    <row r="577" spans="1:21" x14ac:dyDescent="0.2">
      <c r="A577" s="115"/>
      <c r="B577" s="139" t="s">
        <v>363</v>
      </c>
      <c r="C577" s="140" t="s">
        <v>451</v>
      </c>
      <c r="D577" s="141">
        <v>45833</v>
      </c>
      <c r="E577" s="141">
        <v>45923</v>
      </c>
      <c r="F577" s="57">
        <v>4100</v>
      </c>
      <c r="G577" s="58">
        <f t="shared" si="120"/>
        <v>-99</v>
      </c>
      <c r="H577" s="142">
        <f t="shared" si="121"/>
        <v>0</v>
      </c>
      <c r="I577" s="142">
        <f t="shared" si="122"/>
        <v>0</v>
      </c>
      <c r="J577" s="143">
        <f t="shared" si="123"/>
        <v>0</v>
      </c>
      <c r="K577" s="143">
        <f t="shared" si="124"/>
        <v>4100</v>
      </c>
      <c r="L577" s="142">
        <f t="shared" si="125"/>
        <v>0</v>
      </c>
      <c r="M577" s="142">
        <f t="shared" si="126"/>
        <v>0</v>
      </c>
      <c r="N577" s="142">
        <f t="shared" si="127"/>
        <v>0</v>
      </c>
      <c r="O577" s="59">
        <f t="shared" si="128"/>
        <v>4100</v>
      </c>
      <c r="P577" s="142">
        <f t="shared" si="129"/>
        <v>0</v>
      </c>
      <c r="Q577" s="142">
        <f t="shared" si="130"/>
        <v>0</v>
      </c>
      <c r="R577" s="142">
        <f t="shared" si="131"/>
        <v>0</v>
      </c>
      <c r="S577" s="142">
        <f t="shared" si="132"/>
        <v>0</v>
      </c>
      <c r="T577" s="142">
        <f t="shared" si="133"/>
        <v>0</v>
      </c>
      <c r="U577" s="60">
        <f t="shared" si="134"/>
        <v>0</v>
      </c>
    </row>
    <row r="578" spans="1:21" x14ac:dyDescent="0.2">
      <c r="A578" s="115"/>
      <c r="B578" s="139" t="s">
        <v>363</v>
      </c>
      <c r="C578" s="140" t="s">
        <v>452</v>
      </c>
      <c r="D578" s="141">
        <v>45833</v>
      </c>
      <c r="E578" s="141">
        <v>45923</v>
      </c>
      <c r="F578" s="57">
        <v>4100</v>
      </c>
      <c r="G578" s="58">
        <f t="shared" si="120"/>
        <v>-99</v>
      </c>
      <c r="H578" s="142">
        <f t="shared" si="121"/>
        <v>0</v>
      </c>
      <c r="I578" s="142">
        <f t="shared" si="122"/>
        <v>0</v>
      </c>
      <c r="J578" s="143">
        <f t="shared" si="123"/>
        <v>0</v>
      </c>
      <c r="K578" s="143">
        <f t="shared" si="124"/>
        <v>4100</v>
      </c>
      <c r="L578" s="142">
        <f t="shared" si="125"/>
        <v>0</v>
      </c>
      <c r="M578" s="142">
        <f t="shared" si="126"/>
        <v>0</v>
      </c>
      <c r="N578" s="142">
        <f t="shared" si="127"/>
        <v>0</v>
      </c>
      <c r="O578" s="59">
        <f t="shared" si="128"/>
        <v>4100</v>
      </c>
      <c r="P578" s="142">
        <f t="shared" si="129"/>
        <v>0</v>
      </c>
      <c r="Q578" s="142">
        <f t="shared" si="130"/>
        <v>0</v>
      </c>
      <c r="R578" s="142">
        <f t="shared" si="131"/>
        <v>0</v>
      </c>
      <c r="S578" s="142">
        <f t="shared" si="132"/>
        <v>0</v>
      </c>
      <c r="T578" s="142">
        <f t="shared" si="133"/>
        <v>0</v>
      </c>
      <c r="U578" s="60">
        <f t="shared" si="134"/>
        <v>0</v>
      </c>
    </row>
    <row r="579" spans="1:21" x14ac:dyDescent="0.2">
      <c r="A579" s="115"/>
      <c r="B579" s="139" t="s">
        <v>363</v>
      </c>
      <c r="C579" s="140" t="s">
        <v>453</v>
      </c>
      <c r="D579" s="141">
        <v>45833</v>
      </c>
      <c r="E579" s="141">
        <v>45923</v>
      </c>
      <c r="F579" s="57">
        <v>4100</v>
      </c>
      <c r="G579" s="58">
        <f t="shared" si="120"/>
        <v>-99</v>
      </c>
      <c r="H579" s="142">
        <f t="shared" si="121"/>
        <v>0</v>
      </c>
      <c r="I579" s="142">
        <f t="shared" si="122"/>
        <v>0</v>
      </c>
      <c r="J579" s="143">
        <f t="shared" si="123"/>
        <v>0</v>
      </c>
      <c r="K579" s="143">
        <f t="shared" si="124"/>
        <v>4100</v>
      </c>
      <c r="L579" s="142">
        <f t="shared" si="125"/>
        <v>0</v>
      </c>
      <c r="M579" s="142">
        <f t="shared" si="126"/>
        <v>0</v>
      </c>
      <c r="N579" s="142">
        <f t="shared" si="127"/>
        <v>0</v>
      </c>
      <c r="O579" s="59">
        <f t="shared" si="128"/>
        <v>4100</v>
      </c>
      <c r="P579" s="142">
        <f t="shared" si="129"/>
        <v>0</v>
      </c>
      <c r="Q579" s="142">
        <f t="shared" si="130"/>
        <v>0</v>
      </c>
      <c r="R579" s="142">
        <f t="shared" si="131"/>
        <v>0</v>
      </c>
      <c r="S579" s="142">
        <f t="shared" si="132"/>
        <v>0</v>
      </c>
      <c r="T579" s="142">
        <f t="shared" si="133"/>
        <v>0</v>
      </c>
      <c r="U579" s="60">
        <f t="shared" si="134"/>
        <v>0</v>
      </c>
    </row>
    <row r="580" spans="1:21" x14ac:dyDescent="0.2">
      <c r="A580" s="115"/>
      <c r="B580" s="139" t="s">
        <v>363</v>
      </c>
      <c r="C580" s="140" t="s">
        <v>454</v>
      </c>
      <c r="D580" s="141">
        <v>45833</v>
      </c>
      <c r="E580" s="141">
        <v>45923</v>
      </c>
      <c r="F580" s="57">
        <v>4100</v>
      </c>
      <c r="G580" s="58">
        <f t="shared" si="120"/>
        <v>-99</v>
      </c>
      <c r="H580" s="142">
        <f t="shared" si="121"/>
        <v>0</v>
      </c>
      <c r="I580" s="142">
        <f t="shared" si="122"/>
        <v>0</v>
      </c>
      <c r="J580" s="143">
        <f t="shared" si="123"/>
        <v>0</v>
      </c>
      <c r="K580" s="143">
        <f t="shared" si="124"/>
        <v>4100</v>
      </c>
      <c r="L580" s="142">
        <f t="shared" si="125"/>
        <v>0</v>
      </c>
      <c r="M580" s="142">
        <f t="shared" si="126"/>
        <v>0</v>
      </c>
      <c r="N580" s="142">
        <f t="shared" si="127"/>
        <v>0</v>
      </c>
      <c r="O580" s="59">
        <f t="shared" si="128"/>
        <v>4100</v>
      </c>
      <c r="P580" s="142">
        <f t="shared" si="129"/>
        <v>0</v>
      </c>
      <c r="Q580" s="142">
        <f t="shared" si="130"/>
        <v>0</v>
      </c>
      <c r="R580" s="142">
        <f t="shared" si="131"/>
        <v>0</v>
      </c>
      <c r="S580" s="142">
        <f t="shared" si="132"/>
        <v>0</v>
      </c>
      <c r="T580" s="142">
        <f t="shared" si="133"/>
        <v>0</v>
      </c>
      <c r="U580" s="60">
        <f t="shared" si="134"/>
        <v>0</v>
      </c>
    </row>
    <row r="581" spans="1:21" x14ac:dyDescent="0.2">
      <c r="A581" s="115"/>
      <c r="B581" s="139" t="s">
        <v>363</v>
      </c>
      <c r="C581" s="140" t="s">
        <v>530</v>
      </c>
      <c r="D581" s="141">
        <v>45841</v>
      </c>
      <c r="E581" s="141">
        <v>45931</v>
      </c>
      <c r="F581" s="57">
        <v>10380</v>
      </c>
      <c r="G581" s="58">
        <f t="shared" si="120"/>
        <v>-91</v>
      </c>
      <c r="H581" s="142">
        <f t="shared" si="121"/>
        <v>0</v>
      </c>
      <c r="I581" s="142">
        <f t="shared" si="122"/>
        <v>0</v>
      </c>
      <c r="J581" s="143">
        <f t="shared" si="123"/>
        <v>0</v>
      </c>
      <c r="K581" s="143">
        <f t="shared" si="124"/>
        <v>10380</v>
      </c>
      <c r="L581" s="142">
        <f t="shared" si="125"/>
        <v>0</v>
      </c>
      <c r="M581" s="142">
        <f t="shared" si="126"/>
        <v>0</v>
      </c>
      <c r="N581" s="142">
        <f t="shared" si="127"/>
        <v>0</v>
      </c>
      <c r="O581" s="59">
        <f t="shared" si="128"/>
        <v>10380</v>
      </c>
      <c r="P581" s="142">
        <f t="shared" si="129"/>
        <v>0</v>
      </c>
      <c r="Q581" s="142">
        <f t="shared" si="130"/>
        <v>0</v>
      </c>
      <c r="R581" s="142">
        <f t="shared" si="131"/>
        <v>0</v>
      </c>
      <c r="S581" s="142">
        <f t="shared" si="132"/>
        <v>0</v>
      </c>
      <c r="T581" s="142">
        <f t="shared" si="133"/>
        <v>0</v>
      </c>
      <c r="U581" s="60">
        <f t="shared" si="134"/>
        <v>0</v>
      </c>
    </row>
    <row r="582" spans="1:21" x14ac:dyDescent="0.2">
      <c r="A582" s="115"/>
      <c r="B582" s="139" t="s">
        <v>363</v>
      </c>
      <c r="C582" s="140" t="s">
        <v>531</v>
      </c>
      <c r="D582" s="141">
        <v>45842</v>
      </c>
      <c r="E582" s="141">
        <v>45932</v>
      </c>
      <c r="F582" s="57">
        <v>5800</v>
      </c>
      <c r="G582" s="58">
        <f t="shared" si="120"/>
        <v>-90</v>
      </c>
      <c r="H582" s="142">
        <f t="shared" si="121"/>
        <v>0</v>
      </c>
      <c r="I582" s="142">
        <f t="shared" si="122"/>
        <v>0</v>
      </c>
      <c r="J582" s="143">
        <f t="shared" si="123"/>
        <v>0</v>
      </c>
      <c r="K582" s="143">
        <f t="shared" si="124"/>
        <v>0</v>
      </c>
      <c r="L582" s="142">
        <f t="shared" si="125"/>
        <v>5800</v>
      </c>
      <c r="M582" s="142">
        <f t="shared" si="126"/>
        <v>0</v>
      </c>
      <c r="N582" s="142">
        <f t="shared" si="127"/>
        <v>0</v>
      </c>
      <c r="O582" s="59">
        <f t="shared" si="128"/>
        <v>5800</v>
      </c>
      <c r="P582" s="142">
        <f t="shared" si="129"/>
        <v>0</v>
      </c>
      <c r="Q582" s="142">
        <f t="shared" si="130"/>
        <v>0</v>
      </c>
      <c r="R582" s="142">
        <f t="shared" si="131"/>
        <v>0</v>
      </c>
      <c r="S582" s="142">
        <f t="shared" si="132"/>
        <v>0</v>
      </c>
      <c r="T582" s="142">
        <f t="shared" si="133"/>
        <v>0</v>
      </c>
      <c r="U582" s="60">
        <f t="shared" si="134"/>
        <v>0</v>
      </c>
    </row>
    <row r="583" spans="1:21" x14ac:dyDescent="0.2">
      <c r="A583" s="115"/>
      <c r="B583" s="139" t="s">
        <v>363</v>
      </c>
      <c r="C583" s="140" t="s">
        <v>532</v>
      </c>
      <c r="D583" s="141">
        <v>45842</v>
      </c>
      <c r="E583" s="141">
        <v>45932</v>
      </c>
      <c r="F583" s="57">
        <v>8880</v>
      </c>
      <c r="G583" s="58">
        <f t="shared" ref="G583:G646" si="135">E583-$H$3</f>
        <v>-90</v>
      </c>
      <c r="H583" s="142">
        <f t="shared" ref="H583:H646" si="136">IF(AND($G583&gt;=-8000,$G583&lt;=-181),$F583,0)</f>
        <v>0</v>
      </c>
      <c r="I583" s="142">
        <f t="shared" ref="I583:I646" si="137">IF(AND($G583&gt;=-180,$G583&lt;=-151),$F583,0)</f>
        <v>0</v>
      </c>
      <c r="J583" s="143">
        <f t="shared" ref="J583:J646" si="138">IF(AND($G583&gt;=-150,$G583&lt;=-121),$F583,0)</f>
        <v>0</v>
      </c>
      <c r="K583" s="143">
        <f t="shared" ref="K583:K646" si="139">IF(AND($G583&gt;=-120,$G583&lt;=-91),$F583,0)</f>
        <v>0</v>
      </c>
      <c r="L583" s="142">
        <f t="shared" ref="L583:L646" si="140">IF(AND($G583&gt;=-90,$G583&lt;=-61),$F583,0)</f>
        <v>8880</v>
      </c>
      <c r="M583" s="142">
        <f t="shared" ref="M583:M646" si="141">IF(AND($G583&gt;=-60,$G583&lt;=-31),$F583,0)</f>
        <v>0</v>
      </c>
      <c r="N583" s="142">
        <f t="shared" ref="N583:N646" si="142">IF(AND($G583&gt;=-30,$G583&lt;=-1),$F583,0)</f>
        <v>0</v>
      </c>
      <c r="O583" s="59">
        <f t="shared" ref="O583:O646" si="143">SUM(H583:N583)</f>
        <v>8880</v>
      </c>
      <c r="P583" s="142">
        <f t="shared" ref="P583:P646" si="144">IF(AND($G583&lt;=30,$G583&gt;=0),$F583,0)</f>
        <v>0</v>
      </c>
      <c r="Q583" s="142">
        <f t="shared" ref="Q583:Q646" si="145">IF(AND($G583&lt;=60,$G583&gt;=31),$F583,0)</f>
        <v>0</v>
      </c>
      <c r="R583" s="142">
        <f t="shared" ref="R583:R646" si="146">IF(AND($G583&lt;=90,$G583&gt;=61),$F583,0)</f>
        <v>0</v>
      </c>
      <c r="S583" s="142">
        <f t="shared" ref="S583:S646" si="147">IF(AND($G583&lt;=120,$G583&gt;=91),$F583,0)</f>
        <v>0</v>
      </c>
      <c r="T583" s="142">
        <f t="shared" ref="T583:T646" si="148">IF(G583&gt;=121,F583,0)</f>
        <v>0</v>
      </c>
      <c r="U583" s="60">
        <f t="shared" ref="U583:U646" si="149">SUM(P583:T583)</f>
        <v>0</v>
      </c>
    </row>
    <row r="584" spans="1:21" x14ac:dyDescent="0.2">
      <c r="A584" s="115"/>
      <c r="B584" s="139" t="s">
        <v>363</v>
      </c>
      <c r="C584" s="140" t="s">
        <v>533</v>
      </c>
      <c r="D584" s="141">
        <v>45842</v>
      </c>
      <c r="E584" s="141">
        <v>45932</v>
      </c>
      <c r="F584" s="57">
        <v>5800</v>
      </c>
      <c r="G584" s="58">
        <f t="shared" si="135"/>
        <v>-90</v>
      </c>
      <c r="H584" s="142">
        <f t="shared" si="136"/>
        <v>0</v>
      </c>
      <c r="I584" s="142">
        <f t="shared" si="137"/>
        <v>0</v>
      </c>
      <c r="J584" s="143">
        <f t="shared" si="138"/>
        <v>0</v>
      </c>
      <c r="K584" s="143">
        <f t="shared" si="139"/>
        <v>0</v>
      </c>
      <c r="L584" s="142">
        <f t="shared" si="140"/>
        <v>5800</v>
      </c>
      <c r="M584" s="142">
        <f t="shared" si="141"/>
        <v>0</v>
      </c>
      <c r="N584" s="142">
        <f t="shared" si="142"/>
        <v>0</v>
      </c>
      <c r="O584" s="59">
        <f t="shared" si="143"/>
        <v>5800</v>
      </c>
      <c r="P584" s="142">
        <f t="shared" si="144"/>
        <v>0</v>
      </c>
      <c r="Q584" s="142">
        <f t="shared" si="145"/>
        <v>0</v>
      </c>
      <c r="R584" s="142">
        <f t="shared" si="146"/>
        <v>0</v>
      </c>
      <c r="S584" s="142">
        <f t="shared" si="147"/>
        <v>0</v>
      </c>
      <c r="T584" s="142">
        <f t="shared" si="148"/>
        <v>0</v>
      </c>
      <c r="U584" s="60">
        <f t="shared" si="149"/>
        <v>0</v>
      </c>
    </row>
    <row r="585" spans="1:21" x14ac:dyDescent="0.2">
      <c r="A585" s="115"/>
      <c r="B585" s="139" t="s">
        <v>363</v>
      </c>
      <c r="C585" s="140" t="s">
        <v>534</v>
      </c>
      <c r="D585" s="141">
        <v>45842</v>
      </c>
      <c r="E585" s="141">
        <v>45932</v>
      </c>
      <c r="F585" s="57">
        <v>5800</v>
      </c>
      <c r="G585" s="58">
        <f t="shared" si="135"/>
        <v>-90</v>
      </c>
      <c r="H585" s="142">
        <f t="shared" si="136"/>
        <v>0</v>
      </c>
      <c r="I585" s="142">
        <f t="shared" si="137"/>
        <v>0</v>
      </c>
      <c r="J585" s="143">
        <f t="shared" si="138"/>
        <v>0</v>
      </c>
      <c r="K585" s="143">
        <f t="shared" si="139"/>
        <v>0</v>
      </c>
      <c r="L585" s="142">
        <f t="shared" si="140"/>
        <v>5800</v>
      </c>
      <c r="M585" s="142">
        <f t="shared" si="141"/>
        <v>0</v>
      </c>
      <c r="N585" s="142">
        <f t="shared" si="142"/>
        <v>0</v>
      </c>
      <c r="O585" s="59">
        <f t="shared" si="143"/>
        <v>5800</v>
      </c>
      <c r="P585" s="142">
        <f t="shared" si="144"/>
        <v>0</v>
      </c>
      <c r="Q585" s="142">
        <f t="shared" si="145"/>
        <v>0</v>
      </c>
      <c r="R585" s="142">
        <f t="shared" si="146"/>
        <v>0</v>
      </c>
      <c r="S585" s="142">
        <f t="shared" si="147"/>
        <v>0</v>
      </c>
      <c r="T585" s="142">
        <f t="shared" si="148"/>
        <v>0</v>
      </c>
      <c r="U585" s="60">
        <f t="shared" si="149"/>
        <v>0</v>
      </c>
    </row>
    <row r="586" spans="1:21" x14ac:dyDescent="0.2">
      <c r="A586" s="115"/>
      <c r="B586" s="139" t="s">
        <v>363</v>
      </c>
      <c r="C586" s="140" t="s">
        <v>535</v>
      </c>
      <c r="D586" s="141">
        <v>45842</v>
      </c>
      <c r="E586" s="141">
        <v>45932</v>
      </c>
      <c r="F586" s="57">
        <v>6000</v>
      </c>
      <c r="G586" s="58">
        <f t="shared" si="135"/>
        <v>-90</v>
      </c>
      <c r="H586" s="142">
        <f t="shared" si="136"/>
        <v>0</v>
      </c>
      <c r="I586" s="142">
        <f t="shared" si="137"/>
        <v>0</v>
      </c>
      <c r="J586" s="143">
        <f t="shared" si="138"/>
        <v>0</v>
      </c>
      <c r="K586" s="143">
        <f t="shared" si="139"/>
        <v>0</v>
      </c>
      <c r="L586" s="142">
        <f t="shared" si="140"/>
        <v>6000</v>
      </c>
      <c r="M586" s="142">
        <f t="shared" si="141"/>
        <v>0</v>
      </c>
      <c r="N586" s="142">
        <f t="shared" si="142"/>
        <v>0</v>
      </c>
      <c r="O586" s="59">
        <f t="shared" si="143"/>
        <v>6000</v>
      </c>
      <c r="P586" s="142">
        <f t="shared" si="144"/>
        <v>0</v>
      </c>
      <c r="Q586" s="142">
        <f t="shared" si="145"/>
        <v>0</v>
      </c>
      <c r="R586" s="142">
        <f t="shared" si="146"/>
        <v>0</v>
      </c>
      <c r="S586" s="142">
        <f t="shared" si="147"/>
        <v>0</v>
      </c>
      <c r="T586" s="142">
        <f t="shared" si="148"/>
        <v>0</v>
      </c>
      <c r="U586" s="60">
        <f t="shared" si="149"/>
        <v>0</v>
      </c>
    </row>
    <row r="587" spans="1:21" x14ac:dyDescent="0.2">
      <c r="A587" s="115"/>
      <c r="B587" s="139" t="s">
        <v>363</v>
      </c>
      <c r="C587" s="140" t="s">
        <v>536</v>
      </c>
      <c r="D587" s="141">
        <v>45856</v>
      </c>
      <c r="E587" s="141">
        <v>45946</v>
      </c>
      <c r="F587" s="57">
        <v>5910</v>
      </c>
      <c r="G587" s="58">
        <f t="shared" si="135"/>
        <v>-76</v>
      </c>
      <c r="H587" s="142">
        <f t="shared" si="136"/>
        <v>0</v>
      </c>
      <c r="I587" s="142">
        <f t="shared" si="137"/>
        <v>0</v>
      </c>
      <c r="J587" s="143">
        <f t="shared" si="138"/>
        <v>0</v>
      </c>
      <c r="K587" s="143">
        <f t="shared" si="139"/>
        <v>0</v>
      </c>
      <c r="L587" s="142">
        <f t="shared" si="140"/>
        <v>5910</v>
      </c>
      <c r="M587" s="142">
        <f t="shared" si="141"/>
        <v>0</v>
      </c>
      <c r="N587" s="142">
        <f t="shared" si="142"/>
        <v>0</v>
      </c>
      <c r="O587" s="59">
        <f t="shared" si="143"/>
        <v>5910</v>
      </c>
      <c r="P587" s="142">
        <f t="shared" si="144"/>
        <v>0</v>
      </c>
      <c r="Q587" s="142">
        <f t="shared" si="145"/>
        <v>0</v>
      </c>
      <c r="R587" s="142">
        <f t="shared" si="146"/>
        <v>0</v>
      </c>
      <c r="S587" s="142">
        <f t="shared" si="147"/>
        <v>0</v>
      </c>
      <c r="T587" s="142">
        <f t="shared" si="148"/>
        <v>0</v>
      </c>
      <c r="U587" s="60">
        <f t="shared" si="149"/>
        <v>0</v>
      </c>
    </row>
    <row r="588" spans="1:21" x14ac:dyDescent="0.2">
      <c r="A588" s="115"/>
      <c r="B588" s="139" t="s">
        <v>363</v>
      </c>
      <c r="C588" s="140" t="s">
        <v>537</v>
      </c>
      <c r="D588" s="141">
        <v>45856</v>
      </c>
      <c r="E588" s="141">
        <v>45946</v>
      </c>
      <c r="F588" s="57">
        <v>5910</v>
      </c>
      <c r="G588" s="58">
        <f t="shared" si="135"/>
        <v>-76</v>
      </c>
      <c r="H588" s="142">
        <f t="shared" si="136"/>
        <v>0</v>
      </c>
      <c r="I588" s="142">
        <f t="shared" si="137"/>
        <v>0</v>
      </c>
      <c r="J588" s="143">
        <f t="shared" si="138"/>
        <v>0</v>
      </c>
      <c r="K588" s="143">
        <f t="shared" si="139"/>
        <v>0</v>
      </c>
      <c r="L588" s="142">
        <f t="shared" si="140"/>
        <v>5910</v>
      </c>
      <c r="M588" s="142">
        <f t="shared" si="141"/>
        <v>0</v>
      </c>
      <c r="N588" s="142">
        <f t="shared" si="142"/>
        <v>0</v>
      </c>
      <c r="O588" s="59">
        <f t="shared" si="143"/>
        <v>5910</v>
      </c>
      <c r="P588" s="142">
        <f t="shared" si="144"/>
        <v>0</v>
      </c>
      <c r="Q588" s="142">
        <f t="shared" si="145"/>
        <v>0</v>
      </c>
      <c r="R588" s="142">
        <f t="shared" si="146"/>
        <v>0</v>
      </c>
      <c r="S588" s="142">
        <f t="shared" si="147"/>
        <v>0</v>
      </c>
      <c r="T588" s="142">
        <f t="shared" si="148"/>
        <v>0</v>
      </c>
      <c r="U588" s="60">
        <f t="shared" si="149"/>
        <v>0</v>
      </c>
    </row>
    <row r="589" spans="1:21" x14ac:dyDescent="0.2">
      <c r="A589" s="115"/>
      <c r="B589" s="139" t="s">
        <v>363</v>
      </c>
      <c r="C589" s="140" t="s">
        <v>538</v>
      </c>
      <c r="D589" s="141">
        <v>45856</v>
      </c>
      <c r="E589" s="141">
        <v>45946</v>
      </c>
      <c r="F589" s="57">
        <v>4100</v>
      </c>
      <c r="G589" s="58">
        <f t="shared" si="135"/>
        <v>-76</v>
      </c>
      <c r="H589" s="142">
        <f t="shared" si="136"/>
        <v>0</v>
      </c>
      <c r="I589" s="142">
        <f t="shared" si="137"/>
        <v>0</v>
      </c>
      <c r="J589" s="143">
        <f t="shared" si="138"/>
        <v>0</v>
      </c>
      <c r="K589" s="143">
        <f t="shared" si="139"/>
        <v>0</v>
      </c>
      <c r="L589" s="142">
        <f t="shared" si="140"/>
        <v>4100</v>
      </c>
      <c r="M589" s="142">
        <f t="shared" si="141"/>
        <v>0</v>
      </c>
      <c r="N589" s="142">
        <f t="shared" si="142"/>
        <v>0</v>
      </c>
      <c r="O589" s="59">
        <f t="shared" si="143"/>
        <v>4100</v>
      </c>
      <c r="P589" s="142">
        <f t="shared" si="144"/>
        <v>0</v>
      </c>
      <c r="Q589" s="142">
        <f t="shared" si="145"/>
        <v>0</v>
      </c>
      <c r="R589" s="142">
        <f t="shared" si="146"/>
        <v>0</v>
      </c>
      <c r="S589" s="142">
        <f t="shared" si="147"/>
        <v>0</v>
      </c>
      <c r="T589" s="142">
        <f t="shared" si="148"/>
        <v>0</v>
      </c>
      <c r="U589" s="60">
        <f t="shared" si="149"/>
        <v>0</v>
      </c>
    </row>
    <row r="590" spans="1:21" x14ac:dyDescent="0.2">
      <c r="A590" s="115"/>
      <c r="B590" s="139" t="s">
        <v>363</v>
      </c>
      <c r="C590" s="140" t="s">
        <v>539</v>
      </c>
      <c r="D590" s="141">
        <v>45856</v>
      </c>
      <c r="E590" s="141">
        <v>45946</v>
      </c>
      <c r="F590" s="57">
        <v>10380</v>
      </c>
      <c r="G590" s="58">
        <f t="shared" si="135"/>
        <v>-76</v>
      </c>
      <c r="H590" s="142">
        <f t="shared" si="136"/>
        <v>0</v>
      </c>
      <c r="I590" s="142">
        <f t="shared" si="137"/>
        <v>0</v>
      </c>
      <c r="J590" s="143">
        <f t="shared" si="138"/>
        <v>0</v>
      </c>
      <c r="K590" s="143">
        <f t="shared" si="139"/>
        <v>0</v>
      </c>
      <c r="L590" s="142">
        <f t="shared" si="140"/>
        <v>10380</v>
      </c>
      <c r="M590" s="142">
        <f t="shared" si="141"/>
        <v>0</v>
      </c>
      <c r="N590" s="142">
        <f t="shared" si="142"/>
        <v>0</v>
      </c>
      <c r="O590" s="59">
        <f t="shared" si="143"/>
        <v>10380</v>
      </c>
      <c r="P590" s="142">
        <f t="shared" si="144"/>
        <v>0</v>
      </c>
      <c r="Q590" s="142">
        <f t="shared" si="145"/>
        <v>0</v>
      </c>
      <c r="R590" s="142">
        <f t="shared" si="146"/>
        <v>0</v>
      </c>
      <c r="S590" s="142">
        <f t="shared" si="147"/>
        <v>0</v>
      </c>
      <c r="T590" s="142">
        <f t="shared" si="148"/>
        <v>0</v>
      </c>
      <c r="U590" s="60">
        <f t="shared" si="149"/>
        <v>0</v>
      </c>
    </row>
    <row r="591" spans="1:21" x14ac:dyDescent="0.2">
      <c r="A591" s="115"/>
      <c r="B591" s="139" t="s">
        <v>363</v>
      </c>
      <c r="C591" s="140" t="s">
        <v>540</v>
      </c>
      <c r="D591" s="141">
        <v>45856</v>
      </c>
      <c r="E591" s="141">
        <v>45946</v>
      </c>
      <c r="F591" s="57">
        <v>7000</v>
      </c>
      <c r="G591" s="58">
        <f t="shared" si="135"/>
        <v>-76</v>
      </c>
      <c r="H591" s="142">
        <f t="shared" si="136"/>
        <v>0</v>
      </c>
      <c r="I591" s="142">
        <f t="shared" si="137"/>
        <v>0</v>
      </c>
      <c r="J591" s="143">
        <f t="shared" si="138"/>
        <v>0</v>
      </c>
      <c r="K591" s="143">
        <f t="shared" si="139"/>
        <v>0</v>
      </c>
      <c r="L591" s="142">
        <f t="shared" si="140"/>
        <v>7000</v>
      </c>
      <c r="M591" s="142">
        <f t="shared" si="141"/>
        <v>0</v>
      </c>
      <c r="N591" s="142">
        <f t="shared" si="142"/>
        <v>0</v>
      </c>
      <c r="O591" s="59">
        <f t="shared" si="143"/>
        <v>7000</v>
      </c>
      <c r="P591" s="142">
        <f t="shared" si="144"/>
        <v>0</v>
      </c>
      <c r="Q591" s="142">
        <f t="shared" si="145"/>
        <v>0</v>
      </c>
      <c r="R591" s="142">
        <f t="shared" si="146"/>
        <v>0</v>
      </c>
      <c r="S591" s="142">
        <f t="shared" si="147"/>
        <v>0</v>
      </c>
      <c r="T591" s="142">
        <f t="shared" si="148"/>
        <v>0</v>
      </c>
      <c r="U591" s="60">
        <f t="shared" si="149"/>
        <v>0</v>
      </c>
    </row>
    <row r="592" spans="1:21" x14ac:dyDescent="0.2">
      <c r="A592" s="115"/>
      <c r="B592" s="139" t="s">
        <v>363</v>
      </c>
      <c r="C592" s="140" t="s">
        <v>541</v>
      </c>
      <c r="D592" s="141">
        <v>45856</v>
      </c>
      <c r="E592" s="141">
        <v>45946</v>
      </c>
      <c r="F592" s="57">
        <v>9700</v>
      </c>
      <c r="G592" s="58">
        <f t="shared" si="135"/>
        <v>-76</v>
      </c>
      <c r="H592" s="142">
        <f t="shared" si="136"/>
        <v>0</v>
      </c>
      <c r="I592" s="142">
        <f t="shared" si="137"/>
        <v>0</v>
      </c>
      <c r="J592" s="143">
        <f t="shared" si="138"/>
        <v>0</v>
      </c>
      <c r="K592" s="143">
        <f t="shared" si="139"/>
        <v>0</v>
      </c>
      <c r="L592" s="142">
        <f t="shared" si="140"/>
        <v>9700</v>
      </c>
      <c r="M592" s="142">
        <f t="shared" si="141"/>
        <v>0</v>
      </c>
      <c r="N592" s="142">
        <f t="shared" si="142"/>
        <v>0</v>
      </c>
      <c r="O592" s="59">
        <f t="shared" si="143"/>
        <v>9700</v>
      </c>
      <c r="P592" s="142">
        <f t="shared" si="144"/>
        <v>0</v>
      </c>
      <c r="Q592" s="142">
        <f t="shared" si="145"/>
        <v>0</v>
      </c>
      <c r="R592" s="142">
        <f t="shared" si="146"/>
        <v>0</v>
      </c>
      <c r="S592" s="142">
        <f t="shared" si="147"/>
        <v>0</v>
      </c>
      <c r="T592" s="142">
        <f t="shared" si="148"/>
        <v>0</v>
      </c>
      <c r="U592" s="60">
        <f t="shared" si="149"/>
        <v>0</v>
      </c>
    </row>
    <row r="593" spans="1:21" x14ac:dyDescent="0.2">
      <c r="A593" s="115"/>
      <c r="B593" s="139" t="s">
        <v>363</v>
      </c>
      <c r="C593" s="140" t="s">
        <v>542</v>
      </c>
      <c r="D593" s="141">
        <v>45856</v>
      </c>
      <c r="E593" s="141">
        <v>45946</v>
      </c>
      <c r="F593" s="57">
        <v>4100</v>
      </c>
      <c r="G593" s="58">
        <f t="shared" si="135"/>
        <v>-76</v>
      </c>
      <c r="H593" s="142">
        <f t="shared" si="136"/>
        <v>0</v>
      </c>
      <c r="I593" s="142">
        <f t="shared" si="137"/>
        <v>0</v>
      </c>
      <c r="J593" s="143">
        <f t="shared" si="138"/>
        <v>0</v>
      </c>
      <c r="K593" s="143">
        <f t="shared" si="139"/>
        <v>0</v>
      </c>
      <c r="L593" s="142">
        <f t="shared" si="140"/>
        <v>4100</v>
      </c>
      <c r="M593" s="142">
        <f t="shared" si="141"/>
        <v>0</v>
      </c>
      <c r="N593" s="142">
        <f t="shared" si="142"/>
        <v>0</v>
      </c>
      <c r="O593" s="59">
        <f t="shared" si="143"/>
        <v>4100</v>
      </c>
      <c r="P593" s="142">
        <f t="shared" si="144"/>
        <v>0</v>
      </c>
      <c r="Q593" s="142">
        <f t="shared" si="145"/>
        <v>0</v>
      </c>
      <c r="R593" s="142">
        <f t="shared" si="146"/>
        <v>0</v>
      </c>
      <c r="S593" s="142">
        <f t="shared" si="147"/>
        <v>0</v>
      </c>
      <c r="T593" s="142">
        <f t="shared" si="148"/>
        <v>0</v>
      </c>
      <c r="U593" s="60">
        <f t="shared" si="149"/>
        <v>0</v>
      </c>
    </row>
    <row r="594" spans="1:21" x14ac:dyDescent="0.2">
      <c r="A594" s="115"/>
      <c r="B594" s="139" t="s">
        <v>363</v>
      </c>
      <c r="C594" s="140" t="s">
        <v>543</v>
      </c>
      <c r="D594" s="141">
        <v>45856</v>
      </c>
      <c r="E594" s="141">
        <v>45946</v>
      </c>
      <c r="F594" s="57">
        <v>5910</v>
      </c>
      <c r="G594" s="58">
        <f t="shared" si="135"/>
        <v>-76</v>
      </c>
      <c r="H594" s="142">
        <f t="shared" si="136"/>
        <v>0</v>
      </c>
      <c r="I594" s="142">
        <f t="shared" si="137"/>
        <v>0</v>
      </c>
      <c r="J594" s="143">
        <f t="shared" si="138"/>
        <v>0</v>
      </c>
      <c r="K594" s="143">
        <f t="shared" si="139"/>
        <v>0</v>
      </c>
      <c r="L594" s="142">
        <f t="shared" si="140"/>
        <v>5910</v>
      </c>
      <c r="M594" s="142">
        <f t="shared" si="141"/>
        <v>0</v>
      </c>
      <c r="N594" s="142">
        <f t="shared" si="142"/>
        <v>0</v>
      </c>
      <c r="O594" s="59">
        <f t="shared" si="143"/>
        <v>5910</v>
      </c>
      <c r="P594" s="142">
        <f t="shared" si="144"/>
        <v>0</v>
      </c>
      <c r="Q594" s="142">
        <f t="shared" si="145"/>
        <v>0</v>
      </c>
      <c r="R594" s="142">
        <f t="shared" si="146"/>
        <v>0</v>
      </c>
      <c r="S594" s="142">
        <f t="shared" si="147"/>
        <v>0</v>
      </c>
      <c r="T594" s="142">
        <f t="shared" si="148"/>
        <v>0</v>
      </c>
      <c r="U594" s="60">
        <f t="shared" si="149"/>
        <v>0</v>
      </c>
    </row>
    <row r="595" spans="1:21" x14ac:dyDescent="0.2">
      <c r="A595" s="115"/>
      <c r="B595" s="139" t="s">
        <v>363</v>
      </c>
      <c r="C595" s="140" t="s">
        <v>544</v>
      </c>
      <c r="D595" s="141">
        <v>45856</v>
      </c>
      <c r="E595" s="141">
        <v>45946</v>
      </c>
      <c r="F595" s="57">
        <v>4100</v>
      </c>
      <c r="G595" s="58">
        <f t="shared" si="135"/>
        <v>-76</v>
      </c>
      <c r="H595" s="142">
        <f t="shared" si="136"/>
        <v>0</v>
      </c>
      <c r="I595" s="142">
        <f t="shared" si="137"/>
        <v>0</v>
      </c>
      <c r="J595" s="143">
        <f t="shared" si="138"/>
        <v>0</v>
      </c>
      <c r="K595" s="143">
        <f t="shared" si="139"/>
        <v>0</v>
      </c>
      <c r="L595" s="142">
        <f t="shared" si="140"/>
        <v>4100</v>
      </c>
      <c r="M595" s="142">
        <f t="shared" si="141"/>
        <v>0</v>
      </c>
      <c r="N595" s="142">
        <f t="shared" si="142"/>
        <v>0</v>
      </c>
      <c r="O595" s="59">
        <f t="shared" si="143"/>
        <v>4100</v>
      </c>
      <c r="P595" s="142">
        <f t="shared" si="144"/>
        <v>0</v>
      </c>
      <c r="Q595" s="142">
        <f t="shared" si="145"/>
        <v>0</v>
      </c>
      <c r="R595" s="142">
        <f t="shared" si="146"/>
        <v>0</v>
      </c>
      <c r="S595" s="142">
        <f t="shared" si="147"/>
        <v>0</v>
      </c>
      <c r="T595" s="142">
        <f t="shared" si="148"/>
        <v>0</v>
      </c>
      <c r="U595" s="60">
        <f t="shared" si="149"/>
        <v>0</v>
      </c>
    </row>
    <row r="596" spans="1:21" x14ac:dyDescent="0.2">
      <c r="A596" s="115"/>
      <c r="B596" s="139" t="s">
        <v>363</v>
      </c>
      <c r="C596" s="140" t="s">
        <v>545</v>
      </c>
      <c r="D596" s="141">
        <v>45860</v>
      </c>
      <c r="E596" s="141">
        <v>45950</v>
      </c>
      <c r="F596" s="57">
        <v>8700</v>
      </c>
      <c r="G596" s="58">
        <f t="shared" si="135"/>
        <v>-72</v>
      </c>
      <c r="H596" s="142">
        <f t="shared" si="136"/>
        <v>0</v>
      </c>
      <c r="I596" s="142">
        <f t="shared" si="137"/>
        <v>0</v>
      </c>
      <c r="J596" s="143">
        <f t="shared" si="138"/>
        <v>0</v>
      </c>
      <c r="K596" s="143">
        <f t="shared" si="139"/>
        <v>0</v>
      </c>
      <c r="L596" s="142">
        <f t="shared" si="140"/>
        <v>8700</v>
      </c>
      <c r="M596" s="142">
        <f t="shared" si="141"/>
        <v>0</v>
      </c>
      <c r="N596" s="142">
        <f t="shared" si="142"/>
        <v>0</v>
      </c>
      <c r="O596" s="59">
        <f t="shared" si="143"/>
        <v>8700</v>
      </c>
      <c r="P596" s="142">
        <f t="shared" si="144"/>
        <v>0</v>
      </c>
      <c r="Q596" s="142">
        <f t="shared" si="145"/>
        <v>0</v>
      </c>
      <c r="R596" s="142">
        <f t="shared" si="146"/>
        <v>0</v>
      </c>
      <c r="S596" s="142">
        <f t="shared" si="147"/>
        <v>0</v>
      </c>
      <c r="T596" s="142">
        <f t="shared" si="148"/>
        <v>0</v>
      </c>
      <c r="U596" s="60">
        <f t="shared" si="149"/>
        <v>0</v>
      </c>
    </row>
    <row r="597" spans="1:21" x14ac:dyDescent="0.2">
      <c r="A597" s="115"/>
      <c r="B597" s="139" t="s">
        <v>363</v>
      </c>
      <c r="C597" s="140" t="s">
        <v>546</v>
      </c>
      <c r="D597" s="141">
        <v>45860</v>
      </c>
      <c r="E597" s="141">
        <v>45950</v>
      </c>
      <c r="F597" s="57">
        <v>9080</v>
      </c>
      <c r="G597" s="58">
        <f t="shared" si="135"/>
        <v>-72</v>
      </c>
      <c r="H597" s="142">
        <f t="shared" si="136"/>
        <v>0</v>
      </c>
      <c r="I597" s="142">
        <f t="shared" si="137"/>
        <v>0</v>
      </c>
      <c r="J597" s="143">
        <f t="shared" si="138"/>
        <v>0</v>
      </c>
      <c r="K597" s="143">
        <f t="shared" si="139"/>
        <v>0</v>
      </c>
      <c r="L597" s="142">
        <f t="shared" si="140"/>
        <v>9080</v>
      </c>
      <c r="M597" s="142">
        <f t="shared" si="141"/>
        <v>0</v>
      </c>
      <c r="N597" s="142">
        <f t="shared" si="142"/>
        <v>0</v>
      </c>
      <c r="O597" s="59">
        <f t="shared" si="143"/>
        <v>9080</v>
      </c>
      <c r="P597" s="142">
        <f t="shared" si="144"/>
        <v>0</v>
      </c>
      <c r="Q597" s="142">
        <f t="shared" si="145"/>
        <v>0</v>
      </c>
      <c r="R597" s="142">
        <f t="shared" si="146"/>
        <v>0</v>
      </c>
      <c r="S597" s="142">
        <f t="shared" si="147"/>
        <v>0</v>
      </c>
      <c r="T597" s="142">
        <f t="shared" si="148"/>
        <v>0</v>
      </c>
      <c r="U597" s="60">
        <f t="shared" si="149"/>
        <v>0</v>
      </c>
    </row>
    <row r="598" spans="1:21" x14ac:dyDescent="0.2">
      <c r="A598" s="115"/>
      <c r="B598" s="139" t="s">
        <v>363</v>
      </c>
      <c r="C598" s="140" t="s">
        <v>547</v>
      </c>
      <c r="D598" s="141">
        <v>45860</v>
      </c>
      <c r="E598" s="141">
        <v>45950</v>
      </c>
      <c r="F598" s="57">
        <v>7000</v>
      </c>
      <c r="G598" s="58">
        <f t="shared" si="135"/>
        <v>-72</v>
      </c>
      <c r="H598" s="142">
        <f t="shared" si="136"/>
        <v>0</v>
      </c>
      <c r="I598" s="142">
        <f t="shared" si="137"/>
        <v>0</v>
      </c>
      <c r="J598" s="143">
        <f t="shared" si="138"/>
        <v>0</v>
      </c>
      <c r="K598" s="143">
        <f t="shared" si="139"/>
        <v>0</v>
      </c>
      <c r="L598" s="142">
        <f t="shared" si="140"/>
        <v>7000</v>
      </c>
      <c r="M598" s="142">
        <f t="shared" si="141"/>
        <v>0</v>
      </c>
      <c r="N598" s="142">
        <f t="shared" si="142"/>
        <v>0</v>
      </c>
      <c r="O598" s="59">
        <f t="shared" si="143"/>
        <v>7000</v>
      </c>
      <c r="P598" s="142">
        <f t="shared" si="144"/>
        <v>0</v>
      </c>
      <c r="Q598" s="142">
        <f t="shared" si="145"/>
        <v>0</v>
      </c>
      <c r="R598" s="142">
        <f t="shared" si="146"/>
        <v>0</v>
      </c>
      <c r="S598" s="142">
        <f t="shared" si="147"/>
        <v>0</v>
      </c>
      <c r="T598" s="142">
        <f t="shared" si="148"/>
        <v>0</v>
      </c>
      <c r="U598" s="60">
        <f t="shared" si="149"/>
        <v>0</v>
      </c>
    </row>
    <row r="599" spans="1:21" x14ac:dyDescent="0.2">
      <c r="A599" s="115"/>
      <c r="B599" s="139" t="s">
        <v>363</v>
      </c>
      <c r="C599" s="140" t="s">
        <v>548</v>
      </c>
      <c r="D599" s="141">
        <v>45866</v>
      </c>
      <c r="E599" s="141">
        <v>45956</v>
      </c>
      <c r="F599" s="57">
        <v>5990</v>
      </c>
      <c r="G599" s="58">
        <f t="shared" si="135"/>
        <v>-66</v>
      </c>
      <c r="H599" s="142">
        <f t="shared" si="136"/>
        <v>0</v>
      </c>
      <c r="I599" s="142">
        <f t="shared" si="137"/>
        <v>0</v>
      </c>
      <c r="J599" s="143">
        <f t="shared" si="138"/>
        <v>0</v>
      </c>
      <c r="K599" s="143">
        <f t="shared" si="139"/>
        <v>0</v>
      </c>
      <c r="L599" s="142">
        <f t="shared" si="140"/>
        <v>5990</v>
      </c>
      <c r="M599" s="142">
        <f t="shared" si="141"/>
        <v>0</v>
      </c>
      <c r="N599" s="142">
        <f t="shared" si="142"/>
        <v>0</v>
      </c>
      <c r="O599" s="59">
        <f t="shared" si="143"/>
        <v>5990</v>
      </c>
      <c r="P599" s="142">
        <f t="shared" si="144"/>
        <v>0</v>
      </c>
      <c r="Q599" s="142">
        <f t="shared" si="145"/>
        <v>0</v>
      </c>
      <c r="R599" s="142">
        <f t="shared" si="146"/>
        <v>0</v>
      </c>
      <c r="S599" s="142">
        <f t="shared" si="147"/>
        <v>0</v>
      </c>
      <c r="T599" s="142">
        <f t="shared" si="148"/>
        <v>0</v>
      </c>
      <c r="U599" s="60">
        <f t="shared" si="149"/>
        <v>0</v>
      </c>
    </row>
    <row r="600" spans="1:21" x14ac:dyDescent="0.2">
      <c r="A600" s="115"/>
      <c r="B600" s="139" t="s">
        <v>363</v>
      </c>
      <c r="C600" s="140" t="s">
        <v>549</v>
      </c>
      <c r="D600" s="141">
        <v>45866</v>
      </c>
      <c r="E600" s="141">
        <v>45956</v>
      </c>
      <c r="F600" s="57">
        <v>7150</v>
      </c>
      <c r="G600" s="58">
        <f t="shared" si="135"/>
        <v>-66</v>
      </c>
      <c r="H600" s="142">
        <f t="shared" si="136"/>
        <v>0</v>
      </c>
      <c r="I600" s="142">
        <f t="shared" si="137"/>
        <v>0</v>
      </c>
      <c r="J600" s="143">
        <f t="shared" si="138"/>
        <v>0</v>
      </c>
      <c r="K600" s="143">
        <f t="shared" si="139"/>
        <v>0</v>
      </c>
      <c r="L600" s="142">
        <f t="shared" si="140"/>
        <v>7150</v>
      </c>
      <c r="M600" s="142">
        <f t="shared" si="141"/>
        <v>0</v>
      </c>
      <c r="N600" s="142">
        <f t="shared" si="142"/>
        <v>0</v>
      </c>
      <c r="O600" s="59">
        <f t="shared" si="143"/>
        <v>7150</v>
      </c>
      <c r="P600" s="142">
        <f t="shared" si="144"/>
        <v>0</v>
      </c>
      <c r="Q600" s="142">
        <f t="shared" si="145"/>
        <v>0</v>
      </c>
      <c r="R600" s="142">
        <f t="shared" si="146"/>
        <v>0</v>
      </c>
      <c r="S600" s="142">
        <f t="shared" si="147"/>
        <v>0</v>
      </c>
      <c r="T600" s="142">
        <f t="shared" si="148"/>
        <v>0</v>
      </c>
      <c r="U600" s="60">
        <f t="shared" si="149"/>
        <v>0</v>
      </c>
    </row>
    <row r="601" spans="1:21" x14ac:dyDescent="0.2">
      <c r="A601" s="115"/>
      <c r="B601" s="139" t="s">
        <v>363</v>
      </c>
      <c r="C601" s="140" t="s">
        <v>550</v>
      </c>
      <c r="D601" s="141">
        <v>45866</v>
      </c>
      <c r="E601" s="141">
        <v>45956</v>
      </c>
      <c r="F601" s="57">
        <v>5910</v>
      </c>
      <c r="G601" s="58">
        <f t="shared" si="135"/>
        <v>-66</v>
      </c>
      <c r="H601" s="142">
        <f t="shared" si="136"/>
        <v>0</v>
      </c>
      <c r="I601" s="142">
        <f t="shared" si="137"/>
        <v>0</v>
      </c>
      <c r="J601" s="143">
        <f t="shared" si="138"/>
        <v>0</v>
      </c>
      <c r="K601" s="143">
        <f t="shared" si="139"/>
        <v>0</v>
      </c>
      <c r="L601" s="142">
        <f t="shared" si="140"/>
        <v>5910</v>
      </c>
      <c r="M601" s="142">
        <f t="shared" si="141"/>
        <v>0</v>
      </c>
      <c r="N601" s="142">
        <f t="shared" si="142"/>
        <v>0</v>
      </c>
      <c r="O601" s="59">
        <f t="shared" si="143"/>
        <v>5910</v>
      </c>
      <c r="P601" s="142">
        <f t="shared" si="144"/>
        <v>0</v>
      </c>
      <c r="Q601" s="142">
        <f t="shared" si="145"/>
        <v>0</v>
      </c>
      <c r="R601" s="142">
        <f t="shared" si="146"/>
        <v>0</v>
      </c>
      <c r="S601" s="142">
        <f t="shared" si="147"/>
        <v>0</v>
      </c>
      <c r="T601" s="142">
        <f t="shared" si="148"/>
        <v>0</v>
      </c>
      <c r="U601" s="60">
        <f t="shared" si="149"/>
        <v>0</v>
      </c>
    </row>
    <row r="602" spans="1:21" x14ac:dyDescent="0.2">
      <c r="A602" s="115"/>
      <c r="B602" s="139" t="s">
        <v>363</v>
      </c>
      <c r="C602" s="140" t="s">
        <v>551</v>
      </c>
      <c r="D602" s="141">
        <v>45866</v>
      </c>
      <c r="E602" s="141">
        <v>45956</v>
      </c>
      <c r="F602" s="57">
        <v>5910</v>
      </c>
      <c r="G602" s="58">
        <f t="shared" si="135"/>
        <v>-66</v>
      </c>
      <c r="H602" s="142">
        <f t="shared" si="136"/>
        <v>0</v>
      </c>
      <c r="I602" s="142">
        <f t="shared" si="137"/>
        <v>0</v>
      </c>
      <c r="J602" s="143">
        <f t="shared" si="138"/>
        <v>0</v>
      </c>
      <c r="K602" s="143">
        <f t="shared" si="139"/>
        <v>0</v>
      </c>
      <c r="L602" s="142">
        <f t="shared" si="140"/>
        <v>5910</v>
      </c>
      <c r="M602" s="142">
        <f t="shared" si="141"/>
        <v>0</v>
      </c>
      <c r="N602" s="142">
        <f t="shared" si="142"/>
        <v>0</v>
      </c>
      <c r="O602" s="59">
        <f t="shared" si="143"/>
        <v>5910</v>
      </c>
      <c r="P602" s="142">
        <f t="shared" si="144"/>
        <v>0</v>
      </c>
      <c r="Q602" s="142">
        <f t="shared" si="145"/>
        <v>0</v>
      </c>
      <c r="R602" s="142">
        <f t="shared" si="146"/>
        <v>0</v>
      </c>
      <c r="S602" s="142">
        <f t="shared" si="147"/>
        <v>0</v>
      </c>
      <c r="T602" s="142">
        <f t="shared" si="148"/>
        <v>0</v>
      </c>
      <c r="U602" s="60">
        <f t="shared" si="149"/>
        <v>0</v>
      </c>
    </row>
    <row r="603" spans="1:21" x14ac:dyDescent="0.2">
      <c r="A603" s="115"/>
      <c r="B603" s="139" t="s">
        <v>363</v>
      </c>
      <c r="C603" s="140" t="s">
        <v>552</v>
      </c>
      <c r="D603" s="141">
        <v>45866</v>
      </c>
      <c r="E603" s="141">
        <v>45956</v>
      </c>
      <c r="F603" s="57">
        <v>4100</v>
      </c>
      <c r="G603" s="58">
        <f t="shared" si="135"/>
        <v>-66</v>
      </c>
      <c r="H603" s="142">
        <f t="shared" si="136"/>
        <v>0</v>
      </c>
      <c r="I603" s="142">
        <f t="shared" si="137"/>
        <v>0</v>
      </c>
      <c r="J603" s="143">
        <f t="shared" si="138"/>
        <v>0</v>
      </c>
      <c r="K603" s="143">
        <f t="shared" si="139"/>
        <v>0</v>
      </c>
      <c r="L603" s="142">
        <f t="shared" si="140"/>
        <v>4100</v>
      </c>
      <c r="M603" s="142">
        <f t="shared" si="141"/>
        <v>0</v>
      </c>
      <c r="N603" s="142">
        <f t="shared" si="142"/>
        <v>0</v>
      </c>
      <c r="O603" s="59">
        <f t="shared" si="143"/>
        <v>4100</v>
      </c>
      <c r="P603" s="142">
        <f t="shared" si="144"/>
        <v>0</v>
      </c>
      <c r="Q603" s="142">
        <f t="shared" si="145"/>
        <v>0</v>
      </c>
      <c r="R603" s="142">
        <f t="shared" si="146"/>
        <v>0</v>
      </c>
      <c r="S603" s="142">
        <f t="shared" si="147"/>
        <v>0</v>
      </c>
      <c r="T603" s="142">
        <f t="shared" si="148"/>
        <v>0</v>
      </c>
      <c r="U603" s="60">
        <f t="shared" si="149"/>
        <v>0</v>
      </c>
    </row>
    <row r="604" spans="1:21" x14ac:dyDescent="0.2">
      <c r="A604" s="115"/>
      <c r="B604" s="139" t="s">
        <v>363</v>
      </c>
      <c r="C604" s="140" t="s">
        <v>553</v>
      </c>
      <c r="D604" s="141">
        <v>45868</v>
      </c>
      <c r="E604" s="141">
        <v>45958</v>
      </c>
      <c r="F604" s="57">
        <v>30</v>
      </c>
      <c r="G604" s="58">
        <f t="shared" si="135"/>
        <v>-64</v>
      </c>
      <c r="H604" s="142">
        <f t="shared" si="136"/>
        <v>0</v>
      </c>
      <c r="I604" s="142">
        <f t="shared" si="137"/>
        <v>0</v>
      </c>
      <c r="J604" s="143">
        <f t="shared" si="138"/>
        <v>0</v>
      </c>
      <c r="K604" s="143">
        <f t="shared" si="139"/>
        <v>0</v>
      </c>
      <c r="L604" s="142">
        <f t="shared" si="140"/>
        <v>30</v>
      </c>
      <c r="M604" s="142">
        <f t="shared" si="141"/>
        <v>0</v>
      </c>
      <c r="N604" s="142">
        <f t="shared" si="142"/>
        <v>0</v>
      </c>
      <c r="O604" s="59">
        <f t="shared" si="143"/>
        <v>30</v>
      </c>
      <c r="P604" s="142">
        <f t="shared" si="144"/>
        <v>0</v>
      </c>
      <c r="Q604" s="142">
        <f t="shared" si="145"/>
        <v>0</v>
      </c>
      <c r="R604" s="142">
        <f t="shared" si="146"/>
        <v>0</v>
      </c>
      <c r="S604" s="142">
        <f t="shared" si="147"/>
        <v>0</v>
      </c>
      <c r="T604" s="142">
        <f t="shared" si="148"/>
        <v>0</v>
      </c>
      <c r="U604" s="60">
        <f t="shared" si="149"/>
        <v>0</v>
      </c>
    </row>
    <row r="605" spans="1:21" x14ac:dyDescent="0.2">
      <c r="A605" s="115"/>
      <c r="B605" s="139" t="s">
        <v>363</v>
      </c>
      <c r="C605" s="140" t="s">
        <v>554</v>
      </c>
      <c r="D605" s="141">
        <v>45868</v>
      </c>
      <c r="E605" s="141">
        <v>45958</v>
      </c>
      <c r="F605" s="57">
        <v>4100</v>
      </c>
      <c r="G605" s="58">
        <f t="shared" si="135"/>
        <v>-64</v>
      </c>
      <c r="H605" s="142">
        <f t="shared" si="136"/>
        <v>0</v>
      </c>
      <c r="I605" s="142">
        <f t="shared" si="137"/>
        <v>0</v>
      </c>
      <c r="J605" s="143">
        <f t="shared" si="138"/>
        <v>0</v>
      </c>
      <c r="K605" s="143">
        <f t="shared" si="139"/>
        <v>0</v>
      </c>
      <c r="L605" s="142">
        <f t="shared" si="140"/>
        <v>4100</v>
      </c>
      <c r="M605" s="142">
        <f t="shared" si="141"/>
        <v>0</v>
      </c>
      <c r="N605" s="142">
        <f t="shared" si="142"/>
        <v>0</v>
      </c>
      <c r="O605" s="59">
        <f t="shared" si="143"/>
        <v>4100</v>
      </c>
      <c r="P605" s="142">
        <f t="shared" si="144"/>
        <v>0</v>
      </c>
      <c r="Q605" s="142">
        <f t="shared" si="145"/>
        <v>0</v>
      </c>
      <c r="R605" s="142">
        <f t="shared" si="146"/>
        <v>0</v>
      </c>
      <c r="S605" s="142">
        <f t="shared" si="147"/>
        <v>0</v>
      </c>
      <c r="T605" s="142">
        <f t="shared" si="148"/>
        <v>0</v>
      </c>
      <c r="U605" s="60">
        <f t="shared" si="149"/>
        <v>0</v>
      </c>
    </row>
    <row r="606" spans="1:21" x14ac:dyDescent="0.2">
      <c r="A606" s="115"/>
      <c r="B606" s="139" t="s">
        <v>363</v>
      </c>
      <c r="C606" s="140" t="s">
        <v>555</v>
      </c>
      <c r="D606" s="141">
        <v>45868</v>
      </c>
      <c r="E606" s="141">
        <v>45958</v>
      </c>
      <c r="F606" s="57">
        <v>6000</v>
      </c>
      <c r="G606" s="58">
        <f t="shared" si="135"/>
        <v>-64</v>
      </c>
      <c r="H606" s="142">
        <f t="shared" si="136"/>
        <v>0</v>
      </c>
      <c r="I606" s="142">
        <f t="shared" si="137"/>
        <v>0</v>
      </c>
      <c r="J606" s="143">
        <f t="shared" si="138"/>
        <v>0</v>
      </c>
      <c r="K606" s="143">
        <f t="shared" si="139"/>
        <v>0</v>
      </c>
      <c r="L606" s="142">
        <f t="shared" si="140"/>
        <v>6000</v>
      </c>
      <c r="M606" s="142">
        <f t="shared" si="141"/>
        <v>0</v>
      </c>
      <c r="N606" s="142">
        <f t="shared" si="142"/>
        <v>0</v>
      </c>
      <c r="O606" s="59">
        <f t="shared" si="143"/>
        <v>6000</v>
      </c>
      <c r="P606" s="142">
        <f t="shared" si="144"/>
        <v>0</v>
      </c>
      <c r="Q606" s="142">
        <f t="shared" si="145"/>
        <v>0</v>
      </c>
      <c r="R606" s="142">
        <f t="shared" si="146"/>
        <v>0</v>
      </c>
      <c r="S606" s="142">
        <f t="shared" si="147"/>
        <v>0</v>
      </c>
      <c r="T606" s="142">
        <f t="shared" si="148"/>
        <v>0</v>
      </c>
      <c r="U606" s="60">
        <f t="shared" si="149"/>
        <v>0</v>
      </c>
    </row>
    <row r="607" spans="1:21" x14ac:dyDescent="0.2">
      <c r="A607" s="115"/>
      <c r="B607" s="139" t="s">
        <v>363</v>
      </c>
      <c r="C607" s="140" t="s">
        <v>556</v>
      </c>
      <c r="D607" s="141">
        <v>45868</v>
      </c>
      <c r="E607" s="141">
        <v>45958</v>
      </c>
      <c r="F607" s="57">
        <v>300</v>
      </c>
      <c r="G607" s="58">
        <f t="shared" si="135"/>
        <v>-64</v>
      </c>
      <c r="H607" s="142">
        <f t="shared" si="136"/>
        <v>0</v>
      </c>
      <c r="I607" s="142">
        <f t="shared" si="137"/>
        <v>0</v>
      </c>
      <c r="J607" s="143">
        <f t="shared" si="138"/>
        <v>0</v>
      </c>
      <c r="K607" s="143">
        <f t="shared" si="139"/>
        <v>0</v>
      </c>
      <c r="L607" s="142">
        <f t="shared" si="140"/>
        <v>300</v>
      </c>
      <c r="M607" s="142">
        <f t="shared" si="141"/>
        <v>0</v>
      </c>
      <c r="N607" s="142">
        <f t="shared" si="142"/>
        <v>0</v>
      </c>
      <c r="O607" s="59">
        <f t="shared" si="143"/>
        <v>300</v>
      </c>
      <c r="P607" s="142">
        <f t="shared" si="144"/>
        <v>0</v>
      </c>
      <c r="Q607" s="142">
        <f t="shared" si="145"/>
        <v>0</v>
      </c>
      <c r="R607" s="142">
        <f t="shared" si="146"/>
        <v>0</v>
      </c>
      <c r="S607" s="142">
        <f t="shared" si="147"/>
        <v>0</v>
      </c>
      <c r="T607" s="142">
        <f t="shared" si="148"/>
        <v>0</v>
      </c>
      <c r="U607" s="60">
        <f t="shared" si="149"/>
        <v>0</v>
      </c>
    </row>
    <row r="608" spans="1:21" x14ac:dyDescent="0.2">
      <c r="A608" s="115"/>
      <c r="B608" s="139" t="s">
        <v>363</v>
      </c>
      <c r="C608" s="140" t="s">
        <v>557</v>
      </c>
      <c r="D608" s="141">
        <v>45869</v>
      </c>
      <c r="E608" s="141">
        <v>45959</v>
      </c>
      <c r="F608" s="57">
        <v>5910</v>
      </c>
      <c r="G608" s="58">
        <f t="shared" si="135"/>
        <v>-63</v>
      </c>
      <c r="H608" s="142">
        <f t="shared" si="136"/>
        <v>0</v>
      </c>
      <c r="I608" s="142">
        <f t="shared" si="137"/>
        <v>0</v>
      </c>
      <c r="J608" s="143">
        <f t="shared" si="138"/>
        <v>0</v>
      </c>
      <c r="K608" s="143">
        <f t="shared" si="139"/>
        <v>0</v>
      </c>
      <c r="L608" s="142">
        <f t="shared" si="140"/>
        <v>5910</v>
      </c>
      <c r="M608" s="142">
        <f t="shared" si="141"/>
        <v>0</v>
      </c>
      <c r="N608" s="142">
        <f t="shared" si="142"/>
        <v>0</v>
      </c>
      <c r="O608" s="59">
        <f t="shared" si="143"/>
        <v>5910</v>
      </c>
      <c r="P608" s="142">
        <f t="shared" si="144"/>
        <v>0</v>
      </c>
      <c r="Q608" s="142">
        <f t="shared" si="145"/>
        <v>0</v>
      </c>
      <c r="R608" s="142">
        <f t="shared" si="146"/>
        <v>0</v>
      </c>
      <c r="S608" s="142">
        <f t="shared" si="147"/>
        <v>0</v>
      </c>
      <c r="T608" s="142">
        <f t="shared" si="148"/>
        <v>0</v>
      </c>
      <c r="U608" s="60">
        <f t="shared" si="149"/>
        <v>0</v>
      </c>
    </row>
    <row r="609" spans="1:21" x14ac:dyDescent="0.2">
      <c r="A609" s="115"/>
      <c r="B609" s="139" t="s">
        <v>363</v>
      </c>
      <c r="C609" s="140" t="s">
        <v>605</v>
      </c>
      <c r="D609" s="141">
        <v>45889</v>
      </c>
      <c r="E609" s="141">
        <v>45979</v>
      </c>
      <c r="F609" s="57">
        <v>180</v>
      </c>
      <c r="G609" s="58">
        <f t="shared" si="135"/>
        <v>-43</v>
      </c>
      <c r="H609" s="142">
        <f t="shared" si="136"/>
        <v>0</v>
      </c>
      <c r="I609" s="142">
        <f t="shared" si="137"/>
        <v>0</v>
      </c>
      <c r="J609" s="143">
        <f t="shared" si="138"/>
        <v>0</v>
      </c>
      <c r="K609" s="143">
        <f t="shared" si="139"/>
        <v>0</v>
      </c>
      <c r="L609" s="142">
        <f t="shared" si="140"/>
        <v>0</v>
      </c>
      <c r="M609" s="142">
        <f t="shared" si="141"/>
        <v>180</v>
      </c>
      <c r="N609" s="142">
        <f t="shared" si="142"/>
        <v>0</v>
      </c>
      <c r="O609" s="59">
        <f t="shared" si="143"/>
        <v>180</v>
      </c>
      <c r="P609" s="142">
        <f t="shared" si="144"/>
        <v>0</v>
      </c>
      <c r="Q609" s="142">
        <f t="shared" si="145"/>
        <v>0</v>
      </c>
      <c r="R609" s="142">
        <f t="shared" si="146"/>
        <v>0</v>
      </c>
      <c r="S609" s="142">
        <f t="shared" si="147"/>
        <v>0</v>
      </c>
      <c r="T609" s="142">
        <f t="shared" si="148"/>
        <v>0</v>
      </c>
      <c r="U609" s="60">
        <f t="shared" si="149"/>
        <v>0</v>
      </c>
    </row>
    <row r="610" spans="1:21" x14ac:dyDescent="0.2">
      <c r="A610" s="115"/>
      <c r="B610" s="139" t="s">
        <v>363</v>
      </c>
      <c r="C610" s="140" t="s">
        <v>606</v>
      </c>
      <c r="D610" s="141">
        <v>45889</v>
      </c>
      <c r="E610" s="141">
        <v>45979</v>
      </c>
      <c r="F610" s="57">
        <v>5800</v>
      </c>
      <c r="G610" s="58">
        <f t="shared" si="135"/>
        <v>-43</v>
      </c>
      <c r="H610" s="142">
        <f t="shared" si="136"/>
        <v>0</v>
      </c>
      <c r="I610" s="142">
        <f t="shared" si="137"/>
        <v>0</v>
      </c>
      <c r="J610" s="143">
        <f t="shared" si="138"/>
        <v>0</v>
      </c>
      <c r="K610" s="143">
        <f t="shared" si="139"/>
        <v>0</v>
      </c>
      <c r="L610" s="142">
        <f t="shared" si="140"/>
        <v>0</v>
      </c>
      <c r="M610" s="142">
        <f t="shared" si="141"/>
        <v>5800</v>
      </c>
      <c r="N610" s="142">
        <f t="shared" si="142"/>
        <v>0</v>
      </c>
      <c r="O610" s="59">
        <f t="shared" si="143"/>
        <v>5800</v>
      </c>
      <c r="P610" s="142">
        <f t="shared" si="144"/>
        <v>0</v>
      </c>
      <c r="Q610" s="142">
        <f t="shared" si="145"/>
        <v>0</v>
      </c>
      <c r="R610" s="142">
        <f t="shared" si="146"/>
        <v>0</v>
      </c>
      <c r="S610" s="142">
        <f t="shared" si="147"/>
        <v>0</v>
      </c>
      <c r="T610" s="142">
        <f t="shared" si="148"/>
        <v>0</v>
      </c>
      <c r="U610" s="60">
        <f t="shared" si="149"/>
        <v>0</v>
      </c>
    </row>
    <row r="611" spans="1:21" x14ac:dyDescent="0.2">
      <c r="A611" s="115"/>
      <c r="B611" s="139" t="s">
        <v>363</v>
      </c>
      <c r="C611" s="140" t="s">
        <v>607</v>
      </c>
      <c r="D611" s="141">
        <v>45889</v>
      </c>
      <c r="E611" s="141">
        <v>45979</v>
      </c>
      <c r="F611" s="57">
        <v>25290</v>
      </c>
      <c r="G611" s="58">
        <f t="shared" si="135"/>
        <v>-43</v>
      </c>
      <c r="H611" s="142">
        <f t="shared" si="136"/>
        <v>0</v>
      </c>
      <c r="I611" s="142">
        <f t="shared" si="137"/>
        <v>0</v>
      </c>
      <c r="J611" s="143">
        <f t="shared" si="138"/>
        <v>0</v>
      </c>
      <c r="K611" s="143">
        <f t="shared" si="139"/>
        <v>0</v>
      </c>
      <c r="L611" s="142">
        <f t="shared" si="140"/>
        <v>0</v>
      </c>
      <c r="M611" s="142">
        <f t="shared" si="141"/>
        <v>25290</v>
      </c>
      <c r="N611" s="142">
        <f t="shared" si="142"/>
        <v>0</v>
      </c>
      <c r="O611" s="59">
        <f t="shared" si="143"/>
        <v>25290</v>
      </c>
      <c r="P611" s="142">
        <f t="shared" si="144"/>
        <v>0</v>
      </c>
      <c r="Q611" s="142">
        <f t="shared" si="145"/>
        <v>0</v>
      </c>
      <c r="R611" s="142">
        <f t="shared" si="146"/>
        <v>0</v>
      </c>
      <c r="S611" s="142">
        <f t="shared" si="147"/>
        <v>0</v>
      </c>
      <c r="T611" s="142">
        <f t="shared" si="148"/>
        <v>0</v>
      </c>
      <c r="U611" s="60">
        <f t="shared" si="149"/>
        <v>0</v>
      </c>
    </row>
    <row r="612" spans="1:21" x14ac:dyDescent="0.2">
      <c r="A612" s="115"/>
      <c r="B612" s="139" t="s">
        <v>363</v>
      </c>
      <c r="C612" s="140" t="s">
        <v>608</v>
      </c>
      <c r="D612" s="141">
        <v>45889</v>
      </c>
      <c r="E612" s="141">
        <v>45979</v>
      </c>
      <c r="F612" s="57">
        <v>22380</v>
      </c>
      <c r="G612" s="58">
        <f t="shared" si="135"/>
        <v>-43</v>
      </c>
      <c r="H612" s="142">
        <f t="shared" si="136"/>
        <v>0</v>
      </c>
      <c r="I612" s="142">
        <f t="shared" si="137"/>
        <v>0</v>
      </c>
      <c r="J612" s="143">
        <f t="shared" si="138"/>
        <v>0</v>
      </c>
      <c r="K612" s="143">
        <f t="shared" si="139"/>
        <v>0</v>
      </c>
      <c r="L612" s="142">
        <f t="shared" si="140"/>
        <v>0</v>
      </c>
      <c r="M612" s="142">
        <f t="shared" si="141"/>
        <v>22380</v>
      </c>
      <c r="N612" s="142">
        <f t="shared" si="142"/>
        <v>0</v>
      </c>
      <c r="O612" s="59">
        <f t="shared" si="143"/>
        <v>22380</v>
      </c>
      <c r="P612" s="142">
        <f t="shared" si="144"/>
        <v>0</v>
      </c>
      <c r="Q612" s="142">
        <f t="shared" si="145"/>
        <v>0</v>
      </c>
      <c r="R612" s="142">
        <f t="shared" si="146"/>
        <v>0</v>
      </c>
      <c r="S612" s="142">
        <f t="shared" si="147"/>
        <v>0</v>
      </c>
      <c r="T612" s="142">
        <f t="shared" si="148"/>
        <v>0</v>
      </c>
      <c r="U612" s="60">
        <f t="shared" si="149"/>
        <v>0</v>
      </c>
    </row>
    <row r="613" spans="1:21" x14ac:dyDescent="0.2">
      <c r="A613" s="115"/>
      <c r="B613" s="139" t="s">
        <v>363</v>
      </c>
      <c r="C613" s="140" t="s">
        <v>609</v>
      </c>
      <c r="D613" s="141">
        <v>45889</v>
      </c>
      <c r="E613" s="141">
        <v>45979</v>
      </c>
      <c r="F613" s="57">
        <v>22280</v>
      </c>
      <c r="G613" s="58">
        <f t="shared" si="135"/>
        <v>-43</v>
      </c>
      <c r="H613" s="142">
        <f t="shared" si="136"/>
        <v>0</v>
      </c>
      <c r="I613" s="142">
        <f t="shared" si="137"/>
        <v>0</v>
      </c>
      <c r="J613" s="143">
        <f t="shared" si="138"/>
        <v>0</v>
      </c>
      <c r="K613" s="143">
        <f t="shared" si="139"/>
        <v>0</v>
      </c>
      <c r="L613" s="142">
        <f t="shared" si="140"/>
        <v>0</v>
      </c>
      <c r="M613" s="142">
        <f t="shared" si="141"/>
        <v>22280</v>
      </c>
      <c r="N613" s="142">
        <f t="shared" si="142"/>
        <v>0</v>
      </c>
      <c r="O613" s="59">
        <f t="shared" si="143"/>
        <v>22280</v>
      </c>
      <c r="P613" s="142">
        <f t="shared" si="144"/>
        <v>0</v>
      </c>
      <c r="Q613" s="142">
        <f t="shared" si="145"/>
        <v>0</v>
      </c>
      <c r="R613" s="142">
        <f t="shared" si="146"/>
        <v>0</v>
      </c>
      <c r="S613" s="142">
        <f t="shared" si="147"/>
        <v>0</v>
      </c>
      <c r="T613" s="142">
        <f t="shared" si="148"/>
        <v>0</v>
      </c>
      <c r="U613" s="60">
        <f t="shared" si="149"/>
        <v>0</v>
      </c>
    </row>
    <row r="614" spans="1:21" x14ac:dyDescent="0.2">
      <c r="A614" s="115"/>
      <c r="B614" s="139" t="s">
        <v>363</v>
      </c>
      <c r="C614" s="140" t="s">
        <v>610</v>
      </c>
      <c r="D614" s="141">
        <v>45889</v>
      </c>
      <c r="E614" s="141">
        <v>45979</v>
      </c>
      <c r="F614" s="57">
        <v>22690</v>
      </c>
      <c r="G614" s="58">
        <f t="shared" si="135"/>
        <v>-43</v>
      </c>
      <c r="H614" s="142">
        <f t="shared" si="136"/>
        <v>0</v>
      </c>
      <c r="I614" s="142">
        <f t="shared" si="137"/>
        <v>0</v>
      </c>
      <c r="J614" s="143">
        <f t="shared" si="138"/>
        <v>0</v>
      </c>
      <c r="K614" s="143">
        <f t="shared" si="139"/>
        <v>0</v>
      </c>
      <c r="L614" s="142">
        <f t="shared" si="140"/>
        <v>0</v>
      </c>
      <c r="M614" s="142">
        <f t="shared" si="141"/>
        <v>22690</v>
      </c>
      <c r="N614" s="142">
        <f t="shared" si="142"/>
        <v>0</v>
      </c>
      <c r="O614" s="59">
        <f t="shared" si="143"/>
        <v>22690</v>
      </c>
      <c r="P614" s="142">
        <f t="shared" si="144"/>
        <v>0</v>
      </c>
      <c r="Q614" s="142">
        <f t="shared" si="145"/>
        <v>0</v>
      </c>
      <c r="R614" s="142">
        <f t="shared" si="146"/>
        <v>0</v>
      </c>
      <c r="S614" s="142">
        <f t="shared" si="147"/>
        <v>0</v>
      </c>
      <c r="T614" s="142">
        <f t="shared" si="148"/>
        <v>0</v>
      </c>
      <c r="U614" s="60">
        <f t="shared" si="149"/>
        <v>0</v>
      </c>
    </row>
    <row r="615" spans="1:21" x14ac:dyDescent="0.2">
      <c r="A615" s="115"/>
      <c r="B615" s="139" t="s">
        <v>363</v>
      </c>
      <c r="C615" s="140" t="s">
        <v>611</v>
      </c>
      <c r="D615" s="141">
        <v>45897</v>
      </c>
      <c r="E615" s="141">
        <v>45987</v>
      </c>
      <c r="F615" s="57">
        <v>6990</v>
      </c>
      <c r="G615" s="58">
        <f t="shared" si="135"/>
        <v>-35</v>
      </c>
      <c r="H615" s="142">
        <f t="shared" si="136"/>
        <v>0</v>
      </c>
      <c r="I615" s="142">
        <f t="shared" si="137"/>
        <v>0</v>
      </c>
      <c r="J615" s="143">
        <f t="shared" si="138"/>
        <v>0</v>
      </c>
      <c r="K615" s="143">
        <f t="shared" si="139"/>
        <v>0</v>
      </c>
      <c r="L615" s="142">
        <f t="shared" si="140"/>
        <v>0</v>
      </c>
      <c r="M615" s="142">
        <f t="shared" si="141"/>
        <v>6990</v>
      </c>
      <c r="N615" s="142">
        <f t="shared" si="142"/>
        <v>0</v>
      </c>
      <c r="O615" s="59">
        <f t="shared" si="143"/>
        <v>6990</v>
      </c>
      <c r="P615" s="142">
        <f t="shared" si="144"/>
        <v>0</v>
      </c>
      <c r="Q615" s="142">
        <f t="shared" si="145"/>
        <v>0</v>
      </c>
      <c r="R615" s="142">
        <f t="shared" si="146"/>
        <v>0</v>
      </c>
      <c r="S615" s="142">
        <f t="shared" si="147"/>
        <v>0</v>
      </c>
      <c r="T615" s="142">
        <f t="shared" si="148"/>
        <v>0</v>
      </c>
      <c r="U615" s="60">
        <f t="shared" si="149"/>
        <v>0</v>
      </c>
    </row>
    <row r="616" spans="1:21" x14ac:dyDescent="0.2">
      <c r="A616" s="115"/>
      <c r="B616" s="139" t="s">
        <v>363</v>
      </c>
      <c r="C616" s="140" t="s">
        <v>612</v>
      </c>
      <c r="D616" s="141">
        <v>45897</v>
      </c>
      <c r="E616" s="141">
        <v>45987</v>
      </c>
      <c r="F616" s="57">
        <v>5910</v>
      </c>
      <c r="G616" s="58">
        <f t="shared" si="135"/>
        <v>-35</v>
      </c>
      <c r="H616" s="142">
        <f t="shared" si="136"/>
        <v>0</v>
      </c>
      <c r="I616" s="142">
        <f t="shared" si="137"/>
        <v>0</v>
      </c>
      <c r="J616" s="143">
        <f t="shared" si="138"/>
        <v>0</v>
      </c>
      <c r="K616" s="143">
        <f t="shared" si="139"/>
        <v>0</v>
      </c>
      <c r="L616" s="142">
        <f t="shared" si="140"/>
        <v>0</v>
      </c>
      <c r="M616" s="142">
        <f t="shared" si="141"/>
        <v>5910</v>
      </c>
      <c r="N616" s="142">
        <f t="shared" si="142"/>
        <v>0</v>
      </c>
      <c r="O616" s="59">
        <f t="shared" si="143"/>
        <v>5910</v>
      </c>
      <c r="P616" s="142">
        <f t="shared" si="144"/>
        <v>0</v>
      </c>
      <c r="Q616" s="142">
        <f t="shared" si="145"/>
        <v>0</v>
      </c>
      <c r="R616" s="142">
        <f t="shared" si="146"/>
        <v>0</v>
      </c>
      <c r="S616" s="142">
        <f t="shared" si="147"/>
        <v>0</v>
      </c>
      <c r="T616" s="142">
        <f t="shared" si="148"/>
        <v>0</v>
      </c>
      <c r="U616" s="60">
        <f t="shared" si="149"/>
        <v>0</v>
      </c>
    </row>
    <row r="617" spans="1:21" x14ac:dyDescent="0.2">
      <c r="A617" s="115"/>
      <c r="B617" s="139" t="s">
        <v>363</v>
      </c>
      <c r="C617" s="140" t="s">
        <v>613</v>
      </c>
      <c r="D617" s="141">
        <v>45897</v>
      </c>
      <c r="E617" s="141">
        <v>45987</v>
      </c>
      <c r="F617" s="57">
        <v>5190</v>
      </c>
      <c r="G617" s="58">
        <f t="shared" si="135"/>
        <v>-35</v>
      </c>
      <c r="H617" s="142">
        <f t="shared" si="136"/>
        <v>0</v>
      </c>
      <c r="I617" s="142">
        <f t="shared" si="137"/>
        <v>0</v>
      </c>
      <c r="J617" s="143">
        <f t="shared" si="138"/>
        <v>0</v>
      </c>
      <c r="K617" s="143">
        <f t="shared" si="139"/>
        <v>0</v>
      </c>
      <c r="L617" s="142">
        <f t="shared" si="140"/>
        <v>0</v>
      </c>
      <c r="M617" s="142">
        <f t="shared" si="141"/>
        <v>5190</v>
      </c>
      <c r="N617" s="142">
        <f t="shared" si="142"/>
        <v>0</v>
      </c>
      <c r="O617" s="59">
        <f t="shared" si="143"/>
        <v>5190</v>
      </c>
      <c r="P617" s="142">
        <f t="shared" si="144"/>
        <v>0</v>
      </c>
      <c r="Q617" s="142">
        <f t="shared" si="145"/>
        <v>0</v>
      </c>
      <c r="R617" s="142">
        <f t="shared" si="146"/>
        <v>0</v>
      </c>
      <c r="S617" s="142">
        <f t="shared" si="147"/>
        <v>0</v>
      </c>
      <c r="T617" s="142">
        <f t="shared" si="148"/>
        <v>0</v>
      </c>
      <c r="U617" s="60">
        <f t="shared" si="149"/>
        <v>0</v>
      </c>
    </row>
    <row r="618" spans="1:21" x14ac:dyDescent="0.2">
      <c r="A618" s="115"/>
      <c r="B618" s="139" t="s">
        <v>363</v>
      </c>
      <c r="C618" s="140" t="s">
        <v>614</v>
      </c>
      <c r="D618" s="141">
        <v>45897</v>
      </c>
      <c r="E618" s="141">
        <v>45987</v>
      </c>
      <c r="F618" s="57">
        <v>4100</v>
      </c>
      <c r="G618" s="58">
        <f t="shared" si="135"/>
        <v>-35</v>
      </c>
      <c r="H618" s="142">
        <f t="shared" si="136"/>
        <v>0</v>
      </c>
      <c r="I618" s="142">
        <f t="shared" si="137"/>
        <v>0</v>
      </c>
      <c r="J618" s="143">
        <f t="shared" si="138"/>
        <v>0</v>
      </c>
      <c r="K618" s="143">
        <f t="shared" si="139"/>
        <v>0</v>
      </c>
      <c r="L618" s="142">
        <f t="shared" si="140"/>
        <v>0</v>
      </c>
      <c r="M618" s="142">
        <f t="shared" si="141"/>
        <v>4100</v>
      </c>
      <c r="N618" s="142">
        <f t="shared" si="142"/>
        <v>0</v>
      </c>
      <c r="O618" s="59">
        <f t="shared" si="143"/>
        <v>4100</v>
      </c>
      <c r="P618" s="142">
        <f t="shared" si="144"/>
        <v>0</v>
      </c>
      <c r="Q618" s="142">
        <f t="shared" si="145"/>
        <v>0</v>
      </c>
      <c r="R618" s="142">
        <f t="shared" si="146"/>
        <v>0</v>
      </c>
      <c r="S618" s="142">
        <f t="shared" si="147"/>
        <v>0</v>
      </c>
      <c r="T618" s="142">
        <f t="shared" si="148"/>
        <v>0</v>
      </c>
      <c r="U618" s="60">
        <f t="shared" si="149"/>
        <v>0</v>
      </c>
    </row>
    <row r="619" spans="1:21" x14ac:dyDescent="0.2">
      <c r="A619" s="115"/>
      <c r="B619" s="139" t="s">
        <v>363</v>
      </c>
      <c r="C619" s="140" t="s">
        <v>615</v>
      </c>
      <c r="D619" s="141">
        <v>45897</v>
      </c>
      <c r="E619" s="141">
        <v>45987</v>
      </c>
      <c r="F619" s="57">
        <v>300</v>
      </c>
      <c r="G619" s="58">
        <f t="shared" si="135"/>
        <v>-35</v>
      </c>
      <c r="H619" s="142">
        <f t="shared" si="136"/>
        <v>0</v>
      </c>
      <c r="I619" s="142">
        <f t="shared" si="137"/>
        <v>0</v>
      </c>
      <c r="J619" s="143">
        <f t="shared" si="138"/>
        <v>0</v>
      </c>
      <c r="K619" s="143">
        <f t="shared" si="139"/>
        <v>0</v>
      </c>
      <c r="L619" s="142">
        <f t="shared" si="140"/>
        <v>0</v>
      </c>
      <c r="M619" s="142">
        <f t="shared" si="141"/>
        <v>300</v>
      </c>
      <c r="N619" s="142">
        <f t="shared" si="142"/>
        <v>0</v>
      </c>
      <c r="O619" s="59">
        <f t="shared" si="143"/>
        <v>300</v>
      </c>
      <c r="P619" s="142">
        <f t="shared" si="144"/>
        <v>0</v>
      </c>
      <c r="Q619" s="142">
        <f t="shared" si="145"/>
        <v>0</v>
      </c>
      <c r="R619" s="142">
        <f t="shared" si="146"/>
        <v>0</v>
      </c>
      <c r="S619" s="142">
        <f t="shared" si="147"/>
        <v>0</v>
      </c>
      <c r="T619" s="142">
        <f t="shared" si="148"/>
        <v>0</v>
      </c>
      <c r="U619" s="60">
        <f t="shared" si="149"/>
        <v>0</v>
      </c>
    </row>
    <row r="620" spans="1:21" x14ac:dyDescent="0.2">
      <c r="A620" s="115"/>
      <c r="B620" s="139" t="s">
        <v>363</v>
      </c>
      <c r="C620" s="140" t="s">
        <v>616</v>
      </c>
      <c r="D620" s="141">
        <v>45897</v>
      </c>
      <c r="E620" s="141">
        <v>45987</v>
      </c>
      <c r="F620" s="57">
        <v>5910</v>
      </c>
      <c r="G620" s="58">
        <f t="shared" si="135"/>
        <v>-35</v>
      </c>
      <c r="H620" s="142">
        <f t="shared" si="136"/>
        <v>0</v>
      </c>
      <c r="I620" s="142">
        <f t="shared" si="137"/>
        <v>0</v>
      </c>
      <c r="J620" s="143">
        <f t="shared" si="138"/>
        <v>0</v>
      </c>
      <c r="K620" s="143">
        <f t="shared" si="139"/>
        <v>0</v>
      </c>
      <c r="L620" s="142">
        <f t="shared" si="140"/>
        <v>0</v>
      </c>
      <c r="M620" s="142">
        <f t="shared" si="141"/>
        <v>5910</v>
      </c>
      <c r="N620" s="142">
        <f t="shared" si="142"/>
        <v>0</v>
      </c>
      <c r="O620" s="59">
        <f t="shared" si="143"/>
        <v>5910</v>
      </c>
      <c r="P620" s="142">
        <f t="shared" si="144"/>
        <v>0</v>
      </c>
      <c r="Q620" s="142">
        <f t="shared" si="145"/>
        <v>0</v>
      </c>
      <c r="R620" s="142">
        <f t="shared" si="146"/>
        <v>0</v>
      </c>
      <c r="S620" s="142">
        <f t="shared" si="147"/>
        <v>0</v>
      </c>
      <c r="T620" s="142">
        <f t="shared" si="148"/>
        <v>0</v>
      </c>
      <c r="U620" s="60">
        <f t="shared" si="149"/>
        <v>0</v>
      </c>
    </row>
    <row r="621" spans="1:21" x14ac:dyDescent="0.2">
      <c r="A621" s="115"/>
      <c r="B621" s="139" t="s">
        <v>363</v>
      </c>
      <c r="C621" s="140" t="s">
        <v>617</v>
      </c>
      <c r="D621" s="141">
        <v>45897</v>
      </c>
      <c r="E621" s="141">
        <v>45987</v>
      </c>
      <c r="F621" s="57">
        <v>6000</v>
      </c>
      <c r="G621" s="58">
        <f t="shared" si="135"/>
        <v>-35</v>
      </c>
      <c r="H621" s="142">
        <f t="shared" si="136"/>
        <v>0</v>
      </c>
      <c r="I621" s="142">
        <f t="shared" si="137"/>
        <v>0</v>
      </c>
      <c r="J621" s="143">
        <f t="shared" si="138"/>
        <v>0</v>
      </c>
      <c r="K621" s="143">
        <f t="shared" si="139"/>
        <v>0</v>
      </c>
      <c r="L621" s="142">
        <f t="shared" si="140"/>
        <v>0</v>
      </c>
      <c r="M621" s="142">
        <f t="shared" si="141"/>
        <v>6000</v>
      </c>
      <c r="N621" s="142">
        <f t="shared" si="142"/>
        <v>0</v>
      </c>
      <c r="O621" s="59">
        <f t="shared" si="143"/>
        <v>6000</v>
      </c>
      <c r="P621" s="142">
        <f t="shared" si="144"/>
        <v>0</v>
      </c>
      <c r="Q621" s="142">
        <f t="shared" si="145"/>
        <v>0</v>
      </c>
      <c r="R621" s="142">
        <f t="shared" si="146"/>
        <v>0</v>
      </c>
      <c r="S621" s="142">
        <f t="shared" si="147"/>
        <v>0</v>
      </c>
      <c r="T621" s="142">
        <f t="shared" si="148"/>
        <v>0</v>
      </c>
      <c r="U621" s="60">
        <f t="shared" si="149"/>
        <v>0</v>
      </c>
    </row>
    <row r="622" spans="1:21" x14ac:dyDescent="0.2">
      <c r="A622" s="115"/>
      <c r="B622" s="139" t="s">
        <v>363</v>
      </c>
      <c r="C622" s="140" t="s">
        <v>618</v>
      </c>
      <c r="D622" s="141">
        <v>45897</v>
      </c>
      <c r="E622" s="141">
        <v>45987</v>
      </c>
      <c r="F622" s="57">
        <v>4100</v>
      </c>
      <c r="G622" s="58">
        <f t="shared" si="135"/>
        <v>-35</v>
      </c>
      <c r="H622" s="142">
        <f t="shared" si="136"/>
        <v>0</v>
      </c>
      <c r="I622" s="142">
        <f t="shared" si="137"/>
        <v>0</v>
      </c>
      <c r="J622" s="143">
        <f t="shared" si="138"/>
        <v>0</v>
      </c>
      <c r="K622" s="143">
        <f t="shared" si="139"/>
        <v>0</v>
      </c>
      <c r="L622" s="142">
        <f t="shared" si="140"/>
        <v>0</v>
      </c>
      <c r="M622" s="142">
        <f t="shared" si="141"/>
        <v>4100</v>
      </c>
      <c r="N622" s="142">
        <f t="shared" si="142"/>
        <v>0</v>
      </c>
      <c r="O622" s="59">
        <f t="shared" si="143"/>
        <v>4100</v>
      </c>
      <c r="P622" s="142">
        <f t="shared" si="144"/>
        <v>0</v>
      </c>
      <c r="Q622" s="142">
        <f t="shared" si="145"/>
        <v>0</v>
      </c>
      <c r="R622" s="142">
        <f t="shared" si="146"/>
        <v>0</v>
      </c>
      <c r="S622" s="142">
        <f t="shared" si="147"/>
        <v>0</v>
      </c>
      <c r="T622" s="142">
        <f t="shared" si="148"/>
        <v>0</v>
      </c>
      <c r="U622" s="60">
        <f t="shared" si="149"/>
        <v>0</v>
      </c>
    </row>
    <row r="623" spans="1:21" x14ac:dyDescent="0.2">
      <c r="A623" s="115"/>
      <c r="B623" s="139" t="s">
        <v>363</v>
      </c>
      <c r="C623" s="140" t="s">
        <v>619</v>
      </c>
      <c r="D623" s="141">
        <v>45897</v>
      </c>
      <c r="E623" s="141">
        <v>45987</v>
      </c>
      <c r="F623" s="57">
        <v>4100</v>
      </c>
      <c r="G623" s="58">
        <f t="shared" si="135"/>
        <v>-35</v>
      </c>
      <c r="H623" s="142">
        <f t="shared" si="136"/>
        <v>0</v>
      </c>
      <c r="I623" s="142">
        <f t="shared" si="137"/>
        <v>0</v>
      </c>
      <c r="J623" s="143">
        <f t="shared" si="138"/>
        <v>0</v>
      </c>
      <c r="K623" s="143">
        <f t="shared" si="139"/>
        <v>0</v>
      </c>
      <c r="L623" s="142">
        <f t="shared" si="140"/>
        <v>0</v>
      </c>
      <c r="M623" s="142">
        <f t="shared" si="141"/>
        <v>4100</v>
      </c>
      <c r="N623" s="142">
        <f t="shared" si="142"/>
        <v>0</v>
      </c>
      <c r="O623" s="59">
        <f t="shared" si="143"/>
        <v>4100</v>
      </c>
      <c r="P623" s="142">
        <f t="shared" si="144"/>
        <v>0</v>
      </c>
      <c r="Q623" s="142">
        <f t="shared" si="145"/>
        <v>0</v>
      </c>
      <c r="R623" s="142">
        <f t="shared" si="146"/>
        <v>0</v>
      </c>
      <c r="S623" s="142">
        <f t="shared" si="147"/>
        <v>0</v>
      </c>
      <c r="T623" s="142">
        <f t="shared" si="148"/>
        <v>0</v>
      </c>
      <c r="U623" s="60">
        <f t="shared" si="149"/>
        <v>0</v>
      </c>
    </row>
    <row r="624" spans="1:21" x14ac:dyDescent="0.2">
      <c r="A624" s="115"/>
      <c r="B624" s="139" t="s">
        <v>363</v>
      </c>
      <c r="C624" s="140" t="s">
        <v>668</v>
      </c>
      <c r="D624" s="141">
        <v>45905</v>
      </c>
      <c r="E624" s="141">
        <v>45995</v>
      </c>
      <c r="F624" s="57">
        <v>8680</v>
      </c>
      <c r="G624" s="58">
        <f t="shared" si="135"/>
        <v>-27</v>
      </c>
      <c r="H624" s="142">
        <f t="shared" si="136"/>
        <v>0</v>
      </c>
      <c r="I624" s="142">
        <f t="shared" si="137"/>
        <v>0</v>
      </c>
      <c r="J624" s="143">
        <f t="shared" si="138"/>
        <v>0</v>
      </c>
      <c r="K624" s="143">
        <f t="shared" si="139"/>
        <v>0</v>
      </c>
      <c r="L624" s="142">
        <f t="shared" si="140"/>
        <v>0</v>
      </c>
      <c r="M624" s="142">
        <f t="shared" si="141"/>
        <v>0</v>
      </c>
      <c r="N624" s="142">
        <f t="shared" si="142"/>
        <v>8680</v>
      </c>
      <c r="O624" s="59">
        <f t="shared" si="143"/>
        <v>8680</v>
      </c>
      <c r="P624" s="142">
        <f t="shared" si="144"/>
        <v>0</v>
      </c>
      <c r="Q624" s="142">
        <f t="shared" si="145"/>
        <v>0</v>
      </c>
      <c r="R624" s="142">
        <f t="shared" si="146"/>
        <v>0</v>
      </c>
      <c r="S624" s="142">
        <f t="shared" si="147"/>
        <v>0</v>
      </c>
      <c r="T624" s="142">
        <f t="shared" si="148"/>
        <v>0</v>
      </c>
      <c r="U624" s="60">
        <f t="shared" si="149"/>
        <v>0</v>
      </c>
    </row>
    <row r="625" spans="1:21" x14ac:dyDescent="0.2">
      <c r="A625" s="115"/>
      <c r="B625" s="139" t="s">
        <v>363</v>
      </c>
      <c r="C625" s="140" t="s">
        <v>669</v>
      </c>
      <c r="D625" s="141">
        <v>45905</v>
      </c>
      <c r="E625" s="141">
        <v>45995</v>
      </c>
      <c r="F625" s="57">
        <v>4100</v>
      </c>
      <c r="G625" s="58">
        <f t="shared" si="135"/>
        <v>-27</v>
      </c>
      <c r="H625" s="142">
        <f t="shared" si="136"/>
        <v>0</v>
      </c>
      <c r="I625" s="142">
        <f t="shared" si="137"/>
        <v>0</v>
      </c>
      <c r="J625" s="143">
        <f t="shared" si="138"/>
        <v>0</v>
      </c>
      <c r="K625" s="143">
        <f t="shared" si="139"/>
        <v>0</v>
      </c>
      <c r="L625" s="142">
        <f t="shared" si="140"/>
        <v>0</v>
      </c>
      <c r="M625" s="142">
        <f t="shared" si="141"/>
        <v>0</v>
      </c>
      <c r="N625" s="142">
        <f t="shared" si="142"/>
        <v>4100</v>
      </c>
      <c r="O625" s="59">
        <f t="shared" si="143"/>
        <v>4100</v>
      </c>
      <c r="P625" s="142">
        <f t="shared" si="144"/>
        <v>0</v>
      </c>
      <c r="Q625" s="142">
        <f t="shared" si="145"/>
        <v>0</v>
      </c>
      <c r="R625" s="142">
        <f t="shared" si="146"/>
        <v>0</v>
      </c>
      <c r="S625" s="142">
        <f t="shared" si="147"/>
        <v>0</v>
      </c>
      <c r="T625" s="142">
        <f t="shared" si="148"/>
        <v>0</v>
      </c>
      <c r="U625" s="60">
        <f t="shared" si="149"/>
        <v>0</v>
      </c>
    </row>
    <row r="626" spans="1:21" x14ac:dyDescent="0.2">
      <c r="A626" s="115"/>
      <c r="B626" s="139" t="s">
        <v>363</v>
      </c>
      <c r="C626" s="140" t="s">
        <v>670</v>
      </c>
      <c r="D626" s="141">
        <v>45905</v>
      </c>
      <c r="E626" s="141">
        <v>45995</v>
      </c>
      <c r="F626" s="57">
        <v>4100</v>
      </c>
      <c r="G626" s="58">
        <f t="shared" si="135"/>
        <v>-27</v>
      </c>
      <c r="H626" s="142">
        <f t="shared" si="136"/>
        <v>0</v>
      </c>
      <c r="I626" s="142">
        <f t="shared" si="137"/>
        <v>0</v>
      </c>
      <c r="J626" s="143">
        <f t="shared" si="138"/>
        <v>0</v>
      </c>
      <c r="K626" s="143">
        <f t="shared" si="139"/>
        <v>0</v>
      </c>
      <c r="L626" s="142">
        <f t="shared" si="140"/>
        <v>0</v>
      </c>
      <c r="M626" s="142">
        <f t="shared" si="141"/>
        <v>0</v>
      </c>
      <c r="N626" s="142">
        <f t="shared" si="142"/>
        <v>4100</v>
      </c>
      <c r="O626" s="59">
        <f t="shared" si="143"/>
        <v>4100</v>
      </c>
      <c r="P626" s="142">
        <f t="shared" si="144"/>
        <v>0</v>
      </c>
      <c r="Q626" s="142">
        <f t="shared" si="145"/>
        <v>0</v>
      </c>
      <c r="R626" s="142">
        <f t="shared" si="146"/>
        <v>0</v>
      </c>
      <c r="S626" s="142">
        <f t="shared" si="147"/>
        <v>0</v>
      </c>
      <c r="T626" s="142">
        <f t="shared" si="148"/>
        <v>0</v>
      </c>
      <c r="U626" s="60">
        <f t="shared" si="149"/>
        <v>0</v>
      </c>
    </row>
    <row r="627" spans="1:21" x14ac:dyDescent="0.2">
      <c r="A627" s="115"/>
      <c r="B627" s="139" t="s">
        <v>363</v>
      </c>
      <c r="C627" s="140" t="s">
        <v>671</v>
      </c>
      <c r="D627" s="141">
        <v>45905</v>
      </c>
      <c r="E627" s="141">
        <v>45995</v>
      </c>
      <c r="F627" s="57">
        <v>5910</v>
      </c>
      <c r="G627" s="58">
        <f t="shared" si="135"/>
        <v>-27</v>
      </c>
      <c r="H627" s="142">
        <f t="shared" si="136"/>
        <v>0</v>
      </c>
      <c r="I627" s="142">
        <f t="shared" si="137"/>
        <v>0</v>
      </c>
      <c r="J627" s="143">
        <f t="shared" si="138"/>
        <v>0</v>
      </c>
      <c r="K627" s="143">
        <f t="shared" si="139"/>
        <v>0</v>
      </c>
      <c r="L627" s="142">
        <f t="shared" si="140"/>
        <v>0</v>
      </c>
      <c r="M627" s="142">
        <f t="shared" si="141"/>
        <v>0</v>
      </c>
      <c r="N627" s="142">
        <f t="shared" si="142"/>
        <v>5910</v>
      </c>
      <c r="O627" s="59">
        <f t="shared" si="143"/>
        <v>5910</v>
      </c>
      <c r="P627" s="142">
        <f t="shared" si="144"/>
        <v>0</v>
      </c>
      <c r="Q627" s="142">
        <f t="shared" si="145"/>
        <v>0</v>
      </c>
      <c r="R627" s="142">
        <f t="shared" si="146"/>
        <v>0</v>
      </c>
      <c r="S627" s="142">
        <f t="shared" si="147"/>
        <v>0</v>
      </c>
      <c r="T627" s="142">
        <f t="shared" si="148"/>
        <v>0</v>
      </c>
      <c r="U627" s="60">
        <f t="shared" si="149"/>
        <v>0</v>
      </c>
    </row>
    <row r="628" spans="1:21" x14ac:dyDescent="0.2">
      <c r="A628" s="115"/>
      <c r="B628" s="139" t="s">
        <v>363</v>
      </c>
      <c r="C628" s="140" t="s">
        <v>672</v>
      </c>
      <c r="D628" s="141">
        <v>45905</v>
      </c>
      <c r="E628" s="141">
        <v>45995</v>
      </c>
      <c r="F628" s="57">
        <v>4100</v>
      </c>
      <c r="G628" s="58">
        <f t="shared" si="135"/>
        <v>-27</v>
      </c>
      <c r="H628" s="142">
        <f t="shared" si="136"/>
        <v>0</v>
      </c>
      <c r="I628" s="142">
        <f t="shared" si="137"/>
        <v>0</v>
      </c>
      <c r="J628" s="143">
        <f t="shared" si="138"/>
        <v>0</v>
      </c>
      <c r="K628" s="143">
        <f t="shared" si="139"/>
        <v>0</v>
      </c>
      <c r="L628" s="142">
        <f t="shared" si="140"/>
        <v>0</v>
      </c>
      <c r="M628" s="142">
        <f t="shared" si="141"/>
        <v>0</v>
      </c>
      <c r="N628" s="142">
        <f t="shared" si="142"/>
        <v>4100</v>
      </c>
      <c r="O628" s="59">
        <f t="shared" si="143"/>
        <v>4100</v>
      </c>
      <c r="P628" s="142">
        <f t="shared" si="144"/>
        <v>0</v>
      </c>
      <c r="Q628" s="142">
        <f t="shared" si="145"/>
        <v>0</v>
      </c>
      <c r="R628" s="142">
        <f t="shared" si="146"/>
        <v>0</v>
      </c>
      <c r="S628" s="142">
        <f t="shared" si="147"/>
        <v>0</v>
      </c>
      <c r="T628" s="142">
        <f t="shared" si="148"/>
        <v>0</v>
      </c>
      <c r="U628" s="60">
        <f t="shared" si="149"/>
        <v>0</v>
      </c>
    </row>
    <row r="629" spans="1:21" x14ac:dyDescent="0.2">
      <c r="A629" s="115"/>
      <c r="B629" s="139" t="s">
        <v>363</v>
      </c>
      <c r="C629" s="140" t="s">
        <v>673</v>
      </c>
      <c r="D629" s="141">
        <v>45917</v>
      </c>
      <c r="E629" s="141">
        <v>46007</v>
      </c>
      <c r="F629" s="57">
        <v>4100</v>
      </c>
      <c r="G629" s="58">
        <f t="shared" si="135"/>
        <v>-15</v>
      </c>
      <c r="H629" s="142">
        <f t="shared" si="136"/>
        <v>0</v>
      </c>
      <c r="I629" s="142">
        <f t="shared" si="137"/>
        <v>0</v>
      </c>
      <c r="J629" s="143">
        <f t="shared" si="138"/>
        <v>0</v>
      </c>
      <c r="K629" s="143">
        <f t="shared" si="139"/>
        <v>0</v>
      </c>
      <c r="L629" s="142">
        <f t="shared" si="140"/>
        <v>0</v>
      </c>
      <c r="M629" s="142">
        <f t="shared" si="141"/>
        <v>0</v>
      </c>
      <c r="N629" s="142">
        <f t="shared" si="142"/>
        <v>4100</v>
      </c>
      <c r="O629" s="59">
        <f t="shared" si="143"/>
        <v>4100</v>
      </c>
      <c r="P629" s="142">
        <f t="shared" si="144"/>
        <v>0</v>
      </c>
      <c r="Q629" s="142">
        <f t="shared" si="145"/>
        <v>0</v>
      </c>
      <c r="R629" s="142">
        <f t="shared" si="146"/>
        <v>0</v>
      </c>
      <c r="S629" s="142">
        <f t="shared" si="147"/>
        <v>0</v>
      </c>
      <c r="T629" s="142">
        <f t="shared" si="148"/>
        <v>0</v>
      </c>
      <c r="U629" s="60">
        <f t="shared" si="149"/>
        <v>0</v>
      </c>
    </row>
    <row r="630" spans="1:21" x14ac:dyDescent="0.2">
      <c r="A630" s="115"/>
      <c r="B630" s="139" t="s">
        <v>363</v>
      </c>
      <c r="C630" s="140" t="s">
        <v>674</v>
      </c>
      <c r="D630" s="141">
        <v>45917</v>
      </c>
      <c r="E630" s="141">
        <v>46007</v>
      </c>
      <c r="F630" s="57">
        <v>4100</v>
      </c>
      <c r="G630" s="58">
        <f t="shared" si="135"/>
        <v>-15</v>
      </c>
      <c r="H630" s="142">
        <f t="shared" si="136"/>
        <v>0</v>
      </c>
      <c r="I630" s="142">
        <f t="shared" si="137"/>
        <v>0</v>
      </c>
      <c r="J630" s="143">
        <f t="shared" si="138"/>
        <v>0</v>
      </c>
      <c r="K630" s="143">
        <f t="shared" si="139"/>
        <v>0</v>
      </c>
      <c r="L630" s="142">
        <f t="shared" si="140"/>
        <v>0</v>
      </c>
      <c r="M630" s="142">
        <f t="shared" si="141"/>
        <v>0</v>
      </c>
      <c r="N630" s="142">
        <f t="shared" si="142"/>
        <v>4100</v>
      </c>
      <c r="O630" s="59">
        <f t="shared" si="143"/>
        <v>4100</v>
      </c>
      <c r="P630" s="142">
        <f t="shared" si="144"/>
        <v>0</v>
      </c>
      <c r="Q630" s="142">
        <f t="shared" si="145"/>
        <v>0</v>
      </c>
      <c r="R630" s="142">
        <f t="shared" si="146"/>
        <v>0</v>
      </c>
      <c r="S630" s="142">
        <f t="shared" si="147"/>
        <v>0</v>
      </c>
      <c r="T630" s="142">
        <f t="shared" si="148"/>
        <v>0</v>
      </c>
      <c r="U630" s="60">
        <f t="shared" si="149"/>
        <v>0</v>
      </c>
    </row>
    <row r="631" spans="1:21" x14ac:dyDescent="0.2">
      <c r="A631" s="115"/>
      <c r="B631" s="139" t="s">
        <v>363</v>
      </c>
      <c r="C631" s="140" t="s">
        <v>675</v>
      </c>
      <c r="D631" s="141">
        <v>45917</v>
      </c>
      <c r="E631" s="141">
        <v>46007</v>
      </c>
      <c r="F631" s="57">
        <v>4100</v>
      </c>
      <c r="G631" s="58">
        <f t="shared" si="135"/>
        <v>-15</v>
      </c>
      <c r="H631" s="142">
        <f t="shared" si="136"/>
        <v>0</v>
      </c>
      <c r="I631" s="142">
        <f t="shared" si="137"/>
        <v>0</v>
      </c>
      <c r="J631" s="143">
        <f t="shared" si="138"/>
        <v>0</v>
      </c>
      <c r="K631" s="143">
        <f t="shared" si="139"/>
        <v>0</v>
      </c>
      <c r="L631" s="142">
        <f t="shared" si="140"/>
        <v>0</v>
      </c>
      <c r="M631" s="142">
        <f t="shared" si="141"/>
        <v>0</v>
      </c>
      <c r="N631" s="142">
        <f t="shared" si="142"/>
        <v>4100</v>
      </c>
      <c r="O631" s="59">
        <f t="shared" si="143"/>
        <v>4100</v>
      </c>
      <c r="P631" s="142">
        <f t="shared" si="144"/>
        <v>0</v>
      </c>
      <c r="Q631" s="142">
        <f t="shared" si="145"/>
        <v>0</v>
      </c>
      <c r="R631" s="142">
        <f t="shared" si="146"/>
        <v>0</v>
      </c>
      <c r="S631" s="142">
        <f t="shared" si="147"/>
        <v>0</v>
      </c>
      <c r="T631" s="142">
        <f t="shared" si="148"/>
        <v>0</v>
      </c>
      <c r="U631" s="60">
        <f t="shared" si="149"/>
        <v>0</v>
      </c>
    </row>
    <row r="632" spans="1:21" x14ac:dyDescent="0.2">
      <c r="A632" s="115"/>
      <c r="B632" s="139" t="s">
        <v>363</v>
      </c>
      <c r="C632" s="140" t="s">
        <v>676</v>
      </c>
      <c r="D632" s="141">
        <v>45917</v>
      </c>
      <c r="E632" s="141">
        <v>46007</v>
      </c>
      <c r="F632" s="57">
        <v>300</v>
      </c>
      <c r="G632" s="58">
        <f t="shared" si="135"/>
        <v>-15</v>
      </c>
      <c r="H632" s="142">
        <f t="shared" si="136"/>
        <v>0</v>
      </c>
      <c r="I632" s="142">
        <f t="shared" si="137"/>
        <v>0</v>
      </c>
      <c r="J632" s="143">
        <f t="shared" si="138"/>
        <v>0</v>
      </c>
      <c r="K632" s="143">
        <f t="shared" si="139"/>
        <v>0</v>
      </c>
      <c r="L632" s="142">
        <f t="shared" si="140"/>
        <v>0</v>
      </c>
      <c r="M632" s="142">
        <f t="shared" si="141"/>
        <v>0</v>
      </c>
      <c r="N632" s="142">
        <f t="shared" si="142"/>
        <v>300</v>
      </c>
      <c r="O632" s="59">
        <f t="shared" si="143"/>
        <v>300</v>
      </c>
      <c r="P632" s="142">
        <f t="shared" si="144"/>
        <v>0</v>
      </c>
      <c r="Q632" s="142">
        <f t="shared" si="145"/>
        <v>0</v>
      </c>
      <c r="R632" s="142">
        <f t="shared" si="146"/>
        <v>0</v>
      </c>
      <c r="S632" s="142">
        <f t="shared" si="147"/>
        <v>0</v>
      </c>
      <c r="T632" s="142">
        <f t="shared" si="148"/>
        <v>0</v>
      </c>
      <c r="U632" s="60">
        <f t="shared" si="149"/>
        <v>0</v>
      </c>
    </row>
    <row r="633" spans="1:21" x14ac:dyDescent="0.2">
      <c r="A633" s="115"/>
      <c r="B633" s="139" t="s">
        <v>363</v>
      </c>
      <c r="C633" s="140" t="s">
        <v>677</v>
      </c>
      <c r="D633" s="141">
        <v>45917</v>
      </c>
      <c r="E633" s="141">
        <v>46007</v>
      </c>
      <c r="F633" s="57">
        <v>4100</v>
      </c>
      <c r="G633" s="58">
        <f t="shared" si="135"/>
        <v>-15</v>
      </c>
      <c r="H633" s="142">
        <f t="shared" si="136"/>
        <v>0</v>
      </c>
      <c r="I633" s="142">
        <f t="shared" si="137"/>
        <v>0</v>
      </c>
      <c r="J633" s="143">
        <f t="shared" si="138"/>
        <v>0</v>
      </c>
      <c r="K633" s="143">
        <f t="shared" si="139"/>
        <v>0</v>
      </c>
      <c r="L633" s="142">
        <f t="shared" si="140"/>
        <v>0</v>
      </c>
      <c r="M633" s="142">
        <f t="shared" si="141"/>
        <v>0</v>
      </c>
      <c r="N633" s="142">
        <f t="shared" si="142"/>
        <v>4100</v>
      </c>
      <c r="O633" s="59">
        <f t="shared" si="143"/>
        <v>4100</v>
      </c>
      <c r="P633" s="142">
        <f t="shared" si="144"/>
        <v>0</v>
      </c>
      <c r="Q633" s="142">
        <f t="shared" si="145"/>
        <v>0</v>
      </c>
      <c r="R633" s="142">
        <f t="shared" si="146"/>
        <v>0</v>
      </c>
      <c r="S633" s="142">
        <f t="shared" si="147"/>
        <v>0</v>
      </c>
      <c r="T633" s="142">
        <f t="shared" si="148"/>
        <v>0</v>
      </c>
      <c r="U633" s="60">
        <f t="shared" si="149"/>
        <v>0</v>
      </c>
    </row>
    <row r="634" spans="1:21" x14ac:dyDescent="0.2">
      <c r="A634" s="115"/>
      <c r="B634" s="139" t="s">
        <v>363</v>
      </c>
      <c r="C634" s="140" t="s">
        <v>678</v>
      </c>
      <c r="D634" s="141">
        <v>45917</v>
      </c>
      <c r="E634" s="141">
        <v>46007</v>
      </c>
      <c r="F634" s="57">
        <v>4100</v>
      </c>
      <c r="G634" s="58">
        <f t="shared" si="135"/>
        <v>-15</v>
      </c>
      <c r="H634" s="142">
        <f t="shared" si="136"/>
        <v>0</v>
      </c>
      <c r="I634" s="142">
        <f t="shared" si="137"/>
        <v>0</v>
      </c>
      <c r="J634" s="143">
        <f t="shared" si="138"/>
        <v>0</v>
      </c>
      <c r="K634" s="143">
        <f t="shared" si="139"/>
        <v>0</v>
      </c>
      <c r="L634" s="142">
        <f t="shared" si="140"/>
        <v>0</v>
      </c>
      <c r="M634" s="142">
        <f t="shared" si="141"/>
        <v>0</v>
      </c>
      <c r="N634" s="142">
        <f t="shared" si="142"/>
        <v>4100</v>
      </c>
      <c r="O634" s="59">
        <f t="shared" si="143"/>
        <v>4100</v>
      </c>
      <c r="P634" s="142">
        <f t="shared" si="144"/>
        <v>0</v>
      </c>
      <c r="Q634" s="142">
        <f t="shared" si="145"/>
        <v>0</v>
      </c>
      <c r="R634" s="142">
        <f t="shared" si="146"/>
        <v>0</v>
      </c>
      <c r="S634" s="142">
        <f t="shared" si="147"/>
        <v>0</v>
      </c>
      <c r="T634" s="142">
        <f t="shared" si="148"/>
        <v>0</v>
      </c>
      <c r="U634" s="60">
        <f t="shared" si="149"/>
        <v>0</v>
      </c>
    </row>
    <row r="635" spans="1:21" x14ac:dyDescent="0.2">
      <c r="A635" s="115"/>
      <c r="B635" s="139" t="s">
        <v>363</v>
      </c>
      <c r="C635" s="140" t="s">
        <v>679</v>
      </c>
      <c r="D635" s="141">
        <v>45917</v>
      </c>
      <c r="E635" s="141">
        <v>46007</v>
      </c>
      <c r="F635" s="57">
        <v>4100</v>
      </c>
      <c r="G635" s="58">
        <f t="shared" si="135"/>
        <v>-15</v>
      </c>
      <c r="H635" s="142">
        <f t="shared" si="136"/>
        <v>0</v>
      </c>
      <c r="I635" s="142">
        <f t="shared" si="137"/>
        <v>0</v>
      </c>
      <c r="J635" s="143">
        <f t="shared" si="138"/>
        <v>0</v>
      </c>
      <c r="K635" s="143">
        <f t="shared" si="139"/>
        <v>0</v>
      </c>
      <c r="L635" s="142">
        <f t="shared" si="140"/>
        <v>0</v>
      </c>
      <c r="M635" s="142">
        <f t="shared" si="141"/>
        <v>0</v>
      </c>
      <c r="N635" s="142">
        <f t="shared" si="142"/>
        <v>4100</v>
      </c>
      <c r="O635" s="59">
        <f t="shared" si="143"/>
        <v>4100</v>
      </c>
      <c r="P635" s="142">
        <f t="shared" si="144"/>
        <v>0</v>
      </c>
      <c r="Q635" s="142">
        <f t="shared" si="145"/>
        <v>0</v>
      </c>
      <c r="R635" s="142">
        <f t="shared" si="146"/>
        <v>0</v>
      </c>
      <c r="S635" s="142">
        <f t="shared" si="147"/>
        <v>0</v>
      </c>
      <c r="T635" s="142">
        <f t="shared" si="148"/>
        <v>0</v>
      </c>
      <c r="U635" s="60">
        <f t="shared" si="149"/>
        <v>0</v>
      </c>
    </row>
    <row r="636" spans="1:21" x14ac:dyDescent="0.2">
      <c r="A636" s="115"/>
      <c r="B636" s="139" t="s">
        <v>363</v>
      </c>
      <c r="C636" s="140" t="s">
        <v>680</v>
      </c>
      <c r="D636" s="141">
        <v>45917</v>
      </c>
      <c r="E636" s="141">
        <v>46007</v>
      </c>
      <c r="F636" s="57">
        <v>300</v>
      </c>
      <c r="G636" s="58">
        <f t="shared" si="135"/>
        <v>-15</v>
      </c>
      <c r="H636" s="142">
        <f t="shared" si="136"/>
        <v>0</v>
      </c>
      <c r="I636" s="142">
        <f t="shared" si="137"/>
        <v>0</v>
      </c>
      <c r="J636" s="143">
        <f t="shared" si="138"/>
        <v>0</v>
      </c>
      <c r="K636" s="143">
        <f t="shared" si="139"/>
        <v>0</v>
      </c>
      <c r="L636" s="142">
        <f t="shared" si="140"/>
        <v>0</v>
      </c>
      <c r="M636" s="142">
        <f t="shared" si="141"/>
        <v>0</v>
      </c>
      <c r="N636" s="142">
        <f t="shared" si="142"/>
        <v>300</v>
      </c>
      <c r="O636" s="59">
        <f t="shared" si="143"/>
        <v>300</v>
      </c>
      <c r="P636" s="142">
        <f t="shared" si="144"/>
        <v>0</v>
      </c>
      <c r="Q636" s="142">
        <f t="shared" si="145"/>
        <v>0</v>
      </c>
      <c r="R636" s="142">
        <f t="shared" si="146"/>
        <v>0</v>
      </c>
      <c r="S636" s="142">
        <f t="shared" si="147"/>
        <v>0</v>
      </c>
      <c r="T636" s="142">
        <f t="shared" si="148"/>
        <v>0</v>
      </c>
      <c r="U636" s="60">
        <f t="shared" si="149"/>
        <v>0</v>
      </c>
    </row>
    <row r="637" spans="1:21" x14ac:dyDescent="0.2">
      <c r="A637" s="115"/>
      <c r="B637" s="139" t="s">
        <v>363</v>
      </c>
      <c r="C637" s="140" t="s">
        <v>681</v>
      </c>
      <c r="D637" s="141">
        <v>45917</v>
      </c>
      <c r="E637" s="141">
        <v>46007</v>
      </c>
      <c r="F637" s="57">
        <v>4100</v>
      </c>
      <c r="G637" s="58">
        <f t="shared" si="135"/>
        <v>-15</v>
      </c>
      <c r="H637" s="142">
        <f t="shared" si="136"/>
        <v>0</v>
      </c>
      <c r="I637" s="142">
        <f t="shared" si="137"/>
        <v>0</v>
      </c>
      <c r="J637" s="143">
        <f t="shared" si="138"/>
        <v>0</v>
      </c>
      <c r="K637" s="143">
        <f t="shared" si="139"/>
        <v>0</v>
      </c>
      <c r="L637" s="142">
        <f t="shared" si="140"/>
        <v>0</v>
      </c>
      <c r="M637" s="142">
        <f t="shared" si="141"/>
        <v>0</v>
      </c>
      <c r="N637" s="142">
        <f t="shared" si="142"/>
        <v>4100</v>
      </c>
      <c r="O637" s="59">
        <f t="shared" si="143"/>
        <v>4100</v>
      </c>
      <c r="P637" s="142">
        <f t="shared" si="144"/>
        <v>0</v>
      </c>
      <c r="Q637" s="142">
        <f t="shared" si="145"/>
        <v>0</v>
      </c>
      <c r="R637" s="142">
        <f t="shared" si="146"/>
        <v>0</v>
      </c>
      <c r="S637" s="142">
        <f t="shared" si="147"/>
        <v>0</v>
      </c>
      <c r="T637" s="142">
        <f t="shared" si="148"/>
        <v>0</v>
      </c>
      <c r="U637" s="60">
        <f t="shared" si="149"/>
        <v>0</v>
      </c>
    </row>
    <row r="638" spans="1:21" x14ac:dyDescent="0.2">
      <c r="A638" s="115"/>
      <c r="B638" s="139" t="s">
        <v>363</v>
      </c>
      <c r="C638" s="140" t="s">
        <v>682</v>
      </c>
      <c r="D638" s="141">
        <v>45917</v>
      </c>
      <c r="E638" s="141">
        <v>46007</v>
      </c>
      <c r="F638" s="57">
        <v>300</v>
      </c>
      <c r="G638" s="58">
        <f t="shared" si="135"/>
        <v>-15</v>
      </c>
      <c r="H638" s="142">
        <f t="shared" si="136"/>
        <v>0</v>
      </c>
      <c r="I638" s="142">
        <f t="shared" si="137"/>
        <v>0</v>
      </c>
      <c r="J638" s="143">
        <f t="shared" si="138"/>
        <v>0</v>
      </c>
      <c r="K638" s="143">
        <f t="shared" si="139"/>
        <v>0</v>
      </c>
      <c r="L638" s="142">
        <f t="shared" si="140"/>
        <v>0</v>
      </c>
      <c r="M638" s="142">
        <f t="shared" si="141"/>
        <v>0</v>
      </c>
      <c r="N638" s="142">
        <f t="shared" si="142"/>
        <v>300</v>
      </c>
      <c r="O638" s="59">
        <f t="shared" si="143"/>
        <v>300</v>
      </c>
      <c r="P638" s="142">
        <f t="shared" si="144"/>
        <v>0</v>
      </c>
      <c r="Q638" s="142">
        <f t="shared" si="145"/>
        <v>0</v>
      </c>
      <c r="R638" s="142">
        <f t="shared" si="146"/>
        <v>0</v>
      </c>
      <c r="S638" s="142">
        <f t="shared" si="147"/>
        <v>0</v>
      </c>
      <c r="T638" s="142">
        <f t="shared" si="148"/>
        <v>0</v>
      </c>
      <c r="U638" s="60">
        <f t="shared" si="149"/>
        <v>0</v>
      </c>
    </row>
    <row r="639" spans="1:21" x14ac:dyDescent="0.2">
      <c r="A639" s="115"/>
      <c r="B639" s="139" t="s">
        <v>363</v>
      </c>
      <c r="C639" s="140" t="s">
        <v>683</v>
      </c>
      <c r="D639" s="141">
        <v>45925</v>
      </c>
      <c r="E639" s="141">
        <v>46015</v>
      </c>
      <c r="F639" s="57">
        <v>6000</v>
      </c>
      <c r="G639" s="58">
        <f t="shared" si="135"/>
        <v>-7</v>
      </c>
      <c r="H639" s="142">
        <f t="shared" si="136"/>
        <v>0</v>
      </c>
      <c r="I639" s="142">
        <f t="shared" si="137"/>
        <v>0</v>
      </c>
      <c r="J639" s="143">
        <f t="shared" si="138"/>
        <v>0</v>
      </c>
      <c r="K639" s="143">
        <f t="shared" si="139"/>
        <v>0</v>
      </c>
      <c r="L639" s="142">
        <f t="shared" si="140"/>
        <v>0</v>
      </c>
      <c r="M639" s="142">
        <f t="shared" si="141"/>
        <v>0</v>
      </c>
      <c r="N639" s="142">
        <f t="shared" si="142"/>
        <v>6000</v>
      </c>
      <c r="O639" s="59">
        <f t="shared" si="143"/>
        <v>6000</v>
      </c>
      <c r="P639" s="142">
        <f t="shared" si="144"/>
        <v>0</v>
      </c>
      <c r="Q639" s="142">
        <f t="shared" si="145"/>
        <v>0</v>
      </c>
      <c r="R639" s="142">
        <f t="shared" si="146"/>
        <v>0</v>
      </c>
      <c r="S639" s="142">
        <f t="shared" si="147"/>
        <v>0</v>
      </c>
      <c r="T639" s="142">
        <f t="shared" si="148"/>
        <v>0</v>
      </c>
      <c r="U639" s="60">
        <f t="shared" si="149"/>
        <v>0</v>
      </c>
    </row>
    <row r="640" spans="1:21" x14ac:dyDescent="0.2">
      <c r="A640" s="115"/>
      <c r="B640" s="139" t="s">
        <v>363</v>
      </c>
      <c r="C640" s="140" t="s">
        <v>684</v>
      </c>
      <c r="D640" s="141">
        <v>45925</v>
      </c>
      <c r="E640" s="141">
        <v>46015</v>
      </c>
      <c r="F640" s="57">
        <v>6540</v>
      </c>
      <c r="G640" s="58">
        <f t="shared" si="135"/>
        <v>-7</v>
      </c>
      <c r="H640" s="142">
        <f t="shared" si="136"/>
        <v>0</v>
      </c>
      <c r="I640" s="142">
        <f t="shared" si="137"/>
        <v>0</v>
      </c>
      <c r="J640" s="143">
        <f t="shared" si="138"/>
        <v>0</v>
      </c>
      <c r="K640" s="143">
        <f t="shared" si="139"/>
        <v>0</v>
      </c>
      <c r="L640" s="142">
        <f t="shared" si="140"/>
        <v>0</v>
      </c>
      <c r="M640" s="142">
        <f t="shared" si="141"/>
        <v>0</v>
      </c>
      <c r="N640" s="142">
        <f t="shared" si="142"/>
        <v>6540</v>
      </c>
      <c r="O640" s="59">
        <f t="shared" si="143"/>
        <v>6540</v>
      </c>
      <c r="P640" s="142">
        <f t="shared" si="144"/>
        <v>0</v>
      </c>
      <c r="Q640" s="142">
        <f t="shared" si="145"/>
        <v>0</v>
      </c>
      <c r="R640" s="142">
        <f t="shared" si="146"/>
        <v>0</v>
      </c>
      <c r="S640" s="142">
        <f t="shared" si="147"/>
        <v>0</v>
      </c>
      <c r="T640" s="142">
        <f t="shared" si="148"/>
        <v>0</v>
      </c>
      <c r="U640" s="60">
        <f t="shared" si="149"/>
        <v>0</v>
      </c>
    </row>
    <row r="641" spans="1:21" x14ac:dyDescent="0.2">
      <c r="A641" s="115"/>
      <c r="B641" s="139" t="s">
        <v>363</v>
      </c>
      <c r="C641" s="140" t="s">
        <v>685</v>
      </c>
      <c r="D641" s="141">
        <v>45925</v>
      </c>
      <c r="E641" s="141">
        <v>46015</v>
      </c>
      <c r="F641" s="57">
        <v>5100</v>
      </c>
      <c r="G641" s="58">
        <f t="shared" si="135"/>
        <v>-7</v>
      </c>
      <c r="H641" s="142">
        <f t="shared" si="136"/>
        <v>0</v>
      </c>
      <c r="I641" s="142">
        <f t="shared" si="137"/>
        <v>0</v>
      </c>
      <c r="J641" s="143">
        <f t="shared" si="138"/>
        <v>0</v>
      </c>
      <c r="K641" s="143">
        <f t="shared" si="139"/>
        <v>0</v>
      </c>
      <c r="L641" s="142">
        <f t="shared" si="140"/>
        <v>0</v>
      </c>
      <c r="M641" s="142">
        <f t="shared" si="141"/>
        <v>0</v>
      </c>
      <c r="N641" s="142">
        <f t="shared" si="142"/>
        <v>5100</v>
      </c>
      <c r="O641" s="59">
        <f t="shared" si="143"/>
        <v>5100</v>
      </c>
      <c r="P641" s="142">
        <f t="shared" si="144"/>
        <v>0</v>
      </c>
      <c r="Q641" s="142">
        <f t="shared" si="145"/>
        <v>0</v>
      </c>
      <c r="R641" s="142">
        <f t="shared" si="146"/>
        <v>0</v>
      </c>
      <c r="S641" s="142">
        <f t="shared" si="147"/>
        <v>0</v>
      </c>
      <c r="T641" s="142">
        <f t="shared" si="148"/>
        <v>0</v>
      </c>
      <c r="U641" s="60">
        <f t="shared" si="149"/>
        <v>0</v>
      </c>
    </row>
    <row r="642" spans="1:21" x14ac:dyDescent="0.2">
      <c r="A642" s="115"/>
      <c r="B642" s="139" t="s">
        <v>363</v>
      </c>
      <c r="C642" s="140" t="s">
        <v>686</v>
      </c>
      <c r="D642" s="141">
        <v>45925</v>
      </c>
      <c r="E642" s="141">
        <v>46015</v>
      </c>
      <c r="F642" s="57">
        <v>7180</v>
      </c>
      <c r="G642" s="58">
        <f t="shared" si="135"/>
        <v>-7</v>
      </c>
      <c r="H642" s="142">
        <f t="shared" si="136"/>
        <v>0</v>
      </c>
      <c r="I642" s="142">
        <f t="shared" si="137"/>
        <v>0</v>
      </c>
      <c r="J642" s="143">
        <f t="shared" si="138"/>
        <v>0</v>
      </c>
      <c r="K642" s="143">
        <f t="shared" si="139"/>
        <v>0</v>
      </c>
      <c r="L642" s="142">
        <f t="shared" si="140"/>
        <v>0</v>
      </c>
      <c r="M642" s="142">
        <f t="shared" si="141"/>
        <v>0</v>
      </c>
      <c r="N642" s="142">
        <f t="shared" si="142"/>
        <v>7180</v>
      </c>
      <c r="O642" s="59">
        <f t="shared" si="143"/>
        <v>7180</v>
      </c>
      <c r="P642" s="142">
        <f t="shared" si="144"/>
        <v>0</v>
      </c>
      <c r="Q642" s="142">
        <f t="shared" si="145"/>
        <v>0</v>
      </c>
      <c r="R642" s="142">
        <f t="shared" si="146"/>
        <v>0</v>
      </c>
      <c r="S642" s="142">
        <f t="shared" si="147"/>
        <v>0</v>
      </c>
      <c r="T642" s="142">
        <f t="shared" si="148"/>
        <v>0</v>
      </c>
      <c r="U642" s="60">
        <f t="shared" si="149"/>
        <v>0</v>
      </c>
    </row>
    <row r="643" spans="1:21" x14ac:dyDescent="0.2">
      <c r="A643" s="115"/>
      <c r="B643" s="139" t="s">
        <v>363</v>
      </c>
      <c r="C643" s="140" t="s">
        <v>720</v>
      </c>
      <c r="D643" s="141">
        <v>45932</v>
      </c>
      <c r="E643" s="141">
        <v>46022</v>
      </c>
      <c r="F643" s="57">
        <v>180</v>
      </c>
      <c r="G643" s="58">
        <f t="shared" si="135"/>
        <v>0</v>
      </c>
      <c r="H643" s="142">
        <f t="shared" si="136"/>
        <v>0</v>
      </c>
      <c r="I643" s="142">
        <f t="shared" si="137"/>
        <v>0</v>
      </c>
      <c r="J643" s="143">
        <f t="shared" si="138"/>
        <v>0</v>
      </c>
      <c r="K643" s="143">
        <f t="shared" si="139"/>
        <v>0</v>
      </c>
      <c r="L643" s="142">
        <f t="shared" si="140"/>
        <v>0</v>
      </c>
      <c r="M643" s="142">
        <f t="shared" si="141"/>
        <v>0</v>
      </c>
      <c r="N643" s="142">
        <f t="shared" si="142"/>
        <v>0</v>
      </c>
      <c r="O643" s="59">
        <f t="shared" si="143"/>
        <v>0</v>
      </c>
      <c r="P643" s="142">
        <f t="shared" si="144"/>
        <v>180</v>
      </c>
      <c r="Q643" s="142">
        <f t="shared" si="145"/>
        <v>0</v>
      </c>
      <c r="R643" s="142">
        <f t="shared" si="146"/>
        <v>0</v>
      </c>
      <c r="S643" s="142">
        <f t="shared" si="147"/>
        <v>0</v>
      </c>
      <c r="T643" s="142">
        <f t="shared" si="148"/>
        <v>0</v>
      </c>
      <c r="U643" s="60">
        <f t="shared" si="149"/>
        <v>180</v>
      </c>
    </row>
    <row r="644" spans="1:21" x14ac:dyDescent="0.2">
      <c r="A644" s="115"/>
      <c r="B644" s="139" t="s">
        <v>363</v>
      </c>
      <c r="C644" s="140" t="s">
        <v>733</v>
      </c>
      <c r="D644" s="141">
        <v>45932</v>
      </c>
      <c r="E644" s="141">
        <v>46022</v>
      </c>
      <c r="F644" s="57">
        <v>4100</v>
      </c>
      <c r="G644" s="58">
        <f t="shared" si="135"/>
        <v>0</v>
      </c>
      <c r="H644" s="142">
        <f t="shared" si="136"/>
        <v>0</v>
      </c>
      <c r="I644" s="142">
        <f t="shared" si="137"/>
        <v>0</v>
      </c>
      <c r="J644" s="143">
        <f t="shared" si="138"/>
        <v>0</v>
      </c>
      <c r="K644" s="143">
        <f t="shared" si="139"/>
        <v>0</v>
      </c>
      <c r="L644" s="142">
        <f t="shared" si="140"/>
        <v>0</v>
      </c>
      <c r="M644" s="142">
        <f t="shared" si="141"/>
        <v>0</v>
      </c>
      <c r="N644" s="142">
        <f t="shared" si="142"/>
        <v>0</v>
      </c>
      <c r="O644" s="59">
        <f t="shared" si="143"/>
        <v>0</v>
      </c>
      <c r="P644" s="142">
        <f t="shared" si="144"/>
        <v>4100</v>
      </c>
      <c r="Q644" s="142">
        <f t="shared" si="145"/>
        <v>0</v>
      </c>
      <c r="R644" s="142">
        <f t="shared" si="146"/>
        <v>0</v>
      </c>
      <c r="S644" s="142">
        <f t="shared" si="147"/>
        <v>0</v>
      </c>
      <c r="T644" s="142">
        <f t="shared" si="148"/>
        <v>0</v>
      </c>
      <c r="U644" s="60">
        <f t="shared" si="149"/>
        <v>4100</v>
      </c>
    </row>
    <row r="645" spans="1:21" x14ac:dyDescent="0.2">
      <c r="A645" s="115"/>
      <c r="B645" s="139" t="s">
        <v>363</v>
      </c>
      <c r="C645" s="140" t="s">
        <v>757</v>
      </c>
      <c r="D645" s="141">
        <v>45932</v>
      </c>
      <c r="E645" s="141">
        <v>46022</v>
      </c>
      <c r="F645" s="57">
        <v>7180</v>
      </c>
      <c r="G645" s="58">
        <f t="shared" si="135"/>
        <v>0</v>
      </c>
      <c r="H645" s="142">
        <f t="shared" si="136"/>
        <v>0</v>
      </c>
      <c r="I645" s="142">
        <f t="shared" si="137"/>
        <v>0</v>
      </c>
      <c r="J645" s="143">
        <f t="shared" si="138"/>
        <v>0</v>
      </c>
      <c r="K645" s="143">
        <f t="shared" si="139"/>
        <v>0</v>
      </c>
      <c r="L645" s="142">
        <f t="shared" si="140"/>
        <v>0</v>
      </c>
      <c r="M645" s="142">
        <f t="shared" si="141"/>
        <v>0</v>
      </c>
      <c r="N645" s="142">
        <f t="shared" si="142"/>
        <v>0</v>
      </c>
      <c r="O645" s="59">
        <f t="shared" si="143"/>
        <v>0</v>
      </c>
      <c r="P645" s="142">
        <f t="shared" si="144"/>
        <v>7180</v>
      </c>
      <c r="Q645" s="142">
        <f t="shared" si="145"/>
        <v>0</v>
      </c>
      <c r="R645" s="142">
        <f t="shared" si="146"/>
        <v>0</v>
      </c>
      <c r="S645" s="142">
        <f t="shared" si="147"/>
        <v>0</v>
      </c>
      <c r="T645" s="142">
        <f t="shared" si="148"/>
        <v>0</v>
      </c>
      <c r="U645" s="60">
        <f t="shared" si="149"/>
        <v>7180</v>
      </c>
    </row>
    <row r="646" spans="1:21" x14ac:dyDescent="0.2">
      <c r="A646" s="115"/>
      <c r="B646" s="139" t="s">
        <v>363</v>
      </c>
      <c r="C646" s="140" t="s">
        <v>764</v>
      </c>
      <c r="D646" s="141">
        <v>45932</v>
      </c>
      <c r="E646" s="141">
        <v>46022</v>
      </c>
      <c r="F646" s="57">
        <v>8700</v>
      </c>
      <c r="G646" s="58">
        <f t="shared" si="135"/>
        <v>0</v>
      </c>
      <c r="H646" s="142">
        <f t="shared" si="136"/>
        <v>0</v>
      </c>
      <c r="I646" s="142">
        <f t="shared" si="137"/>
        <v>0</v>
      </c>
      <c r="J646" s="143">
        <f t="shared" si="138"/>
        <v>0</v>
      </c>
      <c r="K646" s="143">
        <f t="shared" si="139"/>
        <v>0</v>
      </c>
      <c r="L646" s="142">
        <f t="shared" si="140"/>
        <v>0</v>
      </c>
      <c r="M646" s="142">
        <f t="shared" si="141"/>
        <v>0</v>
      </c>
      <c r="N646" s="142">
        <f t="shared" si="142"/>
        <v>0</v>
      </c>
      <c r="O646" s="59">
        <f t="shared" si="143"/>
        <v>0</v>
      </c>
      <c r="P646" s="142">
        <f t="shared" si="144"/>
        <v>8700</v>
      </c>
      <c r="Q646" s="142">
        <f t="shared" si="145"/>
        <v>0</v>
      </c>
      <c r="R646" s="142">
        <f t="shared" si="146"/>
        <v>0</v>
      </c>
      <c r="S646" s="142">
        <f t="shared" si="147"/>
        <v>0</v>
      </c>
      <c r="T646" s="142">
        <f t="shared" si="148"/>
        <v>0</v>
      </c>
      <c r="U646" s="60">
        <f t="shared" si="149"/>
        <v>8700</v>
      </c>
    </row>
    <row r="647" spans="1:21" x14ac:dyDescent="0.2">
      <c r="A647" s="115"/>
      <c r="B647" s="139" t="s">
        <v>363</v>
      </c>
      <c r="C647" s="140" t="s">
        <v>751</v>
      </c>
      <c r="D647" s="141">
        <v>45961</v>
      </c>
      <c r="E647" s="141">
        <v>46051</v>
      </c>
      <c r="F647" s="57">
        <v>6000</v>
      </c>
      <c r="G647" s="58">
        <f t="shared" ref="G647:G710" si="150">E647-$H$3</f>
        <v>29</v>
      </c>
      <c r="H647" s="142">
        <f t="shared" ref="H647:H710" si="151">IF(AND($G647&gt;=-8000,$G647&lt;=-181),$F647,0)</f>
        <v>0</v>
      </c>
      <c r="I647" s="142">
        <f t="shared" ref="I647:I710" si="152">IF(AND($G647&gt;=-180,$G647&lt;=-151),$F647,0)</f>
        <v>0</v>
      </c>
      <c r="J647" s="143">
        <f t="shared" ref="J647:J710" si="153">IF(AND($G647&gt;=-150,$G647&lt;=-121),$F647,0)</f>
        <v>0</v>
      </c>
      <c r="K647" s="143">
        <f t="shared" ref="K647:K710" si="154">IF(AND($G647&gt;=-120,$G647&lt;=-91),$F647,0)</f>
        <v>0</v>
      </c>
      <c r="L647" s="142">
        <f t="shared" ref="L647:L710" si="155">IF(AND($G647&gt;=-90,$G647&lt;=-61),$F647,0)</f>
        <v>0</v>
      </c>
      <c r="M647" s="142">
        <f t="shared" ref="M647:M710" si="156">IF(AND($G647&gt;=-60,$G647&lt;=-31),$F647,0)</f>
        <v>0</v>
      </c>
      <c r="N647" s="142">
        <f t="shared" ref="N647:N710" si="157">IF(AND($G647&gt;=-30,$G647&lt;=-1),$F647,0)</f>
        <v>0</v>
      </c>
      <c r="O647" s="59">
        <f t="shared" ref="O647:O710" si="158">SUM(H647:N647)</f>
        <v>0</v>
      </c>
      <c r="P647" s="142">
        <f t="shared" ref="P647:P710" si="159">IF(AND($G647&lt;=30,$G647&gt;=0),$F647,0)</f>
        <v>6000</v>
      </c>
      <c r="Q647" s="142">
        <f t="shared" ref="Q647:Q710" si="160">IF(AND($G647&lt;=60,$G647&gt;=31),$F647,0)</f>
        <v>0</v>
      </c>
      <c r="R647" s="142">
        <f t="shared" ref="R647:R710" si="161">IF(AND($G647&lt;=90,$G647&gt;=61),$F647,0)</f>
        <v>0</v>
      </c>
      <c r="S647" s="142">
        <f t="shared" ref="S647:S710" si="162">IF(AND($G647&lt;=120,$G647&gt;=91),$F647,0)</f>
        <v>0</v>
      </c>
      <c r="T647" s="142">
        <f t="shared" ref="T647:T710" si="163">IF(G647&gt;=121,F647,0)</f>
        <v>0</v>
      </c>
      <c r="U647" s="60">
        <f t="shared" ref="U647:U710" si="164">SUM(P647:T647)</f>
        <v>6000</v>
      </c>
    </row>
    <row r="648" spans="1:21" x14ac:dyDescent="0.2">
      <c r="A648" s="115"/>
      <c r="B648" s="139" t="s">
        <v>363</v>
      </c>
      <c r="C648" s="140" t="s">
        <v>752</v>
      </c>
      <c r="D648" s="141">
        <v>45961</v>
      </c>
      <c r="E648" s="141">
        <v>46051</v>
      </c>
      <c r="F648" s="57">
        <v>6000</v>
      </c>
      <c r="G648" s="58">
        <f t="shared" si="150"/>
        <v>29</v>
      </c>
      <c r="H648" s="142">
        <f t="shared" si="151"/>
        <v>0</v>
      </c>
      <c r="I648" s="142">
        <f t="shared" si="152"/>
        <v>0</v>
      </c>
      <c r="J648" s="143">
        <f t="shared" si="153"/>
        <v>0</v>
      </c>
      <c r="K648" s="143">
        <f t="shared" si="154"/>
        <v>0</v>
      </c>
      <c r="L648" s="142">
        <f t="shared" si="155"/>
        <v>0</v>
      </c>
      <c r="M648" s="142">
        <f t="shared" si="156"/>
        <v>0</v>
      </c>
      <c r="N648" s="142">
        <f t="shared" si="157"/>
        <v>0</v>
      </c>
      <c r="O648" s="59">
        <f t="shared" si="158"/>
        <v>0</v>
      </c>
      <c r="P648" s="142">
        <f t="shared" si="159"/>
        <v>6000</v>
      </c>
      <c r="Q648" s="142">
        <f t="shared" si="160"/>
        <v>0</v>
      </c>
      <c r="R648" s="142">
        <f t="shared" si="161"/>
        <v>0</v>
      </c>
      <c r="S648" s="142">
        <f t="shared" si="162"/>
        <v>0</v>
      </c>
      <c r="T648" s="142">
        <f t="shared" si="163"/>
        <v>0</v>
      </c>
      <c r="U648" s="60">
        <f t="shared" si="164"/>
        <v>6000</v>
      </c>
    </row>
    <row r="649" spans="1:21" x14ac:dyDescent="0.2">
      <c r="A649" s="115"/>
      <c r="B649" s="139" t="s">
        <v>363</v>
      </c>
      <c r="C649" s="140" t="s">
        <v>758</v>
      </c>
      <c r="D649" s="141">
        <v>45961</v>
      </c>
      <c r="E649" s="141">
        <v>46051</v>
      </c>
      <c r="F649" s="57">
        <v>7180</v>
      </c>
      <c r="G649" s="58">
        <f t="shared" si="150"/>
        <v>29</v>
      </c>
      <c r="H649" s="142">
        <f t="shared" si="151"/>
        <v>0</v>
      </c>
      <c r="I649" s="142">
        <f t="shared" si="152"/>
        <v>0</v>
      </c>
      <c r="J649" s="143">
        <f t="shared" si="153"/>
        <v>0</v>
      </c>
      <c r="K649" s="143">
        <f t="shared" si="154"/>
        <v>0</v>
      </c>
      <c r="L649" s="142">
        <f t="shared" si="155"/>
        <v>0</v>
      </c>
      <c r="M649" s="142">
        <f t="shared" si="156"/>
        <v>0</v>
      </c>
      <c r="N649" s="142">
        <f t="shared" si="157"/>
        <v>0</v>
      </c>
      <c r="O649" s="59">
        <f t="shared" si="158"/>
        <v>0</v>
      </c>
      <c r="P649" s="142">
        <f t="shared" si="159"/>
        <v>7180</v>
      </c>
      <c r="Q649" s="142">
        <f t="shared" si="160"/>
        <v>0</v>
      </c>
      <c r="R649" s="142">
        <f t="shared" si="161"/>
        <v>0</v>
      </c>
      <c r="S649" s="142">
        <f t="shared" si="162"/>
        <v>0</v>
      </c>
      <c r="T649" s="142">
        <f t="shared" si="163"/>
        <v>0</v>
      </c>
      <c r="U649" s="60">
        <f t="shared" si="164"/>
        <v>7180</v>
      </c>
    </row>
    <row r="650" spans="1:21" x14ac:dyDescent="0.2">
      <c r="A650" s="115"/>
      <c r="B650" s="139" t="s">
        <v>363</v>
      </c>
      <c r="C650" s="140" t="s">
        <v>759</v>
      </c>
      <c r="D650" s="141">
        <v>45961</v>
      </c>
      <c r="E650" s="141">
        <v>46051</v>
      </c>
      <c r="F650" s="57">
        <v>7180</v>
      </c>
      <c r="G650" s="58">
        <f t="shared" si="150"/>
        <v>29</v>
      </c>
      <c r="H650" s="142">
        <f t="shared" si="151"/>
        <v>0</v>
      </c>
      <c r="I650" s="142">
        <f t="shared" si="152"/>
        <v>0</v>
      </c>
      <c r="J650" s="143">
        <f t="shared" si="153"/>
        <v>0</v>
      </c>
      <c r="K650" s="143">
        <f t="shared" si="154"/>
        <v>0</v>
      </c>
      <c r="L650" s="142">
        <f t="shared" si="155"/>
        <v>0</v>
      </c>
      <c r="M650" s="142">
        <f t="shared" si="156"/>
        <v>0</v>
      </c>
      <c r="N650" s="142">
        <f t="shared" si="157"/>
        <v>0</v>
      </c>
      <c r="O650" s="59">
        <f t="shared" si="158"/>
        <v>0</v>
      </c>
      <c r="P650" s="142">
        <f t="shared" si="159"/>
        <v>7180</v>
      </c>
      <c r="Q650" s="142">
        <f t="shared" si="160"/>
        <v>0</v>
      </c>
      <c r="R650" s="142">
        <f t="shared" si="161"/>
        <v>0</v>
      </c>
      <c r="S650" s="142">
        <f t="shared" si="162"/>
        <v>0</v>
      </c>
      <c r="T650" s="142">
        <f t="shared" si="163"/>
        <v>0</v>
      </c>
      <c r="U650" s="60">
        <f t="shared" si="164"/>
        <v>7180</v>
      </c>
    </row>
    <row r="651" spans="1:21" x14ac:dyDescent="0.2">
      <c r="A651" s="115"/>
      <c r="B651" s="139" t="s">
        <v>773</v>
      </c>
      <c r="C651" s="140" t="s">
        <v>906</v>
      </c>
      <c r="D651" s="141">
        <v>45980</v>
      </c>
      <c r="E651" s="141">
        <v>46040</v>
      </c>
      <c r="F651" s="57">
        <v>23489</v>
      </c>
      <c r="G651" s="58">
        <f t="shared" si="150"/>
        <v>18</v>
      </c>
      <c r="H651" s="142">
        <f t="shared" si="151"/>
        <v>0</v>
      </c>
      <c r="I651" s="142">
        <f t="shared" si="152"/>
        <v>0</v>
      </c>
      <c r="J651" s="143">
        <f t="shared" si="153"/>
        <v>0</v>
      </c>
      <c r="K651" s="143">
        <f t="shared" si="154"/>
        <v>0</v>
      </c>
      <c r="L651" s="142">
        <f t="shared" si="155"/>
        <v>0</v>
      </c>
      <c r="M651" s="142">
        <f t="shared" si="156"/>
        <v>0</v>
      </c>
      <c r="N651" s="142">
        <f t="shared" si="157"/>
        <v>0</v>
      </c>
      <c r="O651" s="59">
        <f t="shared" si="158"/>
        <v>0</v>
      </c>
      <c r="P651" s="142">
        <f t="shared" si="159"/>
        <v>23489</v>
      </c>
      <c r="Q651" s="142">
        <f t="shared" si="160"/>
        <v>0</v>
      </c>
      <c r="R651" s="142">
        <f t="shared" si="161"/>
        <v>0</v>
      </c>
      <c r="S651" s="142">
        <f t="shared" si="162"/>
        <v>0</v>
      </c>
      <c r="T651" s="142">
        <f t="shared" si="163"/>
        <v>0</v>
      </c>
      <c r="U651" s="60">
        <f t="shared" si="164"/>
        <v>23489</v>
      </c>
    </row>
    <row r="652" spans="1:21" x14ac:dyDescent="0.2">
      <c r="A652" s="115"/>
      <c r="B652" s="139" t="s">
        <v>350</v>
      </c>
      <c r="C652" s="140" t="s">
        <v>379</v>
      </c>
      <c r="D652" s="141">
        <v>45701</v>
      </c>
      <c r="E652" s="141">
        <v>45761</v>
      </c>
      <c r="F652" s="57">
        <v>34444.6</v>
      </c>
      <c r="G652" s="58">
        <f t="shared" si="150"/>
        <v>-261</v>
      </c>
      <c r="H652" s="142">
        <f t="shared" si="151"/>
        <v>34444.6</v>
      </c>
      <c r="I652" s="142">
        <f t="shared" si="152"/>
        <v>0</v>
      </c>
      <c r="J652" s="143">
        <f t="shared" si="153"/>
        <v>0</v>
      </c>
      <c r="K652" s="143">
        <f t="shared" si="154"/>
        <v>0</v>
      </c>
      <c r="L652" s="142">
        <f t="shared" si="155"/>
        <v>0</v>
      </c>
      <c r="M652" s="142">
        <f t="shared" si="156"/>
        <v>0</v>
      </c>
      <c r="N652" s="142">
        <f t="shared" si="157"/>
        <v>0</v>
      </c>
      <c r="O652" s="59">
        <f t="shared" si="158"/>
        <v>34444.6</v>
      </c>
      <c r="P652" s="142">
        <f t="shared" si="159"/>
        <v>0</v>
      </c>
      <c r="Q652" s="142">
        <f t="shared" si="160"/>
        <v>0</v>
      </c>
      <c r="R652" s="142">
        <f t="shared" si="161"/>
        <v>0</v>
      </c>
      <c r="S652" s="142">
        <f t="shared" si="162"/>
        <v>0</v>
      </c>
      <c r="T652" s="142">
        <f t="shared" si="163"/>
        <v>0</v>
      </c>
      <c r="U652" s="60">
        <f t="shared" si="164"/>
        <v>0</v>
      </c>
    </row>
    <row r="653" spans="1:21" x14ac:dyDescent="0.2">
      <c r="A653" s="115"/>
      <c r="B653" s="139" t="s">
        <v>393</v>
      </c>
      <c r="C653" s="140" t="s">
        <v>455</v>
      </c>
      <c r="D653" s="141">
        <v>45814</v>
      </c>
      <c r="E653" s="141">
        <v>45844</v>
      </c>
      <c r="F653" s="57">
        <v>10542.88</v>
      </c>
      <c r="G653" s="58">
        <f t="shared" si="150"/>
        <v>-178</v>
      </c>
      <c r="H653" s="142">
        <f t="shared" si="151"/>
        <v>0</v>
      </c>
      <c r="I653" s="142">
        <f t="shared" si="152"/>
        <v>10542.88</v>
      </c>
      <c r="J653" s="143">
        <f t="shared" si="153"/>
        <v>0</v>
      </c>
      <c r="K653" s="143">
        <f t="shared" si="154"/>
        <v>0</v>
      </c>
      <c r="L653" s="142">
        <f t="shared" si="155"/>
        <v>0</v>
      </c>
      <c r="M653" s="142">
        <f t="shared" si="156"/>
        <v>0</v>
      </c>
      <c r="N653" s="142">
        <f t="shared" si="157"/>
        <v>0</v>
      </c>
      <c r="O653" s="59">
        <f t="shared" si="158"/>
        <v>10542.88</v>
      </c>
      <c r="P653" s="142">
        <f t="shared" si="159"/>
        <v>0</v>
      </c>
      <c r="Q653" s="142">
        <f t="shared" si="160"/>
        <v>0</v>
      </c>
      <c r="R653" s="142">
        <f t="shared" si="161"/>
        <v>0</v>
      </c>
      <c r="S653" s="142">
        <f t="shared" si="162"/>
        <v>0</v>
      </c>
      <c r="T653" s="142">
        <f t="shared" si="163"/>
        <v>0</v>
      </c>
      <c r="U653" s="60">
        <f t="shared" si="164"/>
        <v>0</v>
      </c>
    </row>
    <row r="654" spans="1:21" x14ac:dyDescent="0.2">
      <c r="A654" s="115"/>
      <c r="B654" s="139" t="s">
        <v>393</v>
      </c>
      <c r="C654" s="140" t="s">
        <v>455</v>
      </c>
      <c r="D654" s="141">
        <v>45814</v>
      </c>
      <c r="E654" s="141">
        <v>45874</v>
      </c>
      <c r="F654" s="57">
        <v>10542.88</v>
      </c>
      <c r="G654" s="58">
        <f t="shared" si="150"/>
        <v>-148</v>
      </c>
      <c r="H654" s="142">
        <f t="shared" si="151"/>
        <v>0</v>
      </c>
      <c r="I654" s="142">
        <f t="shared" si="152"/>
        <v>0</v>
      </c>
      <c r="J654" s="143">
        <f t="shared" si="153"/>
        <v>10542.88</v>
      </c>
      <c r="K654" s="143">
        <f t="shared" si="154"/>
        <v>0</v>
      </c>
      <c r="L654" s="142">
        <f t="shared" si="155"/>
        <v>0</v>
      </c>
      <c r="M654" s="142">
        <f t="shared" si="156"/>
        <v>0</v>
      </c>
      <c r="N654" s="142">
        <f t="shared" si="157"/>
        <v>0</v>
      </c>
      <c r="O654" s="59">
        <f t="shared" si="158"/>
        <v>10542.88</v>
      </c>
      <c r="P654" s="142">
        <f t="shared" si="159"/>
        <v>0</v>
      </c>
      <c r="Q654" s="142">
        <f t="shared" si="160"/>
        <v>0</v>
      </c>
      <c r="R654" s="142">
        <f t="shared" si="161"/>
        <v>0</v>
      </c>
      <c r="S654" s="142">
        <f t="shared" si="162"/>
        <v>0</v>
      </c>
      <c r="T654" s="142">
        <f t="shared" si="163"/>
        <v>0</v>
      </c>
      <c r="U654" s="60">
        <f t="shared" si="164"/>
        <v>0</v>
      </c>
    </row>
    <row r="655" spans="1:21" x14ac:dyDescent="0.2">
      <c r="A655" s="115"/>
      <c r="B655" s="139" t="s">
        <v>393</v>
      </c>
      <c r="C655" s="140" t="s">
        <v>455</v>
      </c>
      <c r="D655" s="141">
        <v>45814</v>
      </c>
      <c r="E655" s="141">
        <v>45904</v>
      </c>
      <c r="F655" s="57">
        <v>10542.88</v>
      </c>
      <c r="G655" s="58">
        <f t="shared" si="150"/>
        <v>-118</v>
      </c>
      <c r="H655" s="142">
        <f t="shared" si="151"/>
        <v>0</v>
      </c>
      <c r="I655" s="142">
        <f t="shared" si="152"/>
        <v>0</v>
      </c>
      <c r="J655" s="143">
        <f t="shared" si="153"/>
        <v>0</v>
      </c>
      <c r="K655" s="143">
        <f t="shared" si="154"/>
        <v>10542.88</v>
      </c>
      <c r="L655" s="142">
        <f t="shared" si="155"/>
        <v>0</v>
      </c>
      <c r="M655" s="142">
        <f t="shared" si="156"/>
        <v>0</v>
      </c>
      <c r="N655" s="142">
        <f t="shared" si="157"/>
        <v>0</v>
      </c>
      <c r="O655" s="59">
        <f t="shared" si="158"/>
        <v>10542.88</v>
      </c>
      <c r="P655" s="142">
        <f t="shared" si="159"/>
        <v>0</v>
      </c>
      <c r="Q655" s="142">
        <f t="shared" si="160"/>
        <v>0</v>
      </c>
      <c r="R655" s="142">
        <f t="shared" si="161"/>
        <v>0</v>
      </c>
      <c r="S655" s="142">
        <f t="shared" si="162"/>
        <v>0</v>
      </c>
      <c r="T655" s="142">
        <f t="shared" si="163"/>
        <v>0</v>
      </c>
      <c r="U655" s="60">
        <f t="shared" si="164"/>
        <v>0</v>
      </c>
    </row>
    <row r="656" spans="1:21" x14ac:dyDescent="0.2">
      <c r="A656" s="115"/>
      <c r="B656" s="139" t="s">
        <v>393</v>
      </c>
      <c r="C656" s="140" t="s">
        <v>455</v>
      </c>
      <c r="D656" s="141">
        <v>45814</v>
      </c>
      <c r="E656" s="141">
        <v>45934</v>
      </c>
      <c r="F656" s="57">
        <v>10542.86</v>
      </c>
      <c r="G656" s="58">
        <f t="shared" si="150"/>
        <v>-88</v>
      </c>
      <c r="H656" s="142">
        <f t="shared" si="151"/>
        <v>0</v>
      </c>
      <c r="I656" s="142">
        <f t="shared" si="152"/>
        <v>0</v>
      </c>
      <c r="J656" s="143">
        <f t="shared" si="153"/>
        <v>0</v>
      </c>
      <c r="K656" s="143">
        <f t="shared" si="154"/>
        <v>0</v>
      </c>
      <c r="L656" s="142">
        <f t="shared" si="155"/>
        <v>10542.86</v>
      </c>
      <c r="M656" s="142">
        <f t="shared" si="156"/>
        <v>0</v>
      </c>
      <c r="N656" s="142">
        <f t="shared" si="157"/>
        <v>0</v>
      </c>
      <c r="O656" s="59">
        <f t="shared" si="158"/>
        <v>10542.86</v>
      </c>
      <c r="P656" s="142">
        <f t="shared" si="159"/>
        <v>0</v>
      </c>
      <c r="Q656" s="142">
        <f t="shared" si="160"/>
        <v>0</v>
      </c>
      <c r="R656" s="142">
        <f t="shared" si="161"/>
        <v>0</v>
      </c>
      <c r="S656" s="142">
        <f t="shared" si="162"/>
        <v>0</v>
      </c>
      <c r="T656" s="142">
        <f t="shared" si="163"/>
        <v>0</v>
      </c>
      <c r="U656" s="60">
        <f t="shared" si="164"/>
        <v>0</v>
      </c>
    </row>
    <row r="657" spans="1:21" x14ac:dyDescent="0.2">
      <c r="A657" s="115"/>
      <c r="B657" s="139" t="s">
        <v>502</v>
      </c>
      <c r="C657" s="140" t="s">
        <v>223</v>
      </c>
      <c r="D657" s="141">
        <v>40786</v>
      </c>
      <c r="E657" s="141">
        <v>41521</v>
      </c>
      <c r="F657" s="57">
        <v>4136</v>
      </c>
      <c r="G657" s="58">
        <f t="shared" si="150"/>
        <v>-4501</v>
      </c>
      <c r="H657" s="142">
        <f t="shared" si="151"/>
        <v>4136</v>
      </c>
      <c r="I657" s="142">
        <f t="shared" si="152"/>
        <v>0</v>
      </c>
      <c r="J657" s="143">
        <f t="shared" si="153"/>
        <v>0</v>
      </c>
      <c r="K657" s="143">
        <f t="shared" si="154"/>
        <v>0</v>
      </c>
      <c r="L657" s="142">
        <f t="shared" si="155"/>
        <v>0</v>
      </c>
      <c r="M657" s="142">
        <f t="shared" si="156"/>
        <v>0</v>
      </c>
      <c r="N657" s="142">
        <f t="shared" si="157"/>
        <v>0</v>
      </c>
      <c r="O657" s="59">
        <f t="shared" si="158"/>
        <v>4136</v>
      </c>
      <c r="P657" s="142">
        <f t="shared" si="159"/>
        <v>0</v>
      </c>
      <c r="Q657" s="142">
        <f t="shared" si="160"/>
        <v>0</v>
      </c>
      <c r="R657" s="142">
        <f t="shared" si="161"/>
        <v>0</v>
      </c>
      <c r="S657" s="142">
        <f t="shared" si="162"/>
        <v>0</v>
      </c>
      <c r="T657" s="142">
        <f t="shared" si="163"/>
        <v>0</v>
      </c>
      <c r="U657" s="60">
        <f t="shared" si="164"/>
        <v>0</v>
      </c>
    </row>
    <row r="658" spans="1:21" x14ac:dyDescent="0.2">
      <c r="A658" s="115"/>
      <c r="B658" s="139" t="s">
        <v>502</v>
      </c>
      <c r="C658" s="140" t="s">
        <v>224</v>
      </c>
      <c r="D658" s="141">
        <v>40786</v>
      </c>
      <c r="E658" s="141">
        <v>41521</v>
      </c>
      <c r="F658" s="57">
        <v>4136</v>
      </c>
      <c r="G658" s="58">
        <f t="shared" si="150"/>
        <v>-4501</v>
      </c>
      <c r="H658" s="142">
        <f t="shared" si="151"/>
        <v>4136</v>
      </c>
      <c r="I658" s="142">
        <f t="shared" si="152"/>
        <v>0</v>
      </c>
      <c r="J658" s="143">
        <f t="shared" si="153"/>
        <v>0</v>
      </c>
      <c r="K658" s="143">
        <f t="shared" si="154"/>
        <v>0</v>
      </c>
      <c r="L658" s="142">
        <f t="shared" si="155"/>
        <v>0</v>
      </c>
      <c r="M658" s="142">
        <f t="shared" si="156"/>
        <v>0</v>
      </c>
      <c r="N658" s="142">
        <f t="shared" si="157"/>
        <v>0</v>
      </c>
      <c r="O658" s="59">
        <f t="shared" si="158"/>
        <v>4136</v>
      </c>
      <c r="P658" s="142">
        <f t="shared" si="159"/>
        <v>0</v>
      </c>
      <c r="Q658" s="142">
        <f t="shared" si="160"/>
        <v>0</v>
      </c>
      <c r="R658" s="142">
        <f t="shared" si="161"/>
        <v>0</v>
      </c>
      <c r="S658" s="142">
        <f t="shared" si="162"/>
        <v>0</v>
      </c>
      <c r="T658" s="142">
        <f t="shared" si="163"/>
        <v>0</v>
      </c>
      <c r="U658" s="60">
        <f t="shared" si="164"/>
        <v>0</v>
      </c>
    </row>
    <row r="659" spans="1:21" x14ac:dyDescent="0.2">
      <c r="A659" s="115"/>
      <c r="B659" s="139" t="s">
        <v>502</v>
      </c>
      <c r="C659" s="140" t="s">
        <v>225</v>
      </c>
      <c r="D659" s="141">
        <v>40786</v>
      </c>
      <c r="E659" s="141">
        <v>41521</v>
      </c>
      <c r="F659" s="57">
        <v>4136</v>
      </c>
      <c r="G659" s="58">
        <f t="shared" si="150"/>
        <v>-4501</v>
      </c>
      <c r="H659" s="142">
        <f t="shared" si="151"/>
        <v>4136</v>
      </c>
      <c r="I659" s="142">
        <f t="shared" si="152"/>
        <v>0</v>
      </c>
      <c r="J659" s="143">
        <f t="shared" si="153"/>
        <v>0</v>
      </c>
      <c r="K659" s="143">
        <f t="shared" si="154"/>
        <v>0</v>
      </c>
      <c r="L659" s="142">
        <f t="shared" si="155"/>
        <v>0</v>
      </c>
      <c r="M659" s="142">
        <f t="shared" si="156"/>
        <v>0</v>
      </c>
      <c r="N659" s="142">
        <f t="shared" si="157"/>
        <v>0</v>
      </c>
      <c r="O659" s="59">
        <f t="shared" si="158"/>
        <v>4136</v>
      </c>
      <c r="P659" s="142">
        <f t="shared" si="159"/>
        <v>0</v>
      </c>
      <c r="Q659" s="142">
        <f t="shared" si="160"/>
        <v>0</v>
      </c>
      <c r="R659" s="142">
        <f t="shared" si="161"/>
        <v>0</v>
      </c>
      <c r="S659" s="142">
        <f t="shared" si="162"/>
        <v>0</v>
      </c>
      <c r="T659" s="142">
        <f t="shared" si="163"/>
        <v>0</v>
      </c>
      <c r="U659" s="60">
        <f t="shared" si="164"/>
        <v>0</v>
      </c>
    </row>
    <row r="660" spans="1:21" x14ac:dyDescent="0.2">
      <c r="A660" s="115"/>
      <c r="B660" s="139" t="s">
        <v>502</v>
      </c>
      <c r="C660" s="140" t="s">
        <v>226</v>
      </c>
      <c r="D660" s="141">
        <v>40787</v>
      </c>
      <c r="E660" s="141">
        <v>41521</v>
      </c>
      <c r="F660" s="57">
        <v>1344</v>
      </c>
      <c r="G660" s="58">
        <f t="shared" si="150"/>
        <v>-4501</v>
      </c>
      <c r="H660" s="142">
        <f t="shared" si="151"/>
        <v>1344</v>
      </c>
      <c r="I660" s="142">
        <f t="shared" si="152"/>
        <v>0</v>
      </c>
      <c r="J660" s="143">
        <f t="shared" si="153"/>
        <v>0</v>
      </c>
      <c r="K660" s="143">
        <f t="shared" si="154"/>
        <v>0</v>
      </c>
      <c r="L660" s="142">
        <f t="shared" si="155"/>
        <v>0</v>
      </c>
      <c r="M660" s="142">
        <f t="shared" si="156"/>
        <v>0</v>
      </c>
      <c r="N660" s="142">
        <f t="shared" si="157"/>
        <v>0</v>
      </c>
      <c r="O660" s="59">
        <f t="shared" si="158"/>
        <v>1344</v>
      </c>
      <c r="P660" s="142">
        <f t="shared" si="159"/>
        <v>0</v>
      </c>
      <c r="Q660" s="142">
        <f t="shared" si="160"/>
        <v>0</v>
      </c>
      <c r="R660" s="142">
        <f t="shared" si="161"/>
        <v>0</v>
      </c>
      <c r="S660" s="142">
        <f t="shared" si="162"/>
        <v>0</v>
      </c>
      <c r="T660" s="142">
        <f t="shared" si="163"/>
        <v>0</v>
      </c>
      <c r="U660" s="60">
        <f t="shared" si="164"/>
        <v>0</v>
      </c>
    </row>
    <row r="661" spans="1:21" x14ac:dyDescent="0.2">
      <c r="A661" s="115"/>
      <c r="B661" s="139" t="s">
        <v>502</v>
      </c>
      <c r="C661" s="140" t="s">
        <v>227</v>
      </c>
      <c r="D661" s="141">
        <v>40787</v>
      </c>
      <c r="E661" s="141">
        <v>41521</v>
      </c>
      <c r="F661" s="57">
        <v>1344</v>
      </c>
      <c r="G661" s="58">
        <f t="shared" si="150"/>
        <v>-4501</v>
      </c>
      <c r="H661" s="142">
        <f t="shared" si="151"/>
        <v>1344</v>
      </c>
      <c r="I661" s="142">
        <f t="shared" si="152"/>
        <v>0</v>
      </c>
      <c r="J661" s="143">
        <f t="shared" si="153"/>
        <v>0</v>
      </c>
      <c r="K661" s="143">
        <f t="shared" si="154"/>
        <v>0</v>
      </c>
      <c r="L661" s="142">
        <f t="shared" si="155"/>
        <v>0</v>
      </c>
      <c r="M661" s="142">
        <f t="shared" si="156"/>
        <v>0</v>
      </c>
      <c r="N661" s="142">
        <f t="shared" si="157"/>
        <v>0</v>
      </c>
      <c r="O661" s="59">
        <f t="shared" si="158"/>
        <v>1344</v>
      </c>
      <c r="P661" s="142">
        <f t="shared" si="159"/>
        <v>0</v>
      </c>
      <c r="Q661" s="142">
        <f t="shared" si="160"/>
        <v>0</v>
      </c>
      <c r="R661" s="142">
        <f t="shared" si="161"/>
        <v>0</v>
      </c>
      <c r="S661" s="142">
        <f t="shared" si="162"/>
        <v>0</v>
      </c>
      <c r="T661" s="142">
        <f t="shared" si="163"/>
        <v>0</v>
      </c>
      <c r="U661" s="60">
        <f t="shared" si="164"/>
        <v>0</v>
      </c>
    </row>
    <row r="662" spans="1:21" x14ac:dyDescent="0.2">
      <c r="A662" s="115"/>
      <c r="B662" s="139" t="s">
        <v>502</v>
      </c>
      <c r="C662" s="140" t="s">
        <v>228</v>
      </c>
      <c r="D662" s="141">
        <v>40787</v>
      </c>
      <c r="E662" s="141">
        <v>41521</v>
      </c>
      <c r="F662" s="57">
        <v>1344</v>
      </c>
      <c r="G662" s="58">
        <f t="shared" si="150"/>
        <v>-4501</v>
      </c>
      <c r="H662" s="142">
        <f t="shared" si="151"/>
        <v>1344</v>
      </c>
      <c r="I662" s="142">
        <f t="shared" si="152"/>
        <v>0</v>
      </c>
      <c r="J662" s="143">
        <f t="shared" si="153"/>
        <v>0</v>
      </c>
      <c r="K662" s="143">
        <f t="shared" si="154"/>
        <v>0</v>
      </c>
      <c r="L662" s="142">
        <f t="shared" si="155"/>
        <v>0</v>
      </c>
      <c r="M662" s="142">
        <f t="shared" si="156"/>
        <v>0</v>
      </c>
      <c r="N662" s="142">
        <f t="shared" si="157"/>
        <v>0</v>
      </c>
      <c r="O662" s="59">
        <f t="shared" si="158"/>
        <v>1344</v>
      </c>
      <c r="P662" s="142">
        <f t="shared" si="159"/>
        <v>0</v>
      </c>
      <c r="Q662" s="142">
        <f t="shared" si="160"/>
        <v>0</v>
      </c>
      <c r="R662" s="142">
        <f t="shared" si="161"/>
        <v>0</v>
      </c>
      <c r="S662" s="142">
        <f t="shared" si="162"/>
        <v>0</v>
      </c>
      <c r="T662" s="142">
        <f t="shared" si="163"/>
        <v>0</v>
      </c>
      <c r="U662" s="60">
        <f t="shared" si="164"/>
        <v>0</v>
      </c>
    </row>
    <row r="663" spans="1:21" x14ac:dyDescent="0.2">
      <c r="A663" s="115"/>
      <c r="B663" s="139" t="s">
        <v>502</v>
      </c>
      <c r="C663" s="140" t="s">
        <v>229</v>
      </c>
      <c r="D663" s="141">
        <v>40821</v>
      </c>
      <c r="E663" s="141">
        <v>41521</v>
      </c>
      <c r="F663" s="57">
        <v>2162.5</v>
      </c>
      <c r="G663" s="58">
        <f t="shared" si="150"/>
        <v>-4501</v>
      </c>
      <c r="H663" s="142">
        <f t="shared" si="151"/>
        <v>2162.5</v>
      </c>
      <c r="I663" s="142">
        <f t="shared" si="152"/>
        <v>0</v>
      </c>
      <c r="J663" s="143">
        <f t="shared" si="153"/>
        <v>0</v>
      </c>
      <c r="K663" s="143">
        <f t="shared" si="154"/>
        <v>0</v>
      </c>
      <c r="L663" s="142">
        <f t="shared" si="155"/>
        <v>0</v>
      </c>
      <c r="M663" s="142">
        <f t="shared" si="156"/>
        <v>0</v>
      </c>
      <c r="N663" s="142">
        <f t="shared" si="157"/>
        <v>0</v>
      </c>
      <c r="O663" s="59">
        <f t="shared" si="158"/>
        <v>2162.5</v>
      </c>
      <c r="P663" s="142">
        <f t="shared" si="159"/>
        <v>0</v>
      </c>
      <c r="Q663" s="142">
        <f t="shared" si="160"/>
        <v>0</v>
      </c>
      <c r="R663" s="142">
        <f t="shared" si="161"/>
        <v>0</v>
      </c>
      <c r="S663" s="142">
        <f t="shared" si="162"/>
        <v>0</v>
      </c>
      <c r="T663" s="142">
        <f t="shared" si="163"/>
        <v>0</v>
      </c>
      <c r="U663" s="60">
        <f t="shared" si="164"/>
        <v>0</v>
      </c>
    </row>
    <row r="664" spans="1:21" x14ac:dyDescent="0.2">
      <c r="A664" s="115"/>
      <c r="B664" s="139" t="s">
        <v>502</v>
      </c>
      <c r="C664" s="140" t="s">
        <v>230</v>
      </c>
      <c r="D664" s="141">
        <v>40821</v>
      </c>
      <c r="E664" s="141">
        <v>41521</v>
      </c>
      <c r="F664" s="57">
        <v>2162.5</v>
      </c>
      <c r="G664" s="58">
        <f t="shared" si="150"/>
        <v>-4501</v>
      </c>
      <c r="H664" s="142">
        <f t="shared" si="151"/>
        <v>2162.5</v>
      </c>
      <c r="I664" s="142">
        <f t="shared" si="152"/>
        <v>0</v>
      </c>
      <c r="J664" s="143">
        <f t="shared" si="153"/>
        <v>0</v>
      </c>
      <c r="K664" s="143">
        <f t="shared" si="154"/>
        <v>0</v>
      </c>
      <c r="L664" s="142">
        <f t="shared" si="155"/>
        <v>0</v>
      </c>
      <c r="M664" s="142">
        <f t="shared" si="156"/>
        <v>0</v>
      </c>
      <c r="N664" s="142">
        <f t="shared" si="157"/>
        <v>0</v>
      </c>
      <c r="O664" s="59">
        <f t="shared" si="158"/>
        <v>2162.5</v>
      </c>
      <c r="P664" s="142">
        <f t="shared" si="159"/>
        <v>0</v>
      </c>
      <c r="Q664" s="142">
        <f t="shared" si="160"/>
        <v>0</v>
      </c>
      <c r="R664" s="142">
        <f t="shared" si="161"/>
        <v>0</v>
      </c>
      <c r="S664" s="142">
        <f t="shared" si="162"/>
        <v>0</v>
      </c>
      <c r="T664" s="142">
        <f t="shared" si="163"/>
        <v>0</v>
      </c>
      <c r="U664" s="60">
        <f t="shared" si="164"/>
        <v>0</v>
      </c>
    </row>
    <row r="665" spans="1:21" x14ac:dyDescent="0.2">
      <c r="A665" s="115"/>
      <c r="B665" s="139" t="s">
        <v>502</v>
      </c>
      <c r="C665" s="140" t="s">
        <v>231</v>
      </c>
      <c r="D665" s="141">
        <v>40821</v>
      </c>
      <c r="E665" s="141">
        <v>41521</v>
      </c>
      <c r="F665" s="57">
        <v>2162.5</v>
      </c>
      <c r="G665" s="58">
        <f t="shared" si="150"/>
        <v>-4501</v>
      </c>
      <c r="H665" s="142">
        <f t="shared" si="151"/>
        <v>2162.5</v>
      </c>
      <c r="I665" s="142">
        <f t="shared" si="152"/>
        <v>0</v>
      </c>
      <c r="J665" s="143">
        <f t="shared" si="153"/>
        <v>0</v>
      </c>
      <c r="K665" s="143">
        <f t="shared" si="154"/>
        <v>0</v>
      </c>
      <c r="L665" s="142">
        <f t="shared" si="155"/>
        <v>0</v>
      </c>
      <c r="M665" s="142">
        <f t="shared" si="156"/>
        <v>0</v>
      </c>
      <c r="N665" s="142">
        <f t="shared" si="157"/>
        <v>0</v>
      </c>
      <c r="O665" s="59">
        <f t="shared" si="158"/>
        <v>2162.5</v>
      </c>
      <c r="P665" s="142">
        <f t="shared" si="159"/>
        <v>0</v>
      </c>
      <c r="Q665" s="142">
        <f t="shared" si="160"/>
        <v>0</v>
      </c>
      <c r="R665" s="142">
        <f t="shared" si="161"/>
        <v>0</v>
      </c>
      <c r="S665" s="142">
        <f t="shared" si="162"/>
        <v>0</v>
      </c>
      <c r="T665" s="142">
        <f t="shared" si="163"/>
        <v>0</v>
      </c>
      <c r="U665" s="60">
        <f t="shared" si="164"/>
        <v>0</v>
      </c>
    </row>
    <row r="666" spans="1:21" x14ac:dyDescent="0.2">
      <c r="A666" s="115"/>
      <c r="B666" s="139" t="s">
        <v>502</v>
      </c>
      <c r="C666" s="140" t="s">
        <v>232</v>
      </c>
      <c r="D666" s="141">
        <v>40843</v>
      </c>
      <c r="E666" s="141">
        <v>41521</v>
      </c>
      <c r="F666" s="57">
        <v>5383.34</v>
      </c>
      <c r="G666" s="58">
        <f t="shared" si="150"/>
        <v>-4501</v>
      </c>
      <c r="H666" s="142">
        <f t="shared" si="151"/>
        <v>5383.34</v>
      </c>
      <c r="I666" s="142">
        <f t="shared" si="152"/>
        <v>0</v>
      </c>
      <c r="J666" s="143">
        <f t="shared" si="153"/>
        <v>0</v>
      </c>
      <c r="K666" s="143">
        <f t="shared" si="154"/>
        <v>0</v>
      </c>
      <c r="L666" s="142">
        <f t="shared" si="155"/>
        <v>0</v>
      </c>
      <c r="M666" s="142">
        <f t="shared" si="156"/>
        <v>0</v>
      </c>
      <c r="N666" s="142">
        <f t="shared" si="157"/>
        <v>0</v>
      </c>
      <c r="O666" s="59">
        <f t="shared" si="158"/>
        <v>5383.34</v>
      </c>
      <c r="P666" s="142">
        <f t="shared" si="159"/>
        <v>0</v>
      </c>
      <c r="Q666" s="142">
        <f t="shared" si="160"/>
        <v>0</v>
      </c>
      <c r="R666" s="142">
        <f t="shared" si="161"/>
        <v>0</v>
      </c>
      <c r="S666" s="142">
        <f t="shared" si="162"/>
        <v>0</v>
      </c>
      <c r="T666" s="142">
        <f t="shared" si="163"/>
        <v>0</v>
      </c>
      <c r="U666" s="60">
        <f t="shared" si="164"/>
        <v>0</v>
      </c>
    </row>
    <row r="667" spans="1:21" x14ac:dyDescent="0.2">
      <c r="A667" s="115"/>
      <c r="B667" s="139" t="s">
        <v>502</v>
      </c>
      <c r="C667" s="140" t="s">
        <v>233</v>
      </c>
      <c r="D667" s="141">
        <v>40843</v>
      </c>
      <c r="E667" s="141">
        <v>41521</v>
      </c>
      <c r="F667" s="57">
        <v>5383.33</v>
      </c>
      <c r="G667" s="58">
        <f t="shared" si="150"/>
        <v>-4501</v>
      </c>
      <c r="H667" s="142">
        <f t="shared" si="151"/>
        <v>5383.33</v>
      </c>
      <c r="I667" s="142">
        <f t="shared" si="152"/>
        <v>0</v>
      </c>
      <c r="J667" s="143">
        <f t="shared" si="153"/>
        <v>0</v>
      </c>
      <c r="K667" s="143">
        <f t="shared" si="154"/>
        <v>0</v>
      </c>
      <c r="L667" s="142">
        <f t="shared" si="155"/>
        <v>0</v>
      </c>
      <c r="M667" s="142">
        <f t="shared" si="156"/>
        <v>0</v>
      </c>
      <c r="N667" s="142">
        <f t="shared" si="157"/>
        <v>0</v>
      </c>
      <c r="O667" s="59">
        <f t="shared" si="158"/>
        <v>5383.33</v>
      </c>
      <c r="P667" s="142">
        <f t="shared" si="159"/>
        <v>0</v>
      </c>
      <c r="Q667" s="142">
        <f t="shared" si="160"/>
        <v>0</v>
      </c>
      <c r="R667" s="142">
        <f t="shared" si="161"/>
        <v>0</v>
      </c>
      <c r="S667" s="142">
        <f t="shared" si="162"/>
        <v>0</v>
      </c>
      <c r="T667" s="142">
        <f t="shared" si="163"/>
        <v>0</v>
      </c>
      <c r="U667" s="60">
        <f t="shared" si="164"/>
        <v>0</v>
      </c>
    </row>
    <row r="668" spans="1:21" x14ac:dyDescent="0.2">
      <c r="A668" s="115"/>
      <c r="B668" s="139" t="s">
        <v>502</v>
      </c>
      <c r="C668" s="140" t="s">
        <v>234</v>
      </c>
      <c r="D668" s="141">
        <v>40843</v>
      </c>
      <c r="E668" s="141">
        <v>41521</v>
      </c>
      <c r="F668" s="57">
        <v>5383.33</v>
      </c>
      <c r="G668" s="58">
        <f t="shared" si="150"/>
        <v>-4501</v>
      </c>
      <c r="H668" s="142">
        <f t="shared" si="151"/>
        <v>5383.33</v>
      </c>
      <c r="I668" s="142">
        <f t="shared" si="152"/>
        <v>0</v>
      </c>
      <c r="J668" s="143">
        <f t="shared" si="153"/>
        <v>0</v>
      </c>
      <c r="K668" s="143">
        <f t="shared" si="154"/>
        <v>0</v>
      </c>
      <c r="L668" s="142">
        <f t="shared" si="155"/>
        <v>0</v>
      </c>
      <c r="M668" s="142">
        <f t="shared" si="156"/>
        <v>0</v>
      </c>
      <c r="N668" s="142">
        <f t="shared" si="157"/>
        <v>0</v>
      </c>
      <c r="O668" s="59">
        <f t="shared" si="158"/>
        <v>5383.33</v>
      </c>
      <c r="P668" s="142">
        <f t="shared" si="159"/>
        <v>0</v>
      </c>
      <c r="Q668" s="142">
        <f t="shared" si="160"/>
        <v>0</v>
      </c>
      <c r="R668" s="142">
        <f t="shared" si="161"/>
        <v>0</v>
      </c>
      <c r="S668" s="142">
        <f t="shared" si="162"/>
        <v>0</v>
      </c>
      <c r="T668" s="142">
        <f t="shared" si="163"/>
        <v>0</v>
      </c>
      <c r="U668" s="60">
        <f t="shared" si="164"/>
        <v>0</v>
      </c>
    </row>
    <row r="669" spans="1:21" x14ac:dyDescent="0.2">
      <c r="A669" s="115"/>
      <c r="B669" s="139" t="s">
        <v>502</v>
      </c>
      <c r="C669" s="140" t="s">
        <v>235</v>
      </c>
      <c r="D669" s="141">
        <v>40855</v>
      </c>
      <c r="E669" s="141">
        <v>41521</v>
      </c>
      <c r="F669" s="57">
        <v>290</v>
      </c>
      <c r="G669" s="58">
        <f t="shared" si="150"/>
        <v>-4501</v>
      </c>
      <c r="H669" s="142">
        <f t="shared" si="151"/>
        <v>290</v>
      </c>
      <c r="I669" s="142">
        <f t="shared" si="152"/>
        <v>0</v>
      </c>
      <c r="J669" s="143">
        <f t="shared" si="153"/>
        <v>0</v>
      </c>
      <c r="K669" s="143">
        <f t="shared" si="154"/>
        <v>0</v>
      </c>
      <c r="L669" s="142">
        <f t="shared" si="155"/>
        <v>0</v>
      </c>
      <c r="M669" s="142">
        <f t="shared" si="156"/>
        <v>0</v>
      </c>
      <c r="N669" s="142">
        <f t="shared" si="157"/>
        <v>0</v>
      </c>
      <c r="O669" s="59">
        <f t="shared" si="158"/>
        <v>290</v>
      </c>
      <c r="P669" s="142">
        <f t="shared" si="159"/>
        <v>0</v>
      </c>
      <c r="Q669" s="142">
        <f t="shared" si="160"/>
        <v>0</v>
      </c>
      <c r="R669" s="142">
        <f t="shared" si="161"/>
        <v>0</v>
      </c>
      <c r="S669" s="142">
        <f t="shared" si="162"/>
        <v>0</v>
      </c>
      <c r="T669" s="142">
        <f t="shared" si="163"/>
        <v>0</v>
      </c>
      <c r="U669" s="60">
        <f t="shared" si="164"/>
        <v>0</v>
      </c>
    </row>
    <row r="670" spans="1:21" x14ac:dyDescent="0.2">
      <c r="A670" s="115"/>
      <c r="B670" s="139" t="s">
        <v>502</v>
      </c>
      <c r="C670" s="140" t="s">
        <v>236</v>
      </c>
      <c r="D670" s="141">
        <v>40855</v>
      </c>
      <c r="E670" s="141">
        <v>41521</v>
      </c>
      <c r="F670" s="57">
        <v>290</v>
      </c>
      <c r="G670" s="58">
        <f t="shared" si="150"/>
        <v>-4501</v>
      </c>
      <c r="H670" s="142">
        <f t="shared" si="151"/>
        <v>290</v>
      </c>
      <c r="I670" s="142">
        <f t="shared" si="152"/>
        <v>0</v>
      </c>
      <c r="J670" s="143">
        <f t="shared" si="153"/>
        <v>0</v>
      </c>
      <c r="K670" s="143">
        <f t="shared" si="154"/>
        <v>0</v>
      </c>
      <c r="L670" s="142">
        <f t="shared" si="155"/>
        <v>0</v>
      </c>
      <c r="M670" s="142">
        <f t="shared" si="156"/>
        <v>0</v>
      </c>
      <c r="N670" s="142">
        <f t="shared" si="157"/>
        <v>0</v>
      </c>
      <c r="O670" s="59">
        <f t="shared" si="158"/>
        <v>290</v>
      </c>
      <c r="P670" s="142">
        <f t="shared" si="159"/>
        <v>0</v>
      </c>
      <c r="Q670" s="142">
        <f t="shared" si="160"/>
        <v>0</v>
      </c>
      <c r="R670" s="142">
        <f t="shared" si="161"/>
        <v>0</v>
      </c>
      <c r="S670" s="142">
        <f t="shared" si="162"/>
        <v>0</v>
      </c>
      <c r="T670" s="142">
        <f t="shared" si="163"/>
        <v>0</v>
      </c>
      <c r="U670" s="60">
        <f t="shared" si="164"/>
        <v>0</v>
      </c>
    </row>
    <row r="671" spans="1:21" x14ac:dyDescent="0.2">
      <c r="A671" s="115"/>
      <c r="B671" s="139" t="s">
        <v>502</v>
      </c>
      <c r="C671" s="140" t="s">
        <v>237</v>
      </c>
      <c r="D671" s="141">
        <v>40855</v>
      </c>
      <c r="E671" s="141">
        <v>41521</v>
      </c>
      <c r="F671" s="57">
        <v>290</v>
      </c>
      <c r="G671" s="58">
        <f t="shared" si="150"/>
        <v>-4501</v>
      </c>
      <c r="H671" s="142">
        <f t="shared" si="151"/>
        <v>290</v>
      </c>
      <c r="I671" s="142">
        <f t="shared" si="152"/>
        <v>0</v>
      </c>
      <c r="J671" s="143">
        <f t="shared" si="153"/>
        <v>0</v>
      </c>
      <c r="K671" s="143">
        <f t="shared" si="154"/>
        <v>0</v>
      </c>
      <c r="L671" s="142">
        <f t="shared" si="155"/>
        <v>0</v>
      </c>
      <c r="M671" s="142">
        <f t="shared" si="156"/>
        <v>0</v>
      </c>
      <c r="N671" s="142">
        <f t="shared" si="157"/>
        <v>0</v>
      </c>
      <c r="O671" s="59">
        <f t="shared" si="158"/>
        <v>290</v>
      </c>
      <c r="P671" s="142">
        <f t="shared" si="159"/>
        <v>0</v>
      </c>
      <c r="Q671" s="142">
        <f t="shared" si="160"/>
        <v>0</v>
      </c>
      <c r="R671" s="142">
        <f t="shared" si="161"/>
        <v>0</v>
      </c>
      <c r="S671" s="142">
        <f t="shared" si="162"/>
        <v>0</v>
      </c>
      <c r="T671" s="142">
        <f t="shared" si="163"/>
        <v>0</v>
      </c>
      <c r="U671" s="60">
        <f t="shared" si="164"/>
        <v>0</v>
      </c>
    </row>
    <row r="672" spans="1:21" x14ac:dyDescent="0.2">
      <c r="A672" s="115"/>
      <c r="B672" s="139" t="s">
        <v>502</v>
      </c>
      <c r="C672" s="140" t="s">
        <v>238</v>
      </c>
      <c r="D672" s="141">
        <v>40875</v>
      </c>
      <c r="E672" s="141">
        <v>41521</v>
      </c>
      <c r="F672" s="57">
        <v>1280</v>
      </c>
      <c r="G672" s="58">
        <f t="shared" si="150"/>
        <v>-4501</v>
      </c>
      <c r="H672" s="142">
        <f t="shared" si="151"/>
        <v>1280</v>
      </c>
      <c r="I672" s="142">
        <f t="shared" si="152"/>
        <v>0</v>
      </c>
      <c r="J672" s="143">
        <f t="shared" si="153"/>
        <v>0</v>
      </c>
      <c r="K672" s="143">
        <f t="shared" si="154"/>
        <v>0</v>
      </c>
      <c r="L672" s="142">
        <f t="shared" si="155"/>
        <v>0</v>
      </c>
      <c r="M672" s="142">
        <f t="shared" si="156"/>
        <v>0</v>
      </c>
      <c r="N672" s="142">
        <f t="shared" si="157"/>
        <v>0</v>
      </c>
      <c r="O672" s="59">
        <f t="shared" si="158"/>
        <v>1280</v>
      </c>
      <c r="P672" s="142">
        <f t="shared" si="159"/>
        <v>0</v>
      </c>
      <c r="Q672" s="142">
        <f t="shared" si="160"/>
        <v>0</v>
      </c>
      <c r="R672" s="142">
        <f t="shared" si="161"/>
        <v>0</v>
      </c>
      <c r="S672" s="142">
        <f t="shared" si="162"/>
        <v>0</v>
      </c>
      <c r="T672" s="142">
        <f t="shared" si="163"/>
        <v>0</v>
      </c>
      <c r="U672" s="60">
        <f t="shared" si="164"/>
        <v>0</v>
      </c>
    </row>
    <row r="673" spans="1:21" x14ac:dyDescent="0.2">
      <c r="A673" s="115"/>
      <c r="B673" s="139" t="s">
        <v>502</v>
      </c>
      <c r="C673" s="140" t="s">
        <v>239</v>
      </c>
      <c r="D673" s="141">
        <v>40875</v>
      </c>
      <c r="E673" s="141">
        <v>41521</v>
      </c>
      <c r="F673" s="57">
        <v>1280</v>
      </c>
      <c r="G673" s="58">
        <f t="shared" si="150"/>
        <v>-4501</v>
      </c>
      <c r="H673" s="142">
        <f t="shared" si="151"/>
        <v>1280</v>
      </c>
      <c r="I673" s="142">
        <f t="shared" si="152"/>
        <v>0</v>
      </c>
      <c r="J673" s="143">
        <f t="shared" si="153"/>
        <v>0</v>
      </c>
      <c r="K673" s="143">
        <f t="shared" si="154"/>
        <v>0</v>
      </c>
      <c r="L673" s="142">
        <f t="shared" si="155"/>
        <v>0</v>
      </c>
      <c r="M673" s="142">
        <f t="shared" si="156"/>
        <v>0</v>
      </c>
      <c r="N673" s="142">
        <f t="shared" si="157"/>
        <v>0</v>
      </c>
      <c r="O673" s="59">
        <f t="shared" si="158"/>
        <v>1280</v>
      </c>
      <c r="P673" s="142">
        <f t="shared" si="159"/>
        <v>0</v>
      </c>
      <c r="Q673" s="142">
        <f t="shared" si="160"/>
        <v>0</v>
      </c>
      <c r="R673" s="142">
        <f t="shared" si="161"/>
        <v>0</v>
      </c>
      <c r="S673" s="142">
        <f t="shared" si="162"/>
        <v>0</v>
      </c>
      <c r="T673" s="142">
        <f t="shared" si="163"/>
        <v>0</v>
      </c>
      <c r="U673" s="60">
        <f t="shared" si="164"/>
        <v>0</v>
      </c>
    </row>
    <row r="674" spans="1:21" x14ac:dyDescent="0.2">
      <c r="A674" s="115"/>
      <c r="B674" s="139" t="s">
        <v>502</v>
      </c>
      <c r="C674" s="140" t="s">
        <v>240</v>
      </c>
      <c r="D674" s="141">
        <v>40875</v>
      </c>
      <c r="E674" s="141">
        <v>41521</v>
      </c>
      <c r="F674" s="57">
        <v>1280</v>
      </c>
      <c r="G674" s="58">
        <f t="shared" si="150"/>
        <v>-4501</v>
      </c>
      <c r="H674" s="142">
        <f t="shared" si="151"/>
        <v>1280</v>
      </c>
      <c r="I674" s="142">
        <f t="shared" si="152"/>
        <v>0</v>
      </c>
      <c r="J674" s="143">
        <f t="shared" si="153"/>
        <v>0</v>
      </c>
      <c r="K674" s="143">
        <f t="shared" si="154"/>
        <v>0</v>
      </c>
      <c r="L674" s="142">
        <f t="shared" si="155"/>
        <v>0</v>
      </c>
      <c r="M674" s="142">
        <f t="shared" si="156"/>
        <v>0</v>
      </c>
      <c r="N674" s="142">
        <f t="shared" si="157"/>
        <v>0</v>
      </c>
      <c r="O674" s="59">
        <f t="shared" si="158"/>
        <v>1280</v>
      </c>
      <c r="P674" s="142">
        <f t="shared" si="159"/>
        <v>0</v>
      </c>
      <c r="Q674" s="142">
        <f t="shared" si="160"/>
        <v>0</v>
      </c>
      <c r="R674" s="142">
        <f t="shared" si="161"/>
        <v>0</v>
      </c>
      <c r="S674" s="142">
        <f t="shared" si="162"/>
        <v>0</v>
      </c>
      <c r="T674" s="142">
        <f t="shared" si="163"/>
        <v>0</v>
      </c>
      <c r="U674" s="60">
        <f t="shared" si="164"/>
        <v>0</v>
      </c>
    </row>
    <row r="675" spans="1:21" x14ac:dyDescent="0.2">
      <c r="A675" s="115"/>
      <c r="B675" s="139" t="s">
        <v>502</v>
      </c>
      <c r="C675" s="140" t="s">
        <v>241</v>
      </c>
      <c r="D675" s="141">
        <v>40875</v>
      </c>
      <c r="E675" s="141">
        <v>41521</v>
      </c>
      <c r="F675" s="57">
        <v>1280</v>
      </c>
      <c r="G675" s="58">
        <f t="shared" si="150"/>
        <v>-4501</v>
      </c>
      <c r="H675" s="142">
        <f t="shared" si="151"/>
        <v>1280</v>
      </c>
      <c r="I675" s="142">
        <f t="shared" si="152"/>
        <v>0</v>
      </c>
      <c r="J675" s="143">
        <f t="shared" si="153"/>
        <v>0</v>
      </c>
      <c r="K675" s="143">
        <f t="shared" si="154"/>
        <v>0</v>
      </c>
      <c r="L675" s="142">
        <f t="shared" si="155"/>
        <v>0</v>
      </c>
      <c r="M675" s="142">
        <f t="shared" si="156"/>
        <v>0</v>
      </c>
      <c r="N675" s="142">
        <f t="shared" si="157"/>
        <v>0</v>
      </c>
      <c r="O675" s="59">
        <f t="shared" si="158"/>
        <v>1280</v>
      </c>
      <c r="P675" s="142">
        <f t="shared" si="159"/>
        <v>0</v>
      </c>
      <c r="Q675" s="142">
        <f t="shared" si="160"/>
        <v>0</v>
      </c>
      <c r="R675" s="142">
        <f t="shared" si="161"/>
        <v>0</v>
      </c>
      <c r="S675" s="142">
        <f t="shared" si="162"/>
        <v>0</v>
      </c>
      <c r="T675" s="142">
        <f t="shared" si="163"/>
        <v>0</v>
      </c>
      <c r="U675" s="60">
        <f t="shared" si="164"/>
        <v>0</v>
      </c>
    </row>
    <row r="676" spans="1:21" x14ac:dyDescent="0.2">
      <c r="A676" s="115"/>
      <c r="B676" s="139" t="s">
        <v>502</v>
      </c>
      <c r="C676" s="140" t="s">
        <v>242</v>
      </c>
      <c r="D676" s="141">
        <v>40889</v>
      </c>
      <c r="E676" s="141">
        <v>41521</v>
      </c>
      <c r="F676" s="57">
        <v>193.34</v>
      </c>
      <c r="G676" s="58">
        <f t="shared" si="150"/>
        <v>-4501</v>
      </c>
      <c r="H676" s="142">
        <f t="shared" si="151"/>
        <v>193.34</v>
      </c>
      <c r="I676" s="142">
        <f t="shared" si="152"/>
        <v>0</v>
      </c>
      <c r="J676" s="143">
        <f t="shared" si="153"/>
        <v>0</v>
      </c>
      <c r="K676" s="143">
        <f t="shared" si="154"/>
        <v>0</v>
      </c>
      <c r="L676" s="142">
        <f t="shared" si="155"/>
        <v>0</v>
      </c>
      <c r="M676" s="142">
        <f t="shared" si="156"/>
        <v>0</v>
      </c>
      <c r="N676" s="142">
        <f t="shared" si="157"/>
        <v>0</v>
      </c>
      <c r="O676" s="59">
        <f t="shared" si="158"/>
        <v>193.34</v>
      </c>
      <c r="P676" s="142">
        <f t="shared" si="159"/>
        <v>0</v>
      </c>
      <c r="Q676" s="142">
        <f t="shared" si="160"/>
        <v>0</v>
      </c>
      <c r="R676" s="142">
        <f t="shared" si="161"/>
        <v>0</v>
      </c>
      <c r="S676" s="142">
        <f t="shared" si="162"/>
        <v>0</v>
      </c>
      <c r="T676" s="142">
        <f t="shared" si="163"/>
        <v>0</v>
      </c>
      <c r="U676" s="60">
        <f t="shared" si="164"/>
        <v>0</v>
      </c>
    </row>
    <row r="677" spans="1:21" x14ac:dyDescent="0.2">
      <c r="A677" s="115"/>
      <c r="B677" s="139" t="s">
        <v>502</v>
      </c>
      <c r="C677" s="140" t="s">
        <v>243</v>
      </c>
      <c r="D677" s="141">
        <v>40889</v>
      </c>
      <c r="E677" s="141">
        <v>41521</v>
      </c>
      <c r="F677" s="57">
        <v>193.33</v>
      </c>
      <c r="G677" s="58">
        <f t="shared" si="150"/>
        <v>-4501</v>
      </c>
      <c r="H677" s="142">
        <f t="shared" si="151"/>
        <v>193.33</v>
      </c>
      <c r="I677" s="142">
        <f t="shared" si="152"/>
        <v>0</v>
      </c>
      <c r="J677" s="143">
        <f t="shared" si="153"/>
        <v>0</v>
      </c>
      <c r="K677" s="143">
        <f t="shared" si="154"/>
        <v>0</v>
      </c>
      <c r="L677" s="142">
        <f t="shared" si="155"/>
        <v>0</v>
      </c>
      <c r="M677" s="142">
        <f t="shared" si="156"/>
        <v>0</v>
      </c>
      <c r="N677" s="142">
        <f t="shared" si="157"/>
        <v>0</v>
      </c>
      <c r="O677" s="59">
        <f t="shared" si="158"/>
        <v>193.33</v>
      </c>
      <c r="P677" s="142">
        <f t="shared" si="159"/>
        <v>0</v>
      </c>
      <c r="Q677" s="142">
        <f t="shared" si="160"/>
        <v>0</v>
      </c>
      <c r="R677" s="142">
        <f t="shared" si="161"/>
        <v>0</v>
      </c>
      <c r="S677" s="142">
        <f t="shared" si="162"/>
        <v>0</v>
      </c>
      <c r="T677" s="142">
        <f t="shared" si="163"/>
        <v>0</v>
      </c>
      <c r="U677" s="60">
        <f t="shared" si="164"/>
        <v>0</v>
      </c>
    </row>
    <row r="678" spans="1:21" x14ac:dyDescent="0.2">
      <c r="A678" s="115"/>
      <c r="B678" s="139" t="s">
        <v>502</v>
      </c>
      <c r="C678" s="140" t="s">
        <v>244</v>
      </c>
      <c r="D678" s="141">
        <v>40889</v>
      </c>
      <c r="E678" s="141">
        <v>41521</v>
      </c>
      <c r="F678" s="57">
        <v>193.33</v>
      </c>
      <c r="G678" s="58">
        <f t="shared" si="150"/>
        <v>-4501</v>
      </c>
      <c r="H678" s="142">
        <f t="shared" si="151"/>
        <v>193.33</v>
      </c>
      <c r="I678" s="142">
        <f t="shared" si="152"/>
        <v>0</v>
      </c>
      <c r="J678" s="143">
        <f t="shared" si="153"/>
        <v>0</v>
      </c>
      <c r="K678" s="143">
        <f t="shared" si="154"/>
        <v>0</v>
      </c>
      <c r="L678" s="142">
        <f t="shared" si="155"/>
        <v>0</v>
      </c>
      <c r="M678" s="142">
        <f t="shared" si="156"/>
        <v>0</v>
      </c>
      <c r="N678" s="142">
        <f t="shared" si="157"/>
        <v>0</v>
      </c>
      <c r="O678" s="59">
        <f t="shared" si="158"/>
        <v>193.33</v>
      </c>
      <c r="P678" s="142">
        <f t="shared" si="159"/>
        <v>0</v>
      </c>
      <c r="Q678" s="142">
        <f t="shared" si="160"/>
        <v>0</v>
      </c>
      <c r="R678" s="142">
        <f t="shared" si="161"/>
        <v>0</v>
      </c>
      <c r="S678" s="142">
        <f t="shared" si="162"/>
        <v>0</v>
      </c>
      <c r="T678" s="142">
        <f t="shared" si="163"/>
        <v>0</v>
      </c>
      <c r="U678" s="60">
        <f t="shared" si="164"/>
        <v>0</v>
      </c>
    </row>
    <row r="679" spans="1:21" x14ac:dyDescent="0.2">
      <c r="A679" s="115"/>
      <c r="B679" s="139" t="s">
        <v>502</v>
      </c>
      <c r="C679" s="140" t="s">
        <v>245</v>
      </c>
      <c r="D679" s="141">
        <v>40890</v>
      </c>
      <c r="E679" s="141">
        <v>41521</v>
      </c>
      <c r="F679" s="57">
        <v>362.5</v>
      </c>
      <c r="G679" s="58">
        <f t="shared" si="150"/>
        <v>-4501</v>
      </c>
      <c r="H679" s="142">
        <f t="shared" si="151"/>
        <v>362.5</v>
      </c>
      <c r="I679" s="142">
        <f t="shared" si="152"/>
        <v>0</v>
      </c>
      <c r="J679" s="143">
        <f t="shared" si="153"/>
        <v>0</v>
      </c>
      <c r="K679" s="143">
        <f t="shared" si="154"/>
        <v>0</v>
      </c>
      <c r="L679" s="142">
        <f t="shared" si="155"/>
        <v>0</v>
      </c>
      <c r="M679" s="142">
        <f t="shared" si="156"/>
        <v>0</v>
      </c>
      <c r="N679" s="142">
        <f t="shared" si="157"/>
        <v>0</v>
      </c>
      <c r="O679" s="59">
        <f t="shared" si="158"/>
        <v>362.5</v>
      </c>
      <c r="P679" s="142">
        <f t="shared" si="159"/>
        <v>0</v>
      </c>
      <c r="Q679" s="142">
        <f t="shared" si="160"/>
        <v>0</v>
      </c>
      <c r="R679" s="142">
        <f t="shared" si="161"/>
        <v>0</v>
      </c>
      <c r="S679" s="142">
        <f t="shared" si="162"/>
        <v>0</v>
      </c>
      <c r="T679" s="142">
        <f t="shared" si="163"/>
        <v>0</v>
      </c>
      <c r="U679" s="60">
        <f t="shared" si="164"/>
        <v>0</v>
      </c>
    </row>
    <row r="680" spans="1:21" x14ac:dyDescent="0.2">
      <c r="A680" s="115"/>
      <c r="B680" s="139" t="s">
        <v>502</v>
      </c>
      <c r="C680" s="140" t="s">
        <v>246</v>
      </c>
      <c r="D680" s="141">
        <v>40890</v>
      </c>
      <c r="E680" s="141">
        <v>41521</v>
      </c>
      <c r="F680" s="57">
        <v>362.5</v>
      </c>
      <c r="G680" s="58">
        <f t="shared" si="150"/>
        <v>-4501</v>
      </c>
      <c r="H680" s="142">
        <f t="shared" si="151"/>
        <v>362.5</v>
      </c>
      <c r="I680" s="142">
        <f t="shared" si="152"/>
        <v>0</v>
      </c>
      <c r="J680" s="143">
        <f t="shared" si="153"/>
        <v>0</v>
      </c>
      <c r="K680" s="143">
        <f t="shared" si="154"/>
        <v>0</v>
      </c>
      <c r="L680" s="142">
        <f t="shared" si="155"/>
        <v>0</v>
      </c>
      <c r="M680" s="142">
        <f t="shared" si="156"/>
        <v>0</v>
      </c>
      <c r="N680" s="142">
        <f t="shared" si="157"/>
        <v>0</v>
      </c>
      <c r="O680" s="59">
        <f t="shared" si="158"/>
        <v>362.5</v>
      </c>
      <c r="P680" s="142">
        <f t="shared" si="159"/>
        <v>0</v>
      </c>
      <c r="Q680" s="142">
        <f t="shared" si="160"/>
        <v>0</v>
      </c>
      <c r="R680" s="142">
        <f t="shared" si="161"/>
        <v>0</v>
      </c>
      <c r="S680" s="142">
        <f t="shared" si="162"/>
        <v>0</v>
      </c>
      <c r="T680" s="142">
        <f t="shared" si="163"/>
        <v>0</v>
      </c>
      <c r="U680" s="60">
        <f t="shared" si="164"/>
        <v>0</v>
      </c>
    </row>
    <row r="681" spans="1:21" x14ac:dyDescent="0.2">
      <c r="A681" s="115"/>
      <c r="B681" s="139" t="s">
        <v>502</v>
      </c>
      <c r="C681" s="140" t="s">
        <v>247</v>
      </c>
      <c r="D681" s="141">
        <v>40890</v>
      </c>
      <c r="E681" s="141">
        <v>41521</v>
      </c>
      <c r="F681" s="57">
        <v>362.5</v>
      </c>
      <c r="G681" s="58">
        <f t="shared" si="150"/>
        <v>-4501</v>
      </c>
      <c r="H681" s="142">
        <f t="shared" si="151"/>
        <v>362.5</v>
      </c>
      <c r="I681" s="142">
        <f t="shared" si="152"/>
        <v>0</v>
      </c>
      <c r="J681" s="143">
        <f t="shared" si="153"/>
        <v>0</v>
      </c>
      <c r="K681" s="143">
        <f t="shared" si="154"/>
        <v>0</v>
      </c>
      <c r="L681" s="142">
        <f t="shared" si="155"/>
        <v>0</v>
      </c>
      <c r="M681" s="142">
        <f t="shared" si="156"/>
        <v>0</v>
      </c>
      <c r="N681" s="142">
        <f t="shared" si="157"/>
        <v>0</v>
      </c>
      <c r="O681" s="59">
        <f t="shared" si="158"/>
        <v>362.5</v>
      </c>
      <c r="P681" s="142">
        <f t="shared" si="159"/>
        <v>0</v>
      </c>
      <c r="Q681" s="142">
        <f t="shared" si="160"/>
        <v>0</v>
      </c>
      <c r="R681" s="142">
        <f t="shared" si="161"/>
        <v>0</v>
      </c>
      <c r="S681" s="142">
        <f t="shared" si="162"/>
        <v>0</v>
      </c>
      <c r="T681" s="142">
        <f t="shared" si="163"/>
        <v>0</v>
      </c>
      <c r="U681" s="60">
        <f t="shared" si="164"/>
        <v>0</v>
      </c>
    </row>
    <row r="682" spans="1:21" x14ac:dyDescent="0.2">
      <c r="A682" s="115"/>
      <c r="B682" s="139" t="s">
        <v>502</v>
      </c>
      <c r="C682" s="140" t="s">
        <v>248</v>
      </c>
      <c r="D682" s="141">
        <v>40890</v>
      </c>
      <c r="E682" s="141">
        <v>41521</v>
      </c>
      <c r="F682" s="57">
        <v>362.5</v>
      </c>
      <c r="G682" s="58">
        <f t="shared" si="150"/>
        <v>-4501</v>
      </c>
      <c r="H682" s="142">
        <f t="shared" si="151"/>
        <v>362.5</v>
      </c>
      <c r="I682" s="142">
        <f t="shared" si="152"/>
        <v>0</v>
      </c>
      <c r="J682" s="143">
        <f t="shared" si="153"/>
        <v>0</v>
      </c>
      <c r="K682" s="143">
        <f t="shared" si="154"/>
        <v>0</v>
      </c>
      <c r="L682" s="142">
        <f t="shared" si="155"/>
        <v>0</v>
      </c>
      <c r="M682" s="142">
        <f t="shared" si="156"/>
        <v>0</v>
      </c>
      <c r="N682" s="142">
        <f t="shared" si="157"/>
        <v>0</v>
      </c>
      <c r="O682" s="59">
        <f t="shared" si="158"/>
        <v>362.5</v>
      </c>
      <c r="P682" s="142">
        <f t="shared" si="159"/>
        <v>0</v>
      </c>
      <c r="Q682" s="142">
        <f t="shared" si="160"/>
        <v>0</v>
      </c>
      <c r="R682" s="142">
        <f t="shared" si="161"/>
        <v>0</v>
      </c>
      <c r="S682" s="142">
        <f t="shared" si="162"/>
        <v>0</v>
      </c>
      <c r="T682" s="142">
        <f t="shared" si="163"/>
        <v>0</v>
      </c>
      <c r="U682" s="60">
        <f t="shared" si="164"/>
        <v>0</v>
      </c>
    </row>
    <row r="683" spans="1:21" x14ac:dyDescent="0.2">
      <c r="A683" s="115"/>
      <c r="B683" s="139" t="s">
        <v>418</v>
      </c>
      <c r="C683" s="140" t="s">
        <v>320</v>
      </c>
      <c r="D683" s="141">
        <v>45595</v>
      </c>
      <c r="E683" s="141">
        <v>45802</v>
      </c>
      <c r="F683" s="57">
        <v>88600</v>
      </c>
      <c r="G683" s="58">
        <f t="shared" si="150"/>
        <v>-220</v>
      </c>
      <c r="H683" s="142">
        <f t="shared" si="151"/>
        <v>88600</v>
      </c>
      <c r="I683" s="142">
        <f t="shared" si="152"/>
        <v>0</v>
      </c>
      <c r="J683" s="143">
        <f t="shared" si="153"/>
        <v>0</v>
      </c>
      <c r="K683" s="143">
        <f t="shared" si="154"/>
        <v>0</v>
      </c>
      <c r="L683" s="142">
        <f t="shared" si="155"/>
        <v>0</v>
      </c>
      <c r="M683" s="142">
        <f t="shared" si="156"/>
        <v>0</v>
      </c>
      <c r="N683" s="142">
        <f t="shared" si="157"/>
        <v>0</v>
      </c>
      <c r="O683" s="59">
        <f t="shared" si="158"/>
        <v>88600</v>
      </c>
      <c r="P683" s="142">
        <f t="shared" si="159"/>
        <v>0</v>
      </c>
      <c r="Q683" s="142">
        <f t="shared" si="160"/>
        <v>0</v>
      </c>
      <c r="R683" s="142">
        <f t="shared" si="161"/>
        <v>0</v>
      </c>
      <c r="S683" s="142">
        <f t="shared" si="162"/>
        <v>0</v>
      </c>
      <c r="T683" s="142">
        <f t="shared" si="163"/>
        <v>0</v>
      </c>
      <c r="U683" s="60">
        <f t="shared" si="164"/>
        <v>0</v>
      </c>
    </row>
    <row r="684" spans="1:21" x14ac:dyDescent="0.2">
      <c r="A684" s="115"/>
      <c r="B684" s="139" t="s">
        <v>418</v>
      </c>
      <c r="C684" s="140" t="s">
        <v>249</v>
      </c>
      <c r="D684" s="141">
        <v>45496</v>
      </c>
      <c r="E684" s="141">
        <v>45910</v>
      </c>
      <c r="F684" s="57">
        <v>58705.33</v>
      </c>
      <c r="G684" s="58">
        <f t="shared" si="150"/>
        <v>-112</v>
      </c>
      <c r="H684" s="142">
        <f t="shared" si="151"/>
        <v>0</v>
      </c>
      <c r="I684" s="142">
        <f t="shared" si="152"/>
        <v>0</v>
      </c>
      <c r="J684" s="143">
        <f t="shared" si="153"/>
        <v>0</v>
      </c>
      <c r="K684" s="143">
        <f t="shared" si="154"/>
        <v>58705.33</v>
      </c>
      <c r="L684" s="142">
        <f t="shared" si="155"/>
        <v>0</v>
      </c>
      <c r="M684" s="142">
        <f t="shared" si="156"/>
        <v>0</v>
      </c>
      <c r="N684" s="142">
        <f t="shared" si="157"/>
        <v>0</v>
      </c>
      <c r="O684" s="59">
        <f t="shared" si="158"/>
        <v>58705.33</v>
      </c>
      <c r="P684" s="142">
        <f t="shared" si="159"/>
        <v>0</v>
      </c>
      <c r="Q684" s="142">
        <f t="shared" si="160"/>
        <v>0</v>
      </c>
      <c r="R684" s="142">
        <f t="shared" si="161"/>
        <v>0</v>
      </c>
      <c r="S684" s="142">
        <f t="shared" si="162"/>
        <v>0</v>
      </c>
      <c r="T684" s="142">
        <f t="shared" si="163"/>
        <v>0</v>
      </c>
      <c r="U684" s="60">
        <f t="shared" si="164"/>
        <v>0</v>
      </c>
    </row>
    <row r="685" spans="1:21" x14ac:dyDescent="0.2">
      <c r="A685" s="115"/>
      <c r="B685" s="139" t="s">
        <v>418</v>
      </c>
      <c r="C685" s="140" t="s">
        <v>687</v>
      </c>
      <c r="D685" s="141">
        <v>45926</v>
      </c>
      <c r="E685" s="141">
        <v>46046</v>
      </c>
      <c r="F685" s="57">
        <v>70500</v>
      </c>
      <c r="G685" s="58">
        <f t="shared" si="150"/>
        <v>24</v>
      </c>
      <c r="H685" s="142">
        <f t="shared" si="151"/>
        <v>0</v>
      </c>
      <c r="I685" s="142">
        <f t="shared" si="152"/>
        <v>0</v>
      </c>
      <c r="J685" s="143">
        <f t="shared" si="153"/>
        <v>0</v>
      </c>
      <c r="K685" s="143">
        <f t="shared" si="154"/>
        <v>0</v>
      </c>
      <c r="L685" s="142">
        <f t="shared" si="155"/>
        <v>0</v>
      </c>
      <c r="M685" s="142">
        <f t="shared" si="156"/>
        <v>0</v>
      </c>
      <c r="N685" s="142">
        <f t="shared" si="157"/>
        <v>0</v>
      </c>
      <c r="O685" s="59">
        <f t="shared" si="158"/>
        <v>0</v>
      </c>
      <c r="P685" s="142">
        <f t="shared" si="159"/>
        <v>70500</v>
      </c>
      <c r="Q685" s="142">
        <f t="shared" si="160"/>
        <v>0</v>
      </c>
      <c r="R685" s="142">
        <f t="shared" si="161"/>
        <v>0</v>
      </c>
      <c r="S685" s="142">
        <f t="shared" si="162"/>
        <v>0</v>
      </c>
      <c r="T685" s="142">
        <f t="shared" si="163"/>
        <v>0</v>
      </c>
      <c r="U685" s="60">
        <f t="shared" si="164"/>
        <v>70500</v>
      </c>
    </row>
    <row r="686" spans="1:21" x14ac:dyDescent="0.2">
      <c r="A686" s="115"/>
      <c r="B686" s="139" t="s">
        <v>987</v>
      </c>
      <c r="C686" s="140" t="s">
        <v>988</v>
      </c>
      <c r="D686" s="141">
        <v>46000</v>
      </c>
      <c r="E686" s="141">
        <v>46021</v>
      </c>
      <c r="F686" s="57">
        <v>12685</v>
      </c>
      <c r="G686" s="58">
        <f t="shared" si="150"/>
        <v>-1</v>
      </c>
      <c r="H686" s="142">
        <f t="shared" si="151"/>
        <v>0</v>
      </c>
      <c r="I686" s="142">
        <f t="shared" si="152"/>
        <v>0</v>
      </c>
      <c r="J686" s="143">
        <f t="shared" si="153"/>
        <v>0</v>
      </c>
      <c r="K686" s="143">
        <f t="shared" si="154"/>
        <v>0</v>
      </c>
      <c r="L686" s="142">
        <f t="shared" si="155"/>
        <v>0</v>
      </c>
      <c r="M686" s="142">
        <f t="shared" si="156"/>
        <v>0</v>
      </c>
      <c r="N686" s="142">
        <f t="shared" si="157"/>
        <v>12685</v>
      </c>
      <c r="O686" s="59">
        <f t="shared" si="158"/>
        <v>12685</v>
      </c>
      <c r="P686" s="142">
        <f t="shared" si="159"/>
        <v>0</v>
      </c>
      <c r="Q686" s="142">
        <f t="shared" si="160"/>
        <v>0</v>
      </c>
      <c r="R686" s="142">
        <f t="shared" si="161"/>
        <v>0</v>
      </c>
      <c r="S686" s="142">
        <f t="shared" si="162"/>
        <v>0</v>
      </c>
      <c r="T686" s="142">
        <f t="shared" si="163"/>
        <v>0</v>
      </c>
      <c r="U686" s="60">
        <f t="shared" si="164"/>
        <v>0</v>
      </c>
    </row>
    <row r="687" spans="1:21" x14ac:dyDescent="0.2">
      <c r="A687" s="115"/>
      <c r="B687" s="139" t="s">
        <v>987</v>
      </c>
      <c r="C687" s="140" t="s">
        <v>988</v>
      </c>
      <c r="D687" s="141">
        <v>46000</v>
      </c>
      <c r="E687" s="141">
        <v>46052</v>
      </c>
      <c r="F687" s="57">
        <v>12685</v>
      </c>
      <c r="G687" s="58">
        <f t="shared" si="150"/>
        <v>30</v>
      </c>
      <c r="H687" s="142">
        <f t="shared" si="151"/>
        <v>0</v>
      </c>
      <c r="I687" s="142">
        <f t="shared" si="152"/>
        <v>0</v>
      </c>
      <c r="J687" s="143">
        <f t="shared" si="153"/>
        <v>0</v>
      </c>
      <c r="K687" s="143">
        <f t="shared" si="154"/>
        <v>0</v>
      </c>
      <c r="L687" s="142">
        <f t="shared" si="155"/>
        <v>0</v>
      </c>
      <c r="M687" s="142">
        <f t="shared" si="156"/>
        <v>0</v>
      </c>
      <c r="N687" s="142">
        <f t="shared" si="157"/>
        <v>0</v>
      </c>
      <c r="O687" s="59">
        <f t="shared" si="158"/>
        <v>0</v>
      </c>
      <c r="P687" s="142">
        <f t="shared" si="159"/>
        <v>12685</v>
      </c>
      <c r="Q687" s="142">
        <f t="shared" si="160"/>
        <v>0</v>
      </c>
      <c r="R687" s="142">
        <f t="shared" si="161"/>
        <v>0</v>
      </c>
      <c r="S687" s="142">
        <f t="shared" si="162"/>
        <v>0</v>
      </c>
      <c r="T687" s="142">
        <f t="shared" si="163"/>
        <v>0</v>
      </c>
      <c r="U687" s="60">
        <f t="shared" si="164"/>
        <v>12685</v>
      </c>
    </row>
    <row r="688" spans="1:21" x14ac:dyDescent="0.2">
      <c r="A688" s="115"/>
      <c r="B688" s="139" t="s">
        <v>477</v>
      </c>
      <c r="C688" s="140" t="s">
        <v>309</v>
      </c>
      <c r="D688" s="141">
        <v>45558</v>
      </c>
      <c r="E688" s="141">
        <v>45648</v>
      </c>
      <c r="F688" s="57">
        <v>2383</v>
      </c>
      <c r="G688" s="58">
        <f t="shared" si="150"/>
        <v>-374</v>
      </c>
      <c r="H688" s="142">
        <f t="shared" si="151"/>
        <v>2383</v>
      </c>
      <c r="I688" s="142">
        <f t="shared" si="152"/>
        <v>0</v>
      </c>
      <c r="J688" s="143">
        <f t="shared" si="153"/>
        <v>0</v>
      </c>
      <c r="K688" s="143">
        <f t="shared" si="154"/>
        <v>0</v>
      </c>
      <c r="L688" s="142">
        <f t="shared" si="155"/>
        <v>0</v>
      </c>
      <c r="M688" s="142">
        <f t="shared" si="156"/>
        <v>0</v>
      </c>
      <c r="N688" s="142">
        <f t="shared" si="157"/>
        <v>0</v>
      </c>
      <c r="O688" s="59">
        <f t="shared" si="158"/>
        <v>2383</v>
      </c>
      <c r="P688" s="142">
        <f t="shared" si="159"/>
        <v>0</v>
      </c>
      <c r="Q688" s="142">
        <f t="shared" si="160"/>
        <v>0</v>
      </c>
      <c r="R688" s="142">
        <f t="shared" si="161"/>
        <v>0</v>
      </c>
      <c r="S688" s="142">
        <f t="shared" si="162"/>
        <v>0</v>
      </c>
      <c r="T688" s="142">
        <f t="shared" si="163"/>
        <v>0</v>
      </c>
      <c r="U688" s="60">
        <f t="shared" si="164"/>
        <v>0</v>
      </c>
    </row>
    <row r="689" spans="1:24" x14ac:dyDescent="0.2">
      <c r="A689" s="115"/>
      <c r="B689" s="139" t="s">
        <v>477</v>
      </c>
      <c r="C689" s="140" t="s">
        <v>321</v>
      </c>
      <c r="D689" s="141">
        <v>45583</v>
      </c>
      <c r="E689" s="141">
        <v>45673</v>
      </c>
      <c r="F689" s="57">
        <v>44135.25</v>
      </c>
      <c r="G689" s="58">
        <f t="shared" si="150"/>
        <v>-349</v>
      </c>
      <c r="H689" s="142">
        <f t="shared" si="151"/>
        <v>44135.25</v>
      </c>
      <c r="I689" s="142">
        <f t="shared" si="152"/>
        <v>0</v>
      </c>
      <c r="J689" s="143">
        <f t="shared" si="153"/>
        <v>0</v>
      </c>
      <c r="K689" s="143">
        <f t="shared" si="154"/>
        <v>0</v>
      </c>
      <c r="L689" s="142">
        <f t="shared" si="155"/>
        <v>0</v>
      </c>
      <c r="M689" s="142">
        <f t="shared" si="156"/>
        <v>0</v>
      </c>
      <c r="N689" s="142">
        <f t="shared" si="157"/>
        <v>0</v>
      </c>
      <c r="O689" s="59">
        <f t="shared" si="158"/>
        <v>44135.25</v>
      </c>
      <c r="P689" s="142">
        <f t="shared" si="159"/>
        <v>0</v>
      </c>
      <c r="Q689" s="142">
        <f t="shared" si="160"/>
        <v>0</v>
      </c>
      <c r="R689" s="142">
        <f t="shared" si="161"/>
        <v>0</v>
      </c>
      <c r="S689" s="142">
        <f t="shared" si="162"/>
        <v>0</v>
      </c>
      <c r="T689" s="142">
        <f t="shared" si="163"/>
        <v>0</v>
      </c>
      <c r="U689" s="60">
        <f t="shared" si="164"/>
        <v>0</v>
      </c>
    </row>
    <row r="690" spans="1:24" x14ac:dyDescent="0.2">
      <c r="A690" s="115"/>
      <c r="B690" s="139" t="s">
        <v>477</v>
      </c>
      <c r="C690" s="140" t="s">
        <v>351</v>
      </c>
      <c r="D690" s="141">
        <v>45600</v>
      </c>
      <c r="E690" s="141">
        <v>45690</v>
      </c>
      <c r="F690" s="57">
        <v>55000</v>
      </c>
      <c r="G690" s="58">
        <f t="shared" si="150"/>
        <v>-332</v>
      </c>
      <c r="H690" s="142">
        <f t="shared" si="151"/>
        <v>55000</v>
      </c>
      <c r="I690" s="142">
        <f t="shared" si="152"/>
        <v>0</v>
      </c>
      <c r="J690" s="143">
        <f t="shared" si="153"/>
        <v>0</v>
      </c>
      <c r="K690" s="143">
        <f t="shared" si="154"/>
        <v>0</v>
      </c>
      <c r="L690" s="142">
        <f t="shared" si="155"/>
        <v>0</v>
      </c>
      <c r="M690" s="142">
        <f t="shared" si="156"/>
        <v>0</v>
      </c>
      <c r="N690" s="142">
        <f t="shared" si="157"/>
        <v>0</v>
      </c>
      <c r="O690" s="59">
        <f t="shared" si="158"/>
        <v>55000</v>
      </c>
      <c r="P690" s="142">
        <f t="shared" si="159"/>
        <v>0</v>
      </c>
      <c r="Q690" s="142">
        <f t="shared" si="160"/>
        <v>0</v>
      </c>
      <c r="R690" s="142">
        <f t="shared" si="161"/>
        <v>0</v>
      </c>
      <c r="S690" s="142">
        <f t="shared" si="162"/>
        <v>0</v>
      </c>
      <c r="T690" s="142">
        <f t="shared" si="163"/>
        <v>0</v>
      </c>
      <c r="U690" s="60">
        <f t="shared" si="164"/>
        <v>0</v>
      </c>
    </row>
    <row r="691" spans="1:24" x14ac:dyDescent="0.2">
      <c r="A691" s="115"/>
      <c r="B691" s="139" t="s">
        <v>477</v>
      </c>
      <c r="C691" s="140" t="s">
        <v>352</v>
      </c>
      <c r="D691" s="141">
        <v>45603</v>
      </c>
      <c r="E691" s="141">
        <v>45693</v>
      </c>
      <c r="F691" s="57">
        <v>23947</v>
      </c>
      <c r="G691" s="58">
        <f t="shared" si="150"/>
        <v>-329</v>
      </c>
      <c r="H691" s="142">
        <f t="shared" si="151"/>
        <v>23947</v>
      </c>
      <c r="I691" s="142">
        <f t="shared" si="152"/>
        <v>0</v>
      </c>
      <c r="J691" s="143">
        <f t="shared" si="153"/>
        <v>0</v>
      </c>
      <c r="K691" s="143">
        <f t="shared" si="154"/>
        <v>0</v>
      </c>
      <c r="L691" s="142">
        <f t="shared" si="155"/>
        <v>0</v>
      </c>
      <c r="M691" s="142">
        <f t="shared" si="156"/>
        <v>0</v>
      </c>
      <c r="N691" s="142">
        <f t="shared" si="157"/>
        <v>0</v>
      </c>
      <c r="O691" s="59">
        <f t="shared" si="158"/>
        <v>23947</v>
      </c>
      <c r="P691" s="142">
        <f t="shared" si="159"/>
        <v>0</v>
      </c>
      <c r="Q691" s="142">
        <f t="shared" si="160"/>
        <v>0</v>
      </c>
      <c r="R691" s="142">
        <f t="shared" si="161"/>
        <v>0</v>
      </c>
      <c r="S691" s="142">
        <f t="shared" si="162"/>
        <v>0</v>
      </c>
      <c r="T691" s="142">
        <f t="shared" si="163"/>
        <v>0</v>
      </c>
      <c r="U691" s="60">
        <f t="shared" si="164"/>
        <v>0</v>
      </c>
    </row>
    <row r="692" spans="1:24" x14ac:dyDescent="0.2">
      <c r="A692" s="115"/>
      <c r="B692" s="139" t="s">
        <v>688</v>
      </c>
      <c r="C692" s="140" t="s">
        <v>989</v>
      </c>
      <c r="D692" s="141">
        <v>46009</v>
      </c>
      <c r="E692" s="141">
        <v>46039</v>
      </c>
      <c r="F692" s="57">
        <v>252</v>
      </c>
      <c r="G692" s="58">
        <f t="shared" si="150"/>
        <v>17</v>
      </c>
      <c r="H692" s="142">
        <f t="shared" si="151"/>
        <v>0</v>
      </c>
      <c r="I692" s="142">
        <f t="shared" si="152"/>
        <v>0</v>
      </c>
      <c r="J692" s="143">
        <f t="shared" si="153"/>
        <v>0</v>
      </c>
      <c r="K692" s="143">
        <f t="shared" si="154"/>
        <v>0</v>
      </c>
      <c r="L692" s="142">
        <f t="shared" si="155"/>
        <v>0</v>
      </c>
      <c r="M692" s="142">
        <f t="shared" si="156"/>
        <v>0</v>
      </c>
      <c r="N692" s="142">
        <f t="shared" si="157"/>
        <v>0</v>
      </c>
      <c r="O692" s="59">
        <f t="shared" si="158"/>
        <v>0</v>
      </c>
      <c r="P692" s="142">
        <f t="shared" si="159"/>
        <v>252</v>
      </c>
      <c r="Q692" s="142">
        <f t="shared" si="160"/>
        <v>0</v>
      </c>
      <c r="R692" s="142">
        <f t="shared" si="161"/>
        <v>0</v>
      </c>
      <c r="S692" s="142">
        <f t="shared" si="162"/>
        <v>0</v>
      </c>
      <c r="T692" s="142">
        <f t="shared" si="163"/>
        <v>0</v>
      </c>
      <c r="U692" s="60">
        <f t="shared" si="164"/>
        <v>252</v>
      </c>
    </row>
    <row r="693" spans="1:24" s="113" customFormat="1" x14ac:dyDescent="0.2">
      <c r="A693" s="105"/>
      <c r="B693" s="106" t="s">
        <v>741</v>
      </c>
      <c r="C693" s="107" t="s">
        <v>742</v>
      </c>
      <c r="D693" s="108">
        <v>45952</v>
      </c>
      <c r="E693" s="108">
        <v>46012</v>
      </c>
      <c r="F693" s="109">
        <v>5244</v>
      </c>
      <c r="G693" s="110">
        <f t="shared" si="150"/>
        <v>-10</v>
      </c>
      <c r="H693" s="59">
        <f t="shared" si="151"/>
        <v>0</v>
      </c>
      <c r="I693" s="59">
        <f t="shared" si="152"/>
        <v>0</v>
      </c>
      <c r="J693" s="111">
        <f t="shared" si="153"/>
        <v>0</v>
      </c>
      <c r="K693" s="111">
        <f t="shared" si="154"/>
        <v>0</v>
      </c>
      <c r="L693" s="59">
        <f t="shared" si="155"/>
        <v>0</v>
      </c>
      <c r="M693" s="59">
        <f t="shared" si="156"/>
        <v>0</v>
      </c>
      <c r="N693" s="59">
        <f t="shared" si="157"/>
        <v>5244</v>
      </c>
      <c r="O693" s="59">
        <f t="shared" si="158"/>
        <v>5244</v>
      </c>
      <c r="P693" s="59">
        <f t="shared" si="159"/>
        <v>0</v>
      </c>
      <c r="Q693" s="59">
        <f t="shared" si="160"/>
        <v>0</v>
      </c>
      <c r="R693" s="59">
        <f t="shared" si="161"/>
        <v>0</v>
      </c>
      <c r="S693" s="59">
        <f t="shared" si="162"/>
        <v>0</v>
      </c>
      <c r="T693" s="59">
        <f t="shared" si="163"/>
        <v>0</v>
      </c>
      <c r="U693" s="60">
        <f t="shared" si="164"/>
        <v>0</v>
      </c>
      <c r="V693" s="112"/>
      <c r="W693" s="112"/>
      <c r="X693" s="112"/>
    </row>
    <row r="694" spans="1:24" s="113" customFormat="1" x14ac:dyDescent="0.2">
      <c r="A694" s="105"/>
      <c r="B694" s="106" t="s">
        <v>741</v>
      </c>
      <c r="C694" s="107" t="s">
        <v>907</v>
      </c>
      <c r="D694" s="108">
        <v>45987</v>
      </c>
      <c r="E694" s="108">
        <v>46047</v>
      </c>
      <c r="F694" s="109">
        <v>10967.55</v>
      </c>
      <c r="G694" s="110">
        <f t="shared" si="150"/>
        <v>25</v>
      </c>
      <c r="H694" s="59">
        <f t="shared" si="151"/>
        <v>0</v>
      </c>
      <c r="I694" s="59">
        <f t="shared" si="152"/>
        <v>0</v>
      </c>
      <c r="J694" s="111">
        <f t="shared" si="153"/>
        <v>0</v>
      </c>
      <c r="K694" s="111">
        <f t="shared" si="154"/>
        <v>0</v>
      </c>
      <c r="L694" s="59">
        <f t="shared" si="155"/>
        <v>0</v>
      </c>
      <c r="M694" s="59">
        <f t="shared" si="156"/>
        <v>0</v>
      </c>
      <c r="N694" s="59">
        <f t="shared" si="157"/>
        <v>0</v>
      </c>
      <c r="O694" s="59">
        <f t="shared" si="158"/>
        <v>0</v>
      </c>
      <c r="P694" s="59">
        <f t="shared" si="159"/>
        <v>10967.55</v>
      </c>
      <c r="Q694" s="59">
        <f t="shared" si="160"/>
        <v>0</v>
      </c>
      <c r="R694" s="59">
        <f t="shared" si="161"/>
        <v>0</v>
      </c>
      <c r="S694" s="59">
        <f t="shared" si="162"/>
        <v>0</v>
      </c>
      <c r="T694" s="59">
        <f t="shared" si="163"/>
        <v>0</v>
      </c>
      <c r="U694" s="60">
        <f t="shared" si="164"/>
        <v>10967.55</v>
      </c>
      <c r="V694" s="112"/>
      <c r="W694" s="112"/>
      <c r="X694" s="112"/>
    </row>
    <row r="695" spans="1:24" x14ac:dyDescent="0.2">
      <c r="A695" s="115"/>
      <c r="B695" s="139" t="s">
        <v>770</v>
      </c>
      <c r="C695" s="140" t="s">
        <v>771</v>
      </c>
      <c r="D695" s="141">
        <v>45943</v>
      </c>
      <c r="E695" s="141">
        <v>45976</v>
      </c>
      <c r="F695" s="57">
        <v>10800</v>
      </c>
      <c r="G695" s="58">
        <f t="shared" si="150"/>
        <v>-46</v>
      </c>
      <c r="H695" s="142">
        <f t="shared" si="151"/>
        <v>0</v>
      </c>
      <c r="I695" s="142">
        <f t="shared" si="152"/>
        <v>0</v>
      </c>
      <c r="J695" s="143">
        <f t="shared" si="153"/>
        <v>0</v>
      </c>
      <c r="K695" s="143">
        <f t="shared" si="154"/>
        <v>0</v>
      </c>
      <c r="L695" s="142">
        <f t="shared" si="155"/>
        <v>0</v>
      </c>
      <c r="M695" s="142">
        <f t="shared" si="156"/>
        <v>10800</v>
      </c>
      <c r="N695" s="142">
        <f t="shared" si="157"/>
        <v>0</v>
      </c>
      <c r="O695" s="59">
        <f t="shared" si="158"/>
        <v>10800</v>
      </c>
      <c r="P695" s="142">
        <f t="shared" si="159"/>
        <v>0</v>
      </c>
      <c r="Q695" s="142">
        <f t="shared" si="160"/>
        <v>0</v>
      </c>
      <c r="R695" s="142">
        <f t="shared" si="161"/>
        <v>0</v>
      </c>
      <c r="S695" s="142">
        <f t="shared" si="162"/>
        <v>0</v>
      </c>
      <c r="T695" s="142">
        <f t="shared" si="163"/>
        <v>0</v>
      </c>
      <c r="U695" s="60">
        <f t="shared" si="164"/>
        <v>0</v>
      </c>
    </row>
    <row r="696" spans="1:24" x14ac:dyDescent="0.2">
      <c r="A696" s="115"/>
      <c r="B696" s="139" t="s">
        <v>770</v>
      </c>
      <c r="C696" s="140" t="s">
        <v>771</v>
      </c>
      <c r="D696" s="141">
        <v>45943</v>
      </c>
      <c r="E696" s="141">
        <v>45991</v>
      </c>
      <c r="F696" s="57">
        <v>10800</v>
      </c>
      <c r="G696" s="58">
        <f t="shared" si="150"/>
        <v>-31</v>
      </c>
      <c r="H696" s="142">
        <f t="shared" si="151"/>
        <v>0</v>
      </c>
      <c r="I696" s="142">
        <f t="shared" si="152"/>
        <v>0</v>
      </c>
      <c r="J696" s="143">
        <f t="shared" si="153"/>
        <v>0</v>
      </c>
      <c r="K696" s="143">
        <f t="shared" si="154"/>
        <v>0</v>
      </c>
      <c r="L696" s="142">
        <f t="shared" si="155"/>
        <v>0</v>
      </c>
      <c r="M696" s="142">
        <f t="shared" si="156"/>
        <v>10800</v>
      </c>
      <c r="N696" s="142">
        <f t="shared" si="157"/>
        <v>0</v>
      </c>
      <c r="O696" s="59">
        <f t="shared" si="158"/>
        <v>10800</v>
      </c>
      <c r="P696" s="142">
        <f t="shared" si="159"/>
        <v>0</v>
      </c>
      <c r="Q696" s="142">
        <f t="shared" si="160"/>
        <v>0</v>
      </c>
      <c r="R696" s="142">
        <f t="shared" si="161"/>
        <v>0</v>
      </c>
      <c r="S696" s="142">
        <f t="shared" si="162"/>
        <v>0</v>
      </c>
      <c r="T696" s="142">
        <f t="shared" si="163"/>
        <v>0</v>
      </c>
      <c r="U696" s="60">
        <f t="shared" si="164"/>
        <v>0</v>
      </c>
    </row>
    <row r="697" spans="1:24" x14ac:dyDescent="0.2">
      <c r="A697" s="115"/>
      <c r="B697" s="139" t="s">
        <v>770</v>
      </c>
      <c r="C697" s="140" t="s">
        <v>771</v>
      </c>
      <c r="D697" s="141">
        <v>45943</v>
      </c>
      <c r="E697" s="141">
        <v>46006</v>
      </c>
      <c r="F697" s="57">
        <v>10800</v>
      </c>
      <c r="G697" s="58">
        <f t="shared" si="150"/>
        <v>-16</v>
      </c>
      <c r="H697" s="142">
        <f t="shared" si="151"/>
        <v>0</v>
      </c>
      <c r="I697" s="142">
        <f t="shared" si="152"/>
        <v>0</v>
      </c>
      <c r="J697" s="143">
        <f t="shared" si="153"/>
        <v>0</v>
      </c>
      <c r="K697" s="143">
        <f t="shared" si="154"/>
        <v>0</v>
      </c>
      <c r="L697" s="142">
        <f t="shared" si="155"/>
        <v>0</v>
      </c>
      <c r="M697" s="142">
        <f t="shared" si="156"/>
        <v>0</v>
      </c>
      <c r="N697" s="142">
        <f t="shared" si="157"/>
        <v>10800</v>
      </c>
      <c r="O697" s="59">
        <f t="shared" si="158"/>
        <v>10800</v>
      </c>
      <c r="P697" s="142">
        <f t="shared" si="159"/>
        <v>0</v>
      </c>
      <c r="Q697" s="142">
        <f t="shared" si="160"/>
        <v>0</v>
      </c>
      <c r="R697" s="142">
        <f t="shared" si="161"/>
        <v>0</v>
      </c>
      <c r="S697" s="142">
        <f t="shared" si="162"/>
        <v>0</v>
      </c>
      <c r="T697" s="142">
        <f t="shared" si="163"/>
        <v>0</v>
      </c>
      <c r="U697" s="60">
        <f t="shared" si="164"/>
        <v>0</v>
      </c>
    </row>
    <row r="698" spans="1:24" x14ac:dyDescent="0.2">
      <c r="A698" s="115"/>
      <c r="B698" s="139" t="s">
        <v>770</v>
      </c>
      <c r="C698" s="140" t="s">
        <v>771</v>
      </c>
      <c r="D698" s="141">
        <v>45943</v>
      </c>
      <c r="E698" s="141">
        <v>46021</v>
      </c>
      <c r="F698" s="57">
        <v>10800</v>
      </c>
      <c r="G698" s="58">
        <f t="shared" si="150"/>
        <v>-1</v>
      </c>
      <c r="H698" s="142">
        <f t="shared" si="151"/>
        <v>0</v>
      </c>
      <c r="I698" s="142">
        <f t="shared" si="152"/>
        <v>0</v>
      </c>
      <c r="J698" s="143">
        <f t="shared" si="153"/>
        <v>0</v>
      </c>
      <c r="K698" s="143">
        <f t="shared" si="154"/>
        <v>0</v>
      </c>
      <c r="L698" s="142">
        <f t="shared" si="155"/>
        <v>0</v>
      </c>
      <c r="M698" s="142">
        <f t="shared" si="156"/>
        <v>0</v>
      </c>
      <c r="N698" s="142">
        <f t="shared" si="157"/>
        <v>10800</v>
      </c>
      <c r="O698" s="59">
        <f t="shared" si="158"/>
        <v>10800</v>
      </c>
      <c r="P698" s="142">
        <f t="shared" si="159"/>
        <v>0</v>
      </c>
      <c r="Q698" s="142">
        <f t="shared" si="160"/>
        <v>0</v>
      </c>
      <c r="R698" s="142">
        <f t="shared" si="161"/>
        <v>0</v>
      </c>
      <c r="S698" s="142">
        <f t="shared" si="162"/>
        <v>0</v>
      </c>
      <c r="T698" s="142">
        <f t="shared" si="163"/>
        <v>0</v>
      </c>
      <c r="U698" s="60">
        <f t="shared" si="164"/>
        <v>0</v>
      </c>
    </row>
    <row r="699" spans="1:24" x14ac:dyDescent="0.2">
      <c r="A699" s="115"/>
      <c r="B699" s="139" t="s">
        <v>770</v>
      </c>
      <c r="C699" s="140" t="s">
        <v>771</v>
      </c>
      <c r="D699" s="141">
        <v>45943</v>
      </c>
      <c r="E699" s="141">
        <v>46037</v>
      </c>
      <c r="F699" s="57">
        <v>10800</v>
      </c>
      <c r="G699" s="58">
        <f t="shared" si="150"/>
        <v>15</v>
      </c>
      <c r="H699" s="142">
        <f t="shared" si="151"/>
        <v>0</v>
      </c>
      <c r="I699" s="142">
        <f t="shared" si="152"/>
        <v>0</v>
      </c>
      <c r="J699" s="143">
        <f t="shared" si="153"/>
        <v>0</v>
      </c>
      <c r="K699" s="143">
        <f t="shared" si="154"/>
        <v>0</v>
      </c>
      <c r="L699" s="142">
        <f t="shared" si="155"/>
        <v>0</v>
      </c>
      <c r="M699" s="142">
        <f t="shared" si="156"/>
        <v>0</v>
      </c>
      <c r="N699" s="142">
        <f t="shared" si="157"/>
        <v>0</v>
      </c>
      <c r="O699" s="59">
        <f t="shared" si="158"/>
        <v>0</v>
      </c>
      <c r="P699" s="142">
        <f t="shared" si="159"/>
        <v>10800</v>
      </c>
      <c r="Q699" s="142">
        <f t="shared" si="160"/>
        <v>0</v>
      </c>
      <c r="R699" s="142">
        <f t="shared" si="161"/>
        <v>0</v>
      </c>
      <c r="S699" s="142">
        <f t="shared" si="162"/>
        <v>0</v>
      </c>
      <c r="T699" s="142">
        <f t="shared" si="163"/>
        <v>0</v>
      </c>
      <c r="U699" s="60">
        <f t="shared" si="164"/>
        <v>10800</v>
      </c>
    </row>
    <row r="700" spans="1:24" x14ac:dyDescent="0.2">
      <c r="A700" s="115"/>
      <c r="B700" s="139" t="s">
        <v>504</v>
      </c>
      <c r="C700" s="140" t="s">
        <v>250</v>
      </c>
      <c r="D700" s="141">
        <v>41039</v>
      </c>
      <c r="E700" s="141">
        <v>41153</v>
      </c>
      <c r="F700" s="57">
        <v>6240</v>
      </c>
      <c r="G700" s="58">
        <f t="shared" si="150"/>
        <v>-4869</v>
      </c>
      <c r="H700" s="142">
        <f t="shared" si="151"/>
        <v>6240</v>
      </c>
      <c r="I700" s="142">
        <f t="shared" si="152"/>
        <v>0</v>
      </c>
      <c r="J700" s="143">
        <f t="shared" si="153"/>
        <v>0</v>
      </c>
      <c r="K700" s="143">
        <f t="shared" si="154"/>
        <v>0</v>
      </c>
      <c r="L700" s="142">
        <f t="shared" si="155"/>
        <v>0</v>
      </c>
      <c r="M700" s="142">
        <f t="shared" si="156"/>
        <v>0</v>
      </c>
      <c r="N700" s="142">
        <f t="shared" si="157"/>
        <v>0</v>
      </c>
      <c r="O700" s="59">
        <f t="shared" si="158"/>
        <v>6240</v>
      </c>
      <c r="P700" s="142">
        <f t="shared" si="159"/>
        <v>0</v>
      </c>
      <c r="Q700" s="142">
        <f t="shared" si="160"/>
        <v>0</v>
      </c>
      <c r="R700" s="142">
        <f t="shared" si="161"/>
        <v>0</v>
      </c>
      <c r="S700" s="142">
        <f t="shared" si="162"/>
        <v>0</v>
      </c>
      <c r="T700" s="142">
        <f t="shared" si="163"/>
        <v>0</v>
      </c>
      <c r="U700" s="60">
        <f t="shared" si="164"/>
        <v>0</v>
      </c>
    </row>
    <row r="701" spans="1:24" x14ac:dyDescent="0.2">
      <c r="A701" s="115"/>
      <c r="B701" s="139" t="s">
        <v>504</v>
      </c>
      <c r="C701" s="140" t="s">
        <v>251</v>
      </c>
      <c r="D701" s="141">
        <v>41158</v>
      </c>
      <c r="E701" s="141">
        <v>41188</v>
      </c>
      <c r="F701" s="57">
        <v>1120</v>
      </c>
      <c r="G701" s="58">
        <f t="shared" si="150"/>
        <v>-4834</v>
      </c>
      <c r="H701" s="142">
        <f t="shared" si="151"/>
        <v>1120</v>
      </c>
      <c r="I701" s="142">
        <f t="shared" si="152"/>
        <v>0</v>
      </c>
      <c r="J701" s="143">
        <f t="shared" si="153"/>
        <v>0</v>
      </c>
      <c r="K701" s="143">
        <f t="shared" si="154"/>
        <v>0</v>
      </c>
      <c r="L701" s="142">
        <f t="shared" si="155"/>
        <v>0</v>
      </c>
      <c r="M701" s="142">
        <f t="shared" si="156"/>
        <v>0</v>
      </c>
      <c r="N701" s="142">
        <f t="shared" si="157"/>
        <v>0</v>
      </c>
      <c r="O701" s="59">
        <f t="shared" si="158"/>
        <v>1120</v>
      </c>
      <c r="P701" s="142">
        <f t="shared" si="159"/>
        <v>0</v>
      </c>
      <c r="Q701" s="142">
        <f t="shared" si="160"/>
        <v>0</v>
      </c>
      <c r="R701" s="142">
        <f t="shared" si="161"/>
        <v>0</v>
      </c>
      <c r="S701" s="142">
        <f t="shared" si="162"/>
        <v>0</v>
      </c>
      <c r="T701" s="142">
        <f t="shared" si="163"/>
        <v>0</v>
      </c>
      <c r="U701" s="60">
        <f t="shared" si="164"/>
        <v>0</v>
      </c>
    </row>
    <row r="702" spans="1:24" x14ac:dyDescent="0.2">
      <c r="A702" s="115"/>
      <c r="B702" s="139" t="s">
        <v>504</v>
      </c>
      <c r="C702" s="140" t="s">
        <v>252</v>
      </c>
      <c r="D702" s="141">
        <v>41158</v>
      </c>
      <c r="E702" s="141">
        <v>41218</v>
      </c>
      <c r="F702" s="57">
        <v>1120</v>
      </c>
      <c r="G702" s="58">
        <f t="shared" si="150"/>
        <v>-4804</v>
      </c>
      <c r="H702" s="142">
        <f t="shared" si="151"/>
        <v>1120</v>
      </c>
      <c r="I702" s="142">
        <f t="shared" si="152"/>
        <v>0</v>
      </c>
      <c r="J702" s="143">
        <f t="shared" si="153"/>
        <v>0</v>
      </c>
      <c r="K702" s="143">
        <f t="shared" si="154"/>
        <v>0</v>
      </c>
      <c r="L702" s="142">
        <f t="shared" si="155"/>
        <v>0</v>
      </c>
      <c r="M702" s="142">
        <f t="shared" si="156"/>
        <v>0</v>
      </c>
      <c r="N702" s="142">
        <f t="shared" si="157"/>
        <v>0</v>
      </c>
      <c r="O702" s="59">
        <f t="shared" si="158"/>
        <v>1120</v>
      </c>
      <c r="P702" s="142">
        <f t="shared" si="159"/>
        <v>0</v>
      </c>
      <c r="Q702" s="142">
        <f t="shared" si="160"/>
        <v>0</v>
      </c>
      <c r="R702" s="142">
        <f t="shared" si="161"/>
        <v>0</v>
      </c>
      <c r="S702" s="142">
        <f t="shared" si="162"/>
        <v>0</v>
      </c>
      <c r="T702" s="142">
        <f t="shared" si="163"/>
        <v>0</v>
      </c>
      <c r="U702" s="60">
        <f t="shared" si="164"/>
        <v>0</v>
      </c>
    </row>
    <row r="703" spans="1:24" x14ac:dyDescent="0.2">
      <c r="A703" s="115"/>
      <c r="B703" s="139" t="s">
        <v>504</v>
      </c>
      <c r="C703" s="140" t="s">
        <v>253</v>
      </c>
      <c r="D703" s="141">
        <v>41158</v>
      </c>
      <c r="E703" s="141">
        <v>41248</v>
      </c>
      <c r="F703" s="57">
        <v>1120</v>
      </c>
      <c r="G703" s="58">
        <f t="shared" si="150"/>
        <v>-4774</v>
      </c>
      <c r="H703" s="142">
        <f t="shared" si="151"/>
        <v>1120</v>
      </c>
      <c r="I703" s="142">
        <f t="shared" si="152"/>
        <v>0</v>
      </c>
      <c r="J703" s="143">
        <f t="shared" si="153"/>
        <v>0</v>
      </c>
      <c r="K703" s="143">
        <f t="shared" si="154"/>
        <v>0</v>
      </c>
      <c r="L703" s="142">
        <f t="shared" si="155"/>
        <v>0</v>
      </c>
      <c r="M703" s="142">
        <f t="shared" si="156"/>
        <v>0</v>
      </c>
      <c r="N703" s="142">
        <f t="shared" si="157"/>
        <v>0</v>
      </c>
      <c r="O703" s="59">
        <f t="shared" si="158"/>
        <v>1120</v>
      </c>
      <c r="P703" s="142">
        <f t="shared" si="159"/>
        <v>0</v>
      </c>
      <c r="Q703" s="142">
        <f t="shared" si="160"/>
        <v>0</v>
      </c>
      <c r="R703" s="142">
        <f t="shared" si="161"/>
        <v>0</v>
      </c>
      <c r="S703" s="142">
        <f t="shared" si="162"/>
        <v>0</v>
      </c>
      <c r="T703" s="142">
        <f t="shared" si="163"/>
        <v>0</v>
      </c>
      <c r="U703" s="60">
        <f t="shared" si="164"/>
        <v>0</v>
      </c>
    </row>
    <row r="704" spans="1:24" x14ac:dyDescent="0.2">
      <c r="A704" s="115"/>
      <c r="B704" s="139" t="s">
        <v>990</v>
      </c>
      <c r="C704" s="140" t="s">
        <v>991</v>
      </c>
      <c r="D704" s="141">
        <v>45994</v>
      </c>
      <c r="E704" s="141">
        <v>46054</v>
      </c>
      <c r="F704" s="57">
        <v>14159.8</v>
      </c>
      <c r="G704" s="58">
        <f t="shared" si="150"/>
        <v>32</v>
      </c>
      <c r="H704" s="142">
        <f t="shared" si="151"/>
        <v>0</v>
      </c>
      <c r="I704" s="142">
        <f t="shared" si="152"/>
        <v>0</v>
      </c>
      <c r="J704" s="143">
        <f t="shared" si="153"/>
        <v>0</v>
      </c>
      <c r="K704" s="143">
        <f t="shared" si="154"/>
        <v>0</v>
      </c>
      <c r="L704" s="142">
        <f t="shared" si="155"/>
        <v>0</v>
      </c>
      <c r="M704" s="142">
        <f t="shared" si="156"/>
        <v>0</v>
      </c>
      <c r="N704" s="142">
        <f t="shared" si="157"/>
        <v>0</v>
      </c>
      <c r="O704" s="59">
        <f t="shared" si="158"/>
        <v>0</v>
      </c>
      <c r="P704" s="142">
        <f t="shared" si="159"/>
        <v>0</v>
      </c>
      <c r="Q704" s="142">
        <f t="shared" si="160"/>
        <v>14159.8</v>
      </c>
      <c r="R704" s="142">
        <f t="shared" si="161"/>
        <v>0</v>
      </c>
      <c r="S704" s="142">
        <f t="shared" si="162"/>
        <v>0</v>
      </c>
      <c r="T704" s="142">
        <f t="shared" si="163"/>
        <v>0</v>
      </c>
      <c r="U704" s="60">
        <f t="shared" si="164"/>
        <v>14159.8</v>
      </c>
    </row>
    <row r="705" spans="1:21" x14ac:dyDescent="0.2">
      <c r="A705" s="115"/>
      <c r="B705" s="139" t="s">
        <v>52</v>
      </c>
      <c r="C705" s="140" t="s">
        <v>254</v>
      </c>
      <c r="D705" s="141">
        <v>45491</v>
      </c>
      <c r="E705" s="141">
        <v>45581</v>
      </c>
      <c r="F705" s="57">
        <v>22509</v>
      </c>
      <c r="G705" s="58">
        <f t="shared" si="150"/>
        <v>-441</v>
      </c>
      <c r="H705" s="142">
        <f t="shared" si="151"/>
        <v>22509</v>
      </c>
      <c r="I705" s="142">
        <f t="shared" si="152"/>
        <v>0</v>
      </c>
      <c r="J705" s="143">
        <f t="shared" si="153"/>
        <v>0</v>
      </c>
      <c r="K705" s="143">
        <f t="shared" si="154"/>
        <v>0</v>
      </c>
      <c r="L705" s="142">
        <f t="shared" si="155"/>
        <v>0</v>
      </c>
      <c r="M705" s="142">
        <f t="shared" si="156"/>
        <v>0</v>
      </c>
      <c r="N705" s="142">
        <f t="shared" si="157"/>
        <v>0</v>
      </c>
      <c r="O705" s="59">
        <f t="shared" si="158"/>
        <v>22509</v>
      </c>
      <c r="P705" s="142">
        <f t="shared" si="159"/>
        <v>0</v>
      </c>
      <c r="Q705" s="142">
        <f t="shared" si="160"/>
        <v>0</v>
      </c>
      <c r="R705" s="142">
        <f t="shared" si="161"/>
        <v>0</v>
      </c>
      <c r="S705" s="142">
        <f t="shared" si="162"/>
        <v>0</v>
      </c>
      <c r="T705" s="142">
        <f t="shared" si="163"/>
        <v>0</v>
      </c>
      <c r="U705" s="60">
        <f t="shared" si="164"/>
        <v>0</v>
      </c>
    </row>
    <row r="706" spans="1:21" x14ac:dyDescent="0.2">
      <c r="A706" s="115"/>
      <c r="B706" s="139" t="s">
        <v>52</v>
      </c>
      <c r="C706" s="140" t="s">
        <v>255</v>
      </c>
      <c r="D706" s="141">
        <v>45496</v>
      </c>
      <c r="E706" s="141">
        <v>45586</v>
      </c>
      <c r="F706" s="57">
        <v>20650</v>
      </c>
      <c r="G706" s="58">
        <f t="shared" si="150"/>
        <v>-436</v>
      </c>
      <c r="H706" s="142">
        <f t="shared" si="151"/>
        <v>20650</v>
      </c>
      <c r="I706" s="142">
        <f t="shared" si="152"/>
        <v>0</v>
      </c>
      <c r="J706" s="143">
        <f t="shared" si="153"/>
        <v>0</v>
      </c>
      <c r="K706" s="143">
        <f t="shared" si="154"/>
        <v>0</v>
      </c>
      <c r="L706" s="142">
        <f t="shared" si="155"/>
        <v>0</v>
      </c>
      <c r="M706" s="142">
        <f t="shared" si="156"/>
        <v>0</v>
      </c>
      <c r="N706" s="142">
        <f t="shared" si="157"/>
        <v>0</v>
      </c>
      <c r="O706" s="59">
        <f t="shared" si="158"/>
        <v>20650</v>
      </c>
      <c r="P706" s="142">
        <f t="shared" si="159"/>
        <v>0</v>
      </c>
      <c r="Q706" s="142">
        <f t="shared" si="160"/>
        <v>0</v>
      </c>
      <c r="R706" s="142">
        <f t="shared" si="161"/>
        <v>0</v>
      </c>
      <c r="S706" s="142">
        <f t="shared" si="162"/>
        <v>0</v>
      </c>
      <c r="T706" s="142">
        <f t="shared" si="163"/>
        <v>0</v>
      </c>
      <c r="U706" s="60">
        <f t="shared" si="164"/>
        <v>0</v>
      </c>
    </row>
    <row r="707" spans="1:21" x14ac:dyDescent="0.2">
      <c r="A707" s="115"/>
      <c r="B707" s="139" t="s">
        <v>52</v>
      </c>
      <c r="C707" s="140" t="s">
        <v>404</v>
      </c>
      <c r="D707" s="141">
        <v>45764</v>
      </c>
      <c r="E707" s="141">
        <v>45854</v>
      </c>
      <c r="F707" s="57">
        <v>12000</v>
      </c>
      <c r="G707" s="58">
        <f t="shared" si="150"/>
        <v>-168</v>
      </c>
      <c r="H707" s="142">
        <f t="shared" si="151"/>
        <v>0</v>
      </c>
      <c r="I707" s="142">
        <f t="shared" si="152"/>
        <v>12000</v>
      </c>
      <c r="J707" s="143">
        <f t="shared" si="153"/>
        <v>0</v>
      </c>
      <c r="K707" s="143">
        <f t="shared" si="154"/>
        <v>0</v>
      </c>
      <c r="L707" s="142">
        <f t="shared" si="155"/>
        <v>0</v>
      </c>
      <c r="M707" s="142">
        <f t="shared" si="156"/>
        <v>0</v>
      </c>
      <c r="N707" s="142">
        <f t="shared" si="157"/>
        <v>0</v>
      </c>
      <c r="O707" s="59">
        <f t="shared" si="158"/>
        <v>12000</v>
      </c>
      <c r="P707" s="142">
        <f t="shared" si="159"/>
        <v>0</v>
      </c>
      <c r="Q707" s="142">
        <f t="shared" si="160"/>
        <v>0</v>
      </c>
      <c r="R707" s="142">
        <f t="shared" si="161"/>
        <v>0</v>
      </c>
      <c r="S707" s="142">
        <f t="shared" si="162"/>
        <v>0</v>
      </c>
      <c r="T707" s="142">
        <f t="shared" si="163"/>
        <v>0</v>
      </c>
      <c r="U707" s="60">
        <f t="shared" si="164"/>
        <v>0</v>
      </c>
    </row>
    <row r="708" spans="1:21" x14ac:dyDescent="0.2">
      <c r="A708" s="115"/>
      <c r="B708" s="139" t="s">
        <v>59</v>
      </c>
      <c r="C708" s="140" t="s">
        <v>256</v>
      </c>
      <c r="D708" s="141">
        <v>40014</v>
      </c>
      <c r="E708" s="141">
        <v>40105</v>
      </c>
      <c r="F708" s="57">
        <v>39000</v>
      </c>
      <c r="G708" s="58">
        <f t="shared" si="150"/>
        <v>-5917</v>
      </c>
      <c r="H708" s="142">
        <f t="shared" si="151"/>
        <v>39000</v>
      </c>
      <c r="I708" s="142">
        <f t="shared" si="152"/>
        <v>0</v>
      </c>
      <c r="J708" s="143">
        <f t="shared" si="153"/>
        <v>0</v>
      </c>
      <c r="K708" s="143">
        <f t="shared" si="154"/>
        <v>0</v>
      </c>
      <c r="L708" s="142">
        <f t="shared" si="155"/>
        <v>0</v>
      </c>
      <c r="M708" s="142">
        <f t="shared" si="156"/>
        <v>0</v>
      </c>
      <c r="N708" s="142">
        <f t="shared" si="157"/>
        <v>0</v>
      </c>
      <c r="O708" s="59">
        <f t="shared" si="158"/>
        <v>39000</v>
      </c>
      <c r="P708" s="142">
        <f t="shared" si="159"/>
        <v>0</v>
      </c>
      <c r="Q708" s="142">
        <f t="shared" si="160"/>
        <v>0</v>
      </c>
      <c r="R708" s="142">
        <f t="shared" si="161"/>
        <v>0</v>
      </c>
      <c r="S708" s="142">
        <f t="shared" si="162"/>
        <v>0</v>
      </c>
      <c r="T708" s="142">
        <f t="shared" si="163"/>
        <v>0</v>
      </c>
      <c r="U708" s="60">
        <f t="shared" si="164"/>
        <v>0</v>
      </c>
    </row>
    <row r="709" spans="1:21" x14ac:dyDescent="0.2">
      <c r="A709" s="115"/>
      <c r="B709" s="139" t="s">
        <v>570</v>
      </c>
      <c r="C709" s="140" t="s">
        <v>571</v>
      </c>
      <c r="D709" s="141">
        <v>45873</v>
      </c>
      <c r="E709" s="141">
        <v>45933</v>
      </c>
      <c r="F709" s="57">
        <v>41033.33</v>
      </c>
      <c r="G709" s="58">
        <f t="shared" si="150"/>
        <v>-89</v>
      </c>
      <c r="H709" s="142">
        <f t="shared" si="151"/>
        <v>0</v>
      </c>
      <c r="I709" s="142">
        <f t="shared" si="152"/>
        <v>0</v>
      </c>
      <c r="J709" s="143">
        <f t="shared" si="153"/>
        <v>0</v>
      </c>
      <c r="K709" s="143">
        <f t="shared" si="154"/>
        <v>0</v>
      </c>
      <c r="L709" s="142">
        <f t="shared" si="155"/>
        <v>41033.33</v>
      </c>
      <c r="M709" s="142">
        <f t="shared" si="156"/>
        <v>0</v>
      </c>
      <c r="N709" s="142">
        <f t="shared" si="157"/>
        <v>0</v>
      </c>
      <c r="O709" s="59">
        <f t="shared" si="158"/>
        <v>41033.33</v>
      </c>
      <c r="P709" s="142">
        <f t="shared" si="159"/>
        <v>0</v>
      </c>
      <c r="Q709" s="142">
        <f t="shared" si="160"/>
        <v>0</v>
      </c>
      <c r="R709" s="142">
        <f t="shared" si="161"/>
        <v>0</v>
      </c>
      <c r="S709" s="142">
        <f t="shared" si="162"/>
        <v>0</v>
      </c>
      <c r="T709" s="142">
        <f t="shared" si="163"/>
        <v>0</v>
      </c>
      <c r="U709" s="60">
        <f t="shared" si="164"/>
        <v>0</v>
      </c>
    </row>
    <row r="710" spans="1:21" x14ac:dyDescent="0.2">
      <c r="A710" s="115"/>
      <c r="B710" s="139" t="s">
        <v>570</v>
      </c>
      <c r="C710" s="140" t="s">
        <v>571</v>
      </c>
      <c r="D710" s="141">
        <v>45873</v>
      </c>
      <c r="E710" s="141">
        <v>45963</v>
      </c>
      <c r="F710" s="57">
        <v>41033.339999999997</v>
      </c>
      <c r="G710" s="58">
        <f t="shared" si="150"/>
        <v>-59</v>
      </c>
      <c r="H710" s="142">
        <f t="shared" si="151"/>
        <v>0</v>
      </c>
      <c r="I710" s="142">
        <f t="shared" si="152"/>
        <v>0</v>
      </c>
      <c r="J710" s="143">
        <f t="shared" si="153"/>
        <v>0</v>
      </c>
      <c r="K710" s="143">
        <f t="shared" si="154"/>
        <v>0</v>
      </c>
      <c r="L710" s="142">
        <f t="shared" si="155"/>
        <v>0</v>
      </c>
      <c r="M710" s="142">
        <f t="shared" si="156"/>
        <v>41033.339999999997</v>
      </c>
      <c r="N710" s="142">
        <f t="shared" si="157"/>
        <v>0</v>
      </c>
      <c r="O710" s="59">
        <f t="shared" si="158"/>
        <v>41033.339999999997</v>
      </c>
      <c r="P710" s="142">
        <f t="shared" si="159"/>
        <v>0</v>
      </c>
      <c r="Q710" s="142">
        <f t="shared" si="160"/>
        <v>0</v>
      </c>
      <c r="R710" s="142">
        <f t="shared" si="161"/>
        <v>0</v>
      </c>
      <c r="S710" s="142">
        <f t="shared" si="162"/>
        <v>0</v>
      </c>
      <c r="T710" s="142">
        <f t="shared" si="163"/>
        <v>0</v>
      </c>
      <c r="U710" s="60">
        <f t="shared" si="164"/>
        <v>0</v>
      </c>
    </row>
    <row r="711" spans="1:21" x14ac:dyDescent="0.2">
      <c r="A711" s="115"/>
      <c r="B711" s="139" t="s">
        <v>419</v>
      </c>
      <c r="C711" s="140" t="s">
        <v>322</v>
      </c>
      <c r="D711" s="141">
        <v>45748</v>
      </c>
      <c r="E711" s="141">
        <v>45809</v>
      </c>
      <c r="F711" s="57">
        <v>5340</v>
      </c>
      <c r="G711" s="58">
        <f t="shared" ref="G711:G774" si="165">E711-$H$3</f>
        <v>-213</v>
      </c>
      <c r="H711" s="142">
        <f t="shared" ref="H711:H774" si="166">IF(AND($G711&gt;=-8000,$G711&lt;=-181),$F711,0)</f>
        <v>5340</v>
      </c>
      <c r="I711" s="142">
        <f t="shared" ref="I711:I774" si="167">IF(AND($G711&gt;=-180,$G711&lt;=-151),$F711,0)</f>
        <v>0</v>
      </c>
      <c r="J711" s="143">
        <f t="shared" ref="J711:J774" si="168">IF(AND($G711&gt;=-150,$G711&lt;=-121),$F711,0)</f>
        <v>0</v>
      </c>
      <c r="K711" s="143">
        <f t="shared" ref="K711:K774" si="169">IF(AND($G711&gt;=-120,$G711&lt;=-91),$F711,0)</f>
        <v>0</v>
      </c>
      <c r="L711" s="142">
        <f t="shared" ref="L711:L774" si="170">IF(AND($G711&gt;=-90,$G711&lt;=-61),$F711,0)</f>
        <v>0</v>
      </c>
      <c r="M711" s="142">
        <f t="shared" ref="M711:M774" si="171">IF(AND($G711&gt;=-60,$G711&lt;=-31),$F711,0)</f>
        <v>0</v>
      </c>
      <c r="N711" s="142">
        <f t="shared" ref="N711:N774" si="172">IF(AND($G711&gt;=-30,$G711&lt;=-1),$F711,0)</f>
        <v>0</v>
      </c>
      <c r="O711" s="59">
        <f t="shared" ref="O711:O774" si="173">SUM(H711:N711)</f>
        <v>5340</v>
      </c>
      <c r="P711" s="142">
        <f t="shared" ref="P711:P774" si="174">IF(AND($G711&lt;=30,$G711&gt;=0),$F711,0)</f>
        <v>0</v>
      </c>
      <c r="Q711" s="142">
        <f t="shared" ref="Q711:Q774" si="175">IF(AND($G711&lt;=60,$G711&gt;=31),$F711,0)</f>
        <v>0</v>
      </c>
      <c r="R711" s="142">
        <f t="shared" ref="R711:R774" si="176">IF(AND($G711&lt;=90,$G711&gt;=61),$F711,0)</f>
        <v>0</v>
      </c>
      <c r="S711" s="142">
        <f t="shared" ref="S711:S774" si="177">IF(AND($G711&lt;=120,$G711&gt;=91),$F711,0)</f>
        <v>0</v>
      </c>
      <c r="T711" s="142">
        <f t="shared" ref="T711:T774" si="178">IF(G711&gt;=121,F711,0)</f>
        <v>0</v>
      </c>
      <c r="U711" s="60">
        <f t="shared" ref="U711:U774" si="179">SUM(P711:T711)</f>
        <v>0</v>
      </c>
    </row>
    <row r="712" spans="1:21" x14ac:dyDescent="0.2">
      <c r="A712" s="115"/>
      <c r="B712" s="139" t="s">
        <v>419</v>
      </c>
      <c r="C712" s="140" t="s">
        <v>322</v>
      </c>
      <c r="D712" s="141">
        <v>45748</v>
      </c>
      <c r="E712" s="141">
        <v>45839</v>
      </c>
      <c r="F712" s="57">
        <v>5340</v>
      </c>
      <c r="G712" s="58">
        <f t="shared" si="165"/>
        <v>-183</v>
      </c>
      <c r="H712" s="142">
        <f t="shared" si="166"/>
        <v>5340</v>
      </c>
      <c r="I712" s="142">
        <f t="shared" si="167"/>
        <v>0</v>
      </c>
      <c r="J712" s="143">
        <f t="shared" si="168"/>
        <v>0</v>
      </c>
      <c r="K712" s="143">
        <f t="shared" si="169"/>
        <v>0</v>
      </c>
      <c r="L712" s="142">
        <f t="shared" si="170"/>
        <v>0</v>
      </c>
      <c r="M712" s="142">
        <f t="shared" si="171"/>
        <v>0</v>
      </c>
      <c r="N712" s="142">
        <f t="shared" si="172"/>
        <v>0</v>
      </c>
      <c r="O712" s="59">
        <f t="shared" si="173"/>
        <v>5340</v>
      </c>
      <c r="P712" s="142">
        <f t="shared" si="174"/>
        <v>0</v>
      </c>
      <c r="Q712" s="142">
        <f t="shared" si="175"/>
        <v>0</v>
      </c>
      <c r="R712" s="142">
        <f t="shared" si="176"/>
        <v>0</v>
      </c>
      <c r="S712" s="142">
        <f t="shared" si="177"/>
        <v>0</v>
      </c>
      <c r="T712" s="142">
        <f t="shared" si="178"/>
        <v>0</v>
      </c>
      <c r="U712" s="60">
        <f t="shared" si="179"/>
        <v>0</v>
      </c>
    </row>
    <row r="713" spans="1:21" x14ac:dyDescent="0.2">
      <c r="A713" s="115"/>
      <c r="B713" s="139" t="s">
        <v>419</v>
      </c>
      <c r="C713" s="140" t="s">
        <v>322</v>
      </c>
      <c r="D713" s="141">
        <v>45748</v>
      </c>
      <c r="E713" s="141">
        <v>45870</v>
      </c>
      <c r="F713" s="57">
        <v>5340</v>
      </c>
      <c r="G713" s="58">
        <f t="shared" si="165"/>
        <v>-152</v>
      </c>
      <c r="H713" s="142">
        <f t="shared" si="166"/>
        <v>0</v>
      </c>
      <c r="I713" s="142">
        <f t="shared" si="167"/>
        <v>5340</v>
      </c>
      <c r="J713" s="143">
        <f t="shared" si="168"/>
        <v>0</v>
      </c>
      <c r="K713" s="143">
        <f t="shared" si="169"/>
        <v>0</v>
      </c>
      <c r="L713" s="142">
        <f t="shared" si="170"/>
        <v>0</v>
      </c>
      <c r="M713" s="142">
        <f t="shared" si="171"/>
        <v>0</v>
      </c>
      <c r="N713" s="142">
        <f t="shared" si="172"/>
        <v>0</v>
      </c>
      <c r="O713" s="59">
        <f t="shared" si="173"/>
        <v>5340</v>
      </c>
      <c r="P713" s="142">
        <f t="shared" si="174"/>
        <v>0</v>
      </c>
      <c r="Q713" s="142">
        <f t="shared" si="175"/>
        <v>0</v>
      </c>
      <c r="R713" s="142">
        <f t="shared" si="176"/>
        <v>0</v>
      </c>
      <c r="S713" s="142">
        <f t="shared" si="177"/>
        <v>0</v>
      </c>
      <c r="T713" s="142">
        <f t="shared" si="178"/>
        <v>0</v>
      </c>
      <c r="U713" s="60">
        <f t="shared" si="179"/>
        <v>0</v>
      </c>
    </row>
    <row r="714" spans="1:21" x14ac:dyDescent="0.2">
      <c r="A714" s="115"/>
      <c r="B714" s="139" t="s">
        <v>419</v>
      </c>
      <c r="C714" s="140" t="s">
        <v>523</v>
      </c>
      <c r="D714" s="141">
        <v>45845</v>
      </c>
      <c r="E714" s="141">
        <v>45905</v>
      </c>
      <c r="F714" s="57">
        <v>2866</v>
      </c>
      <c r="G714" s="58">
        <f t="shared" si="165"/>
        <v>-117</v>
      </c>
      <c r="H714" s="142">
        <f t="shared" si="166"/>
        <v>0</v>
      </c>
      <c r="I714" s="142">
        <f t="shared" si="167"/>
        <v>0</v>
      </c>
      <c r="J714" s="143">
        <f t="shared" si="168"/>
        <v>0</v>
      </c>
      <c r="K714" s="143">
        <f t="shared" si="169"/>
        <v>2866</v>
      </c>
      <c r="L714" s="142">
        <f t="shared" si="170"/>
        <v>0</v>
      </c>
      <c r="M714" s="142">
        <f t="shared" si="171"/>
        <v>0</v>
      </c>
      <c r="N714" s="142">
        <f t="shared" si="172"/>
        <v>0</v>
      </c>
      <c r="O714" s="59">
        <f t="shared" si="173"/>
        <v>2866</v>
      </c>
      <c r="P714" s="142">
        <f t="shared" si="174"/>
        <v>0</v>
      </c>
      <c r="Q714" s="142">
        <f t="shared" si="175"/>
        <v>0</v>
      </c>
      <c r="R714" s="142">
        <f t="shared" si="176"/>
        <v>0</v>
      </c>
      <c r="S714" s="142">
        <f t="shared" si="177"/>
        <v>0</v>
      </c>
      <c r="T714" s="142">
        <f t="shared" si="178"/>
        <v>0</v>
      </c>
      <c r="U714" s="60">
        <f t="shared" si="179"/>
        <v>0</v>
      </c>
    </row>
    <row r="715" spans="1:21" x14ac:dyDescent="0.2">
      <c r="A715" s="115"/>
      <c r="B715" s="139" t="s">
        <v>419</v>
      </c>
      <c r="C715" s="140" t="s">
        <v>908</v>
      </c>
      <c r="D715" s="141">
        <v>45971</v>
      </c>
      <c r="E715" s="141">
        <v>46000</v>
      </c>
      <c r="F715" s="57">
        <v>11450</v>
      </c>
      <c r="G715" s="58">
        <f t="shared" si="165"/>
        <v>-22</v>
      </c>
      <c r="H715" s="142">
        <f t="shared" si="166"/>
        <v>0</v>
      </c>
      <c r="I715" s="142">
        <f t="shared" si="167"/>
        <v>0</v>
      </c>
      <c r="J715" s="143">
        <f t="shared" si="168"/>
        <v>0</v>
      </c>
      <c r="K715" s="143">
        <f t="shared" si="169"/>
        <v>0</v>
      </c>
      <c r="L715" s="142">
        <f t="shared" si="170"/>
        <v>0</v>
      </c>
      <c r="M715" s="142">
        <f t="shared" si="171"/>
        <v>0</v>
      </c>
      <c r="N715" s="142">
        <f t="shared" si="172"/>
        <v>11450</v>
      </c>
      <c r="O715" s="59">
        <f t="shared" si="173"/>
        <v>11450</v>
      </c>
      <c r="P715" s="142">
        <f t="shared" si="174"/>
        <v>0</v>
      </c>
      <c r="Q715" s="142">
        <f t="shared" si="175"/>
        <v>0</v>
      </c>
      <c r="R715" s="142">
        <f t="shared" si="176"/>
        <v>0</v>
      </c>
      <c r="S715" s="142">
        <f t="shared" si="177"/>
        <v>0</v>
      </c>
      <c r="T715" s="142">
        <f t="shared" si="178"/>
        <v>0</v>
      </c>
      <c r="U715" s="60">
        <f t="shared" si="179"/>
        <v>0</v>
      </c>
    </row>
    <row r="716" spans="1:21" x14ac:dyDescent="0.2">
      <c r="A716" s="115"/>
      <c r="B716" s="139" t="s">
        <v>419</v>
      </c>
      <c r="C716" s="140" t="s">
        <v>908</v>
      </c>
      <c r="D716" s="141">
        <v>45971</v>
      </c>
      <c r="E716" s="141">
        <v>46015</v>
      </c>
      <c r="F716" s="57">
        <v>11450</v>
      </c>
      <c r="G716" s="58">
        <f t="shared" si="165"/>
        <v>-7</v>
      </c>
      <c r="H716" s="142">
        <f t="shared" si="166"/>
        <v>0</v>
      </c>
      <c r="I716" s="142">
        <f t="shared" si="167"/>
        <v>0</v>
      </c>
      <c r="J716" s="143">
        <f t="shared" si="168"/>
        <v>0</v>
      </c>
      <c r="K716" s="143">
        <f t="shared" si="169"/>
        <v>0</v>
      </c>
      <c r="L716" s="142">
        <f t="shared" si="170"/>
        <v>0</v>
      </c>
      <c r="M716" s="142">
        <f t="shared" si="171"/>
        <v>0</v>
      </c>
      <c r="N716" s="142">
        <f t="shared" si="172"/>
        <v>11450</v>
      </c>
      <c r="O716" s="59">
        <f t="shared" si="173"/>
        <v>11450</v>
      </c>
      <c r="P716" s="142">
        <f t="shared" si="174"/>
        <v>0</v>
      </c>
      <c r="Q716" s="142">
        <f t="shared" si="175"/>
        <v>0</v>
      </c>
      <c r="R716" s="142">
        <f t="shared" si="176"/>
        <v>0</v>
      </c>
      <c r="S716" s="142">
        <f t="shared" si="177"/>
        <v>0</v>
      </c>
      <c r="T716" s="142">
        <f t="shared" si="178"/>
        <v>0</v>
      </c>
      <c r="U716" s="60">
        <f t="shared" si="179"/>
        <v>0</v>
      </c>
    </row>
    <row r="717" spans="1:21" x14ac:dyDescent="0.2">
      <c r="A717" s="115"/>
      <c r="B717" s="139" t="s">
        <v>419</v>
      </c>
      <c r="C717" s="140" t="s">
        <v>908</v>
      </c>
      <c r="D717" s="141">
        <v>45971</v>
      </c>
      <c r="E717" s="141">
        <v>46030</v>
      </c>
      <c r="F717" s="57">
        <v>11450</v>
      </c>
      <c r="G717" s="58">
        <f t="shared" si="165"/>
        <v>8</v>
      </c>
      <c r="H717" s="142">
        <f t="shared" si="166"/>
        <v>0</v>
      </c>
      <c r="I717" s="142">
        <f t="shared" si="167"/>
        <v>0</v>
      </c>
      <c r="J717" s="143">
        <f t="shared" si="168"/>
        <v>0</v>
      </c>
      <c r="K717" s="143">
        <f t="shared" si="169"/>
        <v>0</v>
      </c>
      <c r="L717" s="142">
        <f t="shared" si="170"/>
        <v>0</v>
      </c>
      <c r="M717" s="142">
        <f t="shared" si="171"/>
        <v>0</v>
      </c>
      <c r="N717" s="142">
        <f t="shared" si="172"/>
        <v>0</v>
      </c>
      <c r="O717" s="59">
        <f t="shared" si="173"/>
        <v>0</v>
      </c>
      <c r="P717" s="142">
        <f t="shared" si="174"/>
        <v>11450</v>
      </c>
      <c r="Q717" s="142">
        <f t="shared" si="175"/>
        <v>0</v>
      </c>
      <c r="R717" s="142">
        <f t="shared" si="176"/>
        <v>0</v>
      </c>
      <c r="S717" s="142">
        <f t="shared" si="177"/>
        <v>0</v>
      </c>
      <c r="T717" s="142">
        <f t="shared" si="178"/>
        <v>0</v>
      </c>
      <c r="U717" s="60">
        <f t="shared" si="179"/>
        <v>11450</v>
      </c>
    </row>
    <row r="718" spans="1:21" x14ac:dyDescent="0.2">
      <c r="A718" s="115"/>
      <c r="B718" s="139" t="s">
        <v>419</v>
      </c>
      <c r="C718" s="140" t="s">
        <v>908</v>
      </c>
      <c r="D718" s="141">
        <v>45971</v>
      </c>
      <c r="E718" s="141">
        <v>46045</v>
      </c>
      <c r="F718" s="57">
        <v>11450</v>
      </c>
      <c r="G718" s="58">
        <f t="shared" si="165"/>
        <v>23</v>
      </c>
      <c r="H718" s="142">
        <f t="shared" si="166"/>
        <v>0</v>
      </c>
      <c r="I718" s="142">
        <f t="shared" si="167"/>
        <v>0</v>
      </c>
      <c r="J718" s="143">
        <f t="shared" si="168"/>
        <v>0</v>
      </c>
      <c r="K718" s="143">
        <f t="shared" si="169"/>
        <v>0</v>
      </c>
      <c r="L718" s="142">
        <f t="shared" si="170"/>
        <v>0</v>
      </c>
      <c r="M718" s="142">
        <f t="shared" si="171"/>
        <v>0</v>
      </c>
      <c r="N718" s="142">
        <f t="shared" si="172"/>
        <v>0</v>
      </c>
      <c r="O718" s="59">
        <f t="shared" si="173"/>
        <v>0</v>
      </c>
      <c r="P718" s="142">
        <f t="shared" si="174"/>
        <v>11450</v>
      </c>
      <c r="Q718" s="142">
        <f t="shared" si="175"/>
        <v>0</v>
      </c>
      <c r="R718" s="142">
        <f t="shared" si="176"/>
        <v>0</v>
      </c>
      <c r="S718" s="142">
        <f t="shared" si="177"/>
        <v>0</v>
      </c>
      <c r="T718" s="142">
        <f t="shared" si="178"/>
        <v>0</v>
      </c>
      <c r="U718" s="60">
        <f t="shared" si="179"/>
        <v>11450</v>
      </c>
    </row>
    <row r="719" spans="1:21" x14ac:dyDescent="0.2">
      <c r="A719" s="115"/>
      <c r="B719" s="139" t="s">
        <v>495</v>
      </c>
      <c r="C719" s="140" t="s">
        <v>257</v>
      </c>
      <c r="D719" s="141">
        <v>42388</v>
      </c>
      <c r="E719" s="141">
        <v>42488</v>
      </c>
      <c r="F719" s="57">
        <v>560</v>
      </c>
      <c r="G719" s="58">
        <f t="shared" si="165"/>
        <v>-3534</v>
      </c>
      <c r="H719" s="142">
        <f t="shared" si="166"/>
        <v>560</v>
      </c>
      <c r="I719" s="142">
        <f t="shared" si="167"/>
        <v>0</v>
      </c>
      <c r="J719" s="143">
        <f t="shared" si="168"/>
        <v>0</v>
      </c>
      <c r="K719" s="143">
        <f t="shared" si="169"/>
        <v>0</v>
      </c>
      <c r="L719" s="142">
        <f t="shared" si="170"/>
        <v>0</v>
      </c>
      <c r="M719" s="142">
        <f t="shared" si="171"/>
        <v>0</v>
      </c>
      <c r="N719" s="142">
        <f t="shared" si="172"/>
        <v>0</v>
      </c>
      <c r="O719" s="59">
        <f t="shared" si="173"/>
        <v>560</v>
      </c>
      <c r="P719" s="142">
        <f t="shared" si="174"/>
        <v>0</v>
      </c>
      <c r="Q719" s="142">
        <f t="shared" si="175"/>
        <v>0</v>
      </c>
      <c r="R719" s="142">
        <f t="shared" si="176"/>
        <v>0</v>
      </c>
      <c r="S719" s="142">
        <f t="shared" si="177"/>
        <v>0</v>
      </c>
      <c r="T719" s="142">
        <f t="shared" si="178"/>
        <v>0</v>
      </c>
      <c r="U719" s="60">
        <f t="shared" si="179"/>
        <v>0</v>
      </c>
    </row>
    <row r="720" spans="1:21" x14ac:dyDescent="0.2">
      <c r="A720" s="115"/>
      <c r="B720" s="139" t="s">
        <v>495</v>
      </c>
      <c r="C720" s="140" t="s">
        <v>258</v>
      </c>
      <c r="D720" s="141">
        <v>42352</v>
      </c>
      <c r="E720" s="141">
        <v>42538</v>
      </c>
      <c r="F720" s="57">
        <v>1885</v>
      </c>
      <c r="G720" s="58">
        <f t="shared" si="165"/>
        <v>-3484</v>
      </c>
      <c r="H720" s="142">
        <f t="shared" si="166"/>
        <v>1885</v>
      </c>
      <c r="I720" s="142">
        <f t="shared" si="167"/>
        <v>0</v>
      </c>
      <c r="J720" s="143">
        <f t="shared" si="168"/>
        <v>0</v>
      </c>
      <c r="K720" s="143">
        <f t="shared" si="169"/>
        <v>0</v>
      </c>
      <c r="L720" s="142">
        <f t="shared" si="170"/>
        <v>0</v>
      </c>
      <c r="M720" s="142">
        <f t="shared" si="171"/>
        <v>0</v>
      </c>
      <c r="N720" s="142">
        <f t="shared" si="172"/>
        <v>0</v>
      </c>
      <c r="O720" s="59">
        <f t="shared" si="173"/>
        <v>1885</v>
      </c>
      <c r="P720" s="142">
        <f t="shared" si="174"/>
        <v>0</v>
      </c>
      <c r="Q720" s="142">
        <f t="shared" si="175"/>
        <v>0</v>
      </c>
      <c r="R720" s="142">
        <f t="shared" si="176"/>
        <v>0</v>
      </c>
      <c r="S720" s="142">
        <f t="shared" si="177"/>
        <v>0</v>
      </c>
      <c r="T720" s="142">
        <f t="shared" si="178"/>
        <v>0</v>
      </c>
      <c r="U720" s="60">
        <f t="shared" si="179"/>
        <v>0</v>
      </c>
    </row>
    <row r="721" spans="1:21" x14ac:dyDescent="0.2">
      <c r="A721" s="115"/>
      <c r="B721" s="139" t="s">
        <v>495</v>
      </c>
      <c r="C721" s="140" t="s">
        <v>259</v>
      </c>
      <c r="D721" s="141">
        <v>43154</v>
      </c>
      <c r="E721" s="141">
        <v>43184</v>
      </c>
      <c r="F721" s="57">
        <v>1540.99</v>
      </c>
      <c r="G721" s="58">
        <f t="shared" si="165"/>
        <v>-2838</v>
      </c>
      <c r="H721" s="142">
        <f t="shared" si="166"/>
        <v>1540.99</v>
      </c>
      <c r="I721" s="142">
        <f t="shared" si="167"/>
        <v>0</v>
      </c>
      <c r="J721" s="143">
        <f t="shared" si="168"/>
        <v>0</v>
      </c>
      <c r="K721" s="143">
        <f t="shared" si="169"/>
        <v>0</v>
      </c>
      <c r="L721" s="142">
        <f t="shared" si="170"/>
        <v>0</v>
      </c>
      <c r="M721" s="142">
        <f t="shared" si="171"/>
        <v>0</v>
      </c>
      <c r="N721" s="142">
        <f t="shared" si="172"/>
        <v>0</v>
      </c>
      <c r="O721" s="59">
        <f t="shared" si="173"/>
        <v>1540.99</v>
      </c>
      <c r="P721" s="142">
        <f t="shared" si="174"/>
        <v>0</v>
      </c>
      <c r="Q721" s="142">
        <f t="shared" si="175"/>
        <v>0</v>
      </c>
      <c r="R721" s="142">
        <f t="shared" si="176"/>
        <v>0</v>
      </c>
      <c r="S721" s="142">
        <f t="shared" si="177"/>
        <v>0</v>
      </c>
      <c r="T721" s="142">
        <f t="shared" si="178"/>
        <v>0</v>
      </c>
      <c r="U721" s="60">
        <f t="shared" si="179"/>
        <v>0</v>
      </c>
    </row>
    <row r="722" spans="1:21" x14ac:dyDescent="0.2">
      <c r="A722" s="115"/>
      <c r="B722" s="139" t="s">
        <v>495</v>
      </c>
      <c r="C722" s="140" t="s">
        <v>260</v>
      </c>
      <c r="D722" s="141">
        <v>43388</v>
      </c>
      <c r="E722" s="141">
        <v>43441</v>
      </c>
      <c r="F722" s="57">
        <v>5580</v>
      </c>
      <c r="G722" s="58">
        <f t="shared" si="165"/>
        <v>-2581</v>
      </c>
      <c r="H722" s="142">
        <f t="shared" si="166"/>
        <v>5580</v>
      </c>
      <c r="I722" s="142">
        <f t="shared" si="167"/>
        <v>0</v>
      </c>
      <c r="J722" s="143">
        <f t="shared" si="168"/>
        <v>0</v>
      </c>
      <c r="K722" s="143">
        <f t="shared" si="169"/>
        <v>0</v>
      </c>
      <c r="L722" s="142">
        <f t="shared" si="170"/>
        <v>0</v>
      </c>
      <c r="M722" s="142">
        <f t="shared" si="171"/>
        <v>0</v>
      </c>
      <c r="N722" s="142">
        <f t="shared" si="172"/>
        <v>0</v>
      </c>
      <c r="O722" s="59">
        <f t="shared" si="173"/>
        <v>5580</v>
      </c>
      <c r="P722" s="142">
        <f t="shared" si="174"/>
        <v>0</v>
      </c>
      <c r="Q722" s="142">
        <f t="shared" si="175"/>
        <v>0</v>
      </c>
      <c r="R722" s="142">
        <f t="shared" si="176"/>
        <v>0</v>
      </c>
      <c r="S722" s="142">
        <f t="shared" si="177"/>
        <v>0</v>
      </c>
      <c r="T722" s="142">
        <f t="shared" si="178"/>
        <v>0</v>
      </c>
      <c r="U722" s="60">
        <f t="shared" si="179"/>
        <v>0</v>
      </c>
    </row>
    <row r="723" spans="1:21" x14ac:dyDescent="0.2">
      <c r="A723" s="115"/>
      <c r="B723" s="139" t="s">
        <v>306</v>
      </c>
      <c r="C723" s="140" t="s">
        <v>261</v>
      </c>
      <c r="D723" s="141">
        <v>45306</v>
      </c>
      <c r="E723" s="141">
        <v>46037</v>
      </c>
      <c r="F723" s="57">
        <v>1390.65</v>
      </c>
      <c r="G723" s="58">
        <f t="shared" si="165"/>
        <v>15</v>
      </c>
      <c r="H723" s="142">
        <f t="shared" si="166"/>
        <v>0</v>
      </c>
      <c r="I723" s="142">
        <f t="shared" si="167"/>
        <v>0</v>
      </c>
      <c r="J723" s="143">
        <f t="shared" si="168"/>
        <v>0</v>
      </c>
      <c r="K723" s="143">
        <f t="shared" si="169"/>
        <v>0</v>
      </c>
      <c r="L723" s="142">
        <f t="shared" si="170"/>
        <v>0</v>
      </c>
      <c r="M723" s="142">
        <f t="shared" si="171"/>
        <v>0</v>
      </c>
      <c r="N723" s="142">
        <f t="shared" si="172"/>
        <v>0</v>
      </c>
      <c r="O723" s="59">
        <f t="shared" si="173"/>
        <v>0</v>
      </c>
      <c r="P723" s="142">
        <f t="shared" si="174"/>
        <v>1390.65</v>
      </c>
      <c r="Q723" s="142">
        <f t="shared" si="175"/>
        <v>0</v>
      </c>
      <c r="R723" s="142">
        <f t="shared" si="176"/>
        <v>0</v>
      </c>
      <c r="S723" s="142">
        <f t="shared" si="177"/>
        <v>0</v>
      </c>
      <c r="T723" s="142">
        <f t="shared" si="178"/>
        <v>0</v>
      </c>
      <c r="U723" s="60">
        <f t="shared" si="179"/>
        <v>1390.65</v>
      </c>
    </row>
    <row r="724" spans="1:21" x14ac:dyDescent="0.2">
      <c r="A724" s="115"/>
      <c r="B724" s="139" t="s">
        <v>306</v>
      </c>
      <c r="C724" s="140" t="s">
        <v>261</v>
      </c>
      <c r="D724" s="141">
        <v>45306</v>
      </c>
      <c r="E724" s="141">
        <v>46068</v>
      </c>
      <c r="F724" s="57">
        <v>1390.65</v>
      </c>
      <c r="G724" s="58">
        <f t="shared" si="165"/>
        <v>46</v>
      </c>
      <c r="H724" s="142">
        <f t="shared" si="166"/>
        <v>0</v>
      </c>
      <c r="I724" s="142">
        <f t="shared" si="167"/>
        <v>0</v>
      </c>
      <c r="J724" s="143">
        <f t="shared" si="168"/>
        <v>0</v>
      </c>
      <c r="K724" s="143">
        <f t="shared" si="169"/>
        <v>0</v>
      </c>
      <c r="L724" s="142">
        <f t="shared" si="170"/>
        <v>0</v>
      </c>
      <c r="M724" s="142">
        <f t="shared" si="171"/>
        <v>0</v>
      </c>
      <c r="N724" s="142">
        <f t="shared" si="172"/>
        <v>0</v>
      </c>
      <c r="O724" s="59">
        <f t="shared" si="173"/>
        <v>0</v>
      </c>
      <c r="P724" s="142">
        <f t="shared" si="174"/>
        <v>0</v>
      </c>
      <c r="Q724" s="142">
        <f t="shared" si="175"/>
        <v>1390.65</v>
      </c>
      <c r="R724" s="142">
        <f t="shared" si="176"/>
        <v>0</v>
      </c>
      <c r="S724" s="142">
        <f t="shared" si="177"/>
        <v>0</v>
      </c>
      <c r="T724" s="142">
        <f t="shared" si="178"/>
        <v>0</v>
      </c>
      <c r="U724" s="60">
        <f t="shared" si="179"/>
        <v>1390.65</v>
      </c>
    </row>
    <row r="725" spans="1:21" x14ac:dyDescent="0.2">
      <c r="A725" s="115"/>
      <c r="B725" s="139" t="s">
        <v>306</v>
      </c>
      <c r="C725" s="140" t="s">
        <v>261</v>
      </c>
      <c r="D725" s="141">
        <v>45306</v>
      </c>
      <c r="E725" s="141">
        <v>46096</v>
      </c>
      <c r="F725" s="57">
        <v>1390.65</v>
      </c>
      <c r="G725" s="58">
        <f t="shared" si="165"/>
        <v>74</v>
      </c>
      <c r="H725" s="142">
        <f t="shared" si="166"/>
        <v>0</v>
      </c>
      <c r="I725" s="142">
        <f t="shared" si="167"/>
        <v>0</v>
      </c>
      <c r="J725" s="143">
        <f t="shared" si="168"/>
        <v>0</v>
      </c>
      <c r="K725" s="143">
        <f t="shared" si="169"/>
        <v>0</v>
      </c>
      <c r="L725" s="142">
        <f t="shared" si="170"/>
        <v>0</v>
      </c>
      <c r="M725" s="142">
        <f t="shared" si="171"/>
        <v>0</v>
      </c>
      <c r="N725" s="142">
        <f t="shared" si="172"/>
        <v>0</v>
      </c>
      <c r="O725" s="59">
        <f t="shared" si="173"/>
        <v>0</v>
      </c>
      <c r="P725" s="142">
        <f t="shared" si="174"/>
        <v>0</v>
      </c>
      <c r="Q725" s="142">
        <f t="shared" si="175"/>
        <v>0</v>
      </c>
      <c r="R725" s="142">
        <f t="shared" si="176"/>
        <v>1390.65</v>
      </c>
      <c r="S725" s="142">
        <f t="shared" si="177"/>
        <v>0</v>
      </c>
      <c r="T725" s="142">
        <f t="shared" si="178"/>
        <v>0</v>
      </c>
      <c r="U725" s="60">
        <f t="shared" si="179"/>
        <v>1390.65</v>
      </c>
    </row>
    <row r="726" spans="1:21" x14ac:dyDescent="0.2">
      <c r="A726" s="115"/>
      <c r="B726" s="139" t="s">
        <v>306</v>
      </c>
      <c r="C726" s="140" t="s">
        <v>261</v>
      </c>
      <c r="D726" s="141">
        <v>45306</v>
      </c>
      <c r="E726" s="141">
        <v>46127</v>
      </c>
      <c r="F726" s="57">
        <v>1390.65</v>
      </c>
      <c r="G726" s="58">
        <f t="shared" si="165"/>
        <v>105</v>
      </c>
      <c r="H726" s="142">
        <f t="shared" si="166"/>
        <v>0</v>
      </c>
      <c r="I726" s="142">
        <f t="shared" si="167"/>
        <v>0</v>
      </c>
      <c r="J726" s="143">
        <f t="shared" si="168"/>
        <v>0</v>
      </c>
      <c r="K726" s="143">
        <f t="shared" si="169"/>
        <v>0</v>
      </c>
      <c r="L726" s="142">
        <f t="shared" si="170"/>
        <v>0</v>
      </c>
      <c r="M726" s="142">
        <f t="shared" si="171"/>
        <v>0</v>
      </c>
      <c r="N726" s="142">
        <f t="shared" si="172"/>
        <v>0</v>
      </c>
      <c r="O726" s="59">
        <f t="shared" si="173"/>
        <v>0</v>
      </c>
      <c r="P726" s="142">
        <f t="shared" si="174"/>
        <v>0</v>
      </c>
      <c r="Q726" s="142">
        <f t="shared" si="175"/>
        <v>0</v>
      </c>
      <c r="R726" s="142">
        <f t="shared" si="176"/>
        <v>0</v>
      </c>
      <c r="S726" s="142">
        <f t="shared" si="177"/>
        <v>1390.65</v>
      </c>
      <c r="T726" s="142">
        <f t="shared" si="178"/>
        <v>0</v>
      </c>
      <c r="U726" s="60">
        <f t="shared" si="179"/>
        <v>1390.65</v>
      </c>
    </row>
    <row r="727" spans="1:21" x14ac:dyDescent="0.2">
      <c r="A727" s="115"/>
      <c r="B727" s="139" t="s">
        <v>306</v>
      </c>
      <c r="C727" s="140" t="s">
        <v>261</v>
      </c>
      <c r="D727" s="141">
        <v>45306</v>
      </c>
      <c r="E727" s="141">
        <v>46157</v>
      </c>
      <c r="F727" s="57">
        <v>1390.65</v>
      </c>
      <c r="G727" s="58">
        <f t="shared" si="165"/>
        <v>135</v>
      </c>
      <c r="H727" s="142">
        <f t="shared" si="166"/>
        <v>0</v>
      </c>
      <c r="I727" s="142">
        <f t="shared" si="167"/>
        <v>0</v>
      </c>
      <c r="J727" s="143">
        <f t="shared" si="168"/>
        <v>0</v>
      </c>
      <c r="K727" s="143">
        <f t="shared" si="169"/>
        <v>0</v>
      </c>
      <c r="L727" s="142">
        <f t="shared" si="170"/>
        <v>0</v>
      </c>
      <c r="M727" s="142">
        <f t="shared" si="171"/>
        <v>0</v>
      </c>
      <c r="N727" s="142">
        <f t="shared" si="172"/>
        <v>0</v>
      </c>
      <c r="O727" s="59">
        <f t="shared" si="173"/>
        <v>0</v>
      </c>
      <c r="P727" s="142">
        <f t="shared" si="174"/>
        <v>0</v>
      </c>
      <c r="Q727" s="142">
        <f t="shared" si="175"/>
        <v>0</v>
      </c>
      <c r="R727" s="142">
        <f t="shared" si="176"/>
        <v>0</v>
      </c>
      <c r="S727" s="142">
        <f t="shared" si="177"/>
        <v>0</v>
      </c>
      <c r="T727" s="142">
        <f t="shared" si="178"/>
        <v>1390.65</v>
      </c>
      <c r="U727" s="60">
        <f t="shared" si="179"/>
        <v>1390.65</v>
      </c>
    </row>
    <row r="728" spans="1:21" x14ac:dyDescent="0.2">
      <c r="A728" s="115"/>
      <c r="B728" s="139" t="s">
        <v>306</v>
      </c>
      <c r="C728" s="140" t="s">
        <v>261</v>
      </c>
      <c r="D728" s="141">
        <v>45306</v>
      </c>
      <c r="E728" s="141">
        <v>46188</v>
      </c>
      <c r="F728" s="57">
        <v>1390.65</v>
      </c>
      <c r="G728" s="58">
        <f t="shared" si="165"/>
        <v>166</v>
      </c>
      <c r="H728" s="142">
        <f t="shared" si="166"/>
        <v>0</v>
      </c>
      <c r="I728" s="142">
        <f t="shared" si="167"/>
        <v>0</v>
      </c>
      <c r="J728" s="143">
        <f t="shared" si="168"/>
        <v>0</v>
      </c>
      <c r="K728" s="143">
        <f t="shared" si="169"/>
        <v>0</v>
      </c>
      <c r="L728" s="142">
        <f t="shared" si="170"/>
        <v>0</v>
      </c>
      <c r="M728" s="142">
        <f t="shared" si="171"/>
        <v>0</v>
      </c>
      <c r="N728" s="142">
        <f t="shared" si="172"/>
        <v>0</v>
      </c>
      <c r="O728" s="59">
        <f t="shared" si="173"/>
        <v>0</v>
      </c>
      <c r="P728" s="142">
        <f t="shared" si="174"/>
        <v>0</v>
      </c>
      <c r="Q728" s="142">
        <f t="shared" si="175"/>
        <v>0</v>
      </c>
      <c r="R728" s="142">
        <f t="shared" si="176"/>
        <v>0</v>
      </c>
      <c r="S728" s="142">
        <f t="shared" si="177"/>
        <v>0</v>
      </c>
      <c r="T728" s="142">
        <f t="shared" si="178"/>
        <v>1390.65</v>
      </c>
      <c r="U728" s="60">
        <f t="shared" si="179"/>
        <v>1390.65</v>
      </c>
    </row>
    <row r="729" spans="1:21" x14ac:dyDescent="0.2">
      <c r="A729" s="115"/>
      <c r="B729" s="139" t="s">
        <v>306</v>
      </c>
      <c r="C729" s="140" t="s">
        <v>261</v>
      </c>
      <c r="D729" s="141">
        <v>45306</v>
      </c>
      <c r="E729" s="141">
        <v>46218</v>
      </c>
      <c r="F729" s="57">
        <v>1390.65</v>
      </c>
      <c r="G729" s="58">
        <f t="shared" si="165"/>
        <v>196</v>
      </c>
      <c r="H729" s="142">
        <f t="shared" si="166"/>
        <v>0</v>
      </c>
      <c r="I729" s="142">
        <f t="shared" si="167"/>
        <v>0</v>
      </c>
      <c r="J729" s="143">
        <f t="shared" si="168"/>
        <v>0</v>
      </c>
      <c r="K729" s="143">
        <f t="shared" si="169"/>
        <v>0</v>
      </c>
      <c r="L729" s="142">
        <f t="shared" si="170"/>
        <v>0</v>
      </c>
      <c r="M729" s="142">
        <f t="shared" si="171"/>
        <v>0</v>
      </c>
      <c r="N729" s="142">
        <f t="shared" si="172"/>
        <v>0</v>
      </c>
      <c r="O729" s="59">
        <f t="shared" si="173"/>
        <v>0</v>
      </c>
      <c r="P729" s="142">
        <f t="shared" si="174"/>
        <v>0</v>
      </c>
      <c r="Q729" s="142">
        <f t="shared" si="175"/>
        <v>0</v>
      </c>
      <c r="R729" s="142">
        <f t="shared" si="176"/>
        <v>0</v>
      </c>
      <c r="S729" s="142">
        <f t="shared" si="177"/>
        <v>0</v>
      </c>
      <c r="T729" s="142">
        <f t="shared" si="178"/>
        <v>1390.65</v>
      </c>
      <c r="U729" s="60">
        <f t="shared" si="179"/>
        <v>1390.65</v>
      </c>
    </row>
    <row r="730" spans="1:21" x14ac:dyDescent="0.2">
      <c r="A730" s="115"/>
      <c r="B730" s="139" t="s">
        <v>306</v>
      </c>
      <c r="C730" s="140" t="s">
        <v>261</v>
      </c>
      <c r="D730" s="141">
        <v>45306</v>
      </c>
      <c r="E730" s="141">
        <v>46249</v>
      </c>
      <c r="F730" s="57">
        <v>1390.65</v>
      </c>
      <c r="G730" s="58">
        <f t="shared" si="165"/>
        <v>227</v>
      </c>
      <c r="H730" s="142">
        <f t="shared" si="166"/>
        <v>0</v>
      </c>
      <c r="I730" s="142">
        <f t="shared" si="167"/>
        <v>0</v>
      </c>
      <c r="J730" s="143">
        <f t="shared" si="168"/>
        <v>0</v>
      </c>
      <c r="K730" s="143">
        <f t="shared" si="169"/>
        <v>0</v>
      </c>
      <c r="L730" s="142">
        <f t="shared" si="170"/>
        <v>0</v>
      </c>
      <c r="M730" s="142">
        <f t="shared" si="171"/>
        <v>0</v>
      </c>
      <c r="N730" s="142">
        <f t="shared" si="172"/>
        <v>0</v>
      </c>
      <c r="O730" s="59">
        <f t="shared" si="173"/>
        <v>0</v>
      </c>
      <c r="P730" s="142">
        <f t="shared" si="174"/>
        <v>0</v>
      </c>
      <c r="Q730" s="142">
        <f t="shared" si="175"/>
        <v>0</v>
      </c>
      <c r="R730" s="142">
        <f t="shared" si="176"/>
        <v>0</v>
      </c>
      <c r="S730" s="142">
        <f t="shared" si="177"/>
        <v>0</v>
      </c>
      <c r="T730" s="142">
        <f t="shared" si="178"/>
        <v>1390.65</v>
      </c>
      <c r="U730" s="60">
        <f t="shared" si="179"/>
        <v>1390.65</v>
      </c>
    </row>
    <row r="731" spans="1:21" x14ac:dyDescent="0.2">
      <c r="A731" s="115"/>
      <c r="B731" s="139" t="s">
        <v>306</v>
      </c>
      <c r="C731" s="140" t="s">
        <v>261</v>
      </c>
      <c r="D731" s="141">
        <v>45306</v>
      </c>
      <c r="E731" s="141">
        <v>46280</v>
      </c>
      <c r="F731" s="57">
        <v>1390.65</v>
      </c>
      <c r="G731" s="58">
        <f t="shared" si="165"/>
        <v>258</v>
      </c>
      <c r="H731" s="142">
        <f t="shared" si="166"/>
        <v>0</v>
      </c>
      <c r="I731" s="142">
        <f t="shared" si="167"/>
        <v>0</v>
      </c>
      <c r="J731" s="143">
        <f t="shared" si="168"/>
        <v>0</v>
      </c>
      <c r="K731" s="143">
        <f t="shared" si="169"/>
        <v>0</v>
      </c>
      <c r="L731" s="142">
        <f t="shared" si="170"/>
        <v>0</v>
      </c>
      <c r="M731" s="142">
        <f t="shared" si="171"/>
        <v>0</v>
      </c>
      <c r="N731" s="142">
        <f t="shared" si="172"/>
        <v>0</v>
      </c>
      <c r="O731" s="59">
        <f t="shared" si="173"/>
        <v>0</v>
      </c>
      <c r="P731" s="142">
        <f t="shared" si="174"/>
        <v>0</v>
      </c>
      <c r="Q731" s="142">
        <f t="shared" si="175"/>
        <v>0</v>
      </c>
      <c r="R731" s="142">
        <f t="shared" si="176"/>
        <v>0</v>
      </c>
      <c r="S731" s="142">
        <f t="shared" si="177"/>
        <v>0</v>
      </c>
      <c r="T731" s="142">
        <f t="shared" si="178"/>
        <v>1390.65</v>
      </c>
      <c r="U731" s="60">
        <f t="shared" si="179"/>
        <v>1390.65</v>
      </c>
    </row>
    <row r="732" spans="1:21" x14ac:dyDescent="0.2">
      <c r="A732" s="115"/>
      <c r="B732" s="139" t="s">
        <v>306</v>
      </c>
      <c r="C732" s="140" t="s">
        <v>261</v>
      </c>
      <c r="D732" s="141">
        <v>45306</v>
      </c>
      <c r="E732" s="141">
        <v>46310</v>
      </c>
      <c r="F732" s="57">
        <v>1390.65</v>
      </c>
      <c r="G732" s="58">
        <f t="shared" si="165"/>
        <v>288</v>
      </c>
      <c r="H732" s="142">
        <f t="shared" si="166"/>
        <v>0</v>
      </c>
      <c r="I732" s="142">
        <f t="shared" si="167"/>
        <v>0</v>
      </c>
      <c r="J732" s="143">
        <f t="shared" si="168"/>
        <v>0</v>
      </c>
      <c r="K732" s="143">
        <f t="shared" si="169"/>
        <v>0</v>
      </c>
      <c r="L732" s="142">
        <f t="shared" si="170"/>
        <v>0</v>
      </c>
      <c r="M732" s="142">
        <f t="shared" si="171"/>
        <v>0</v>
      </c>
      <c r="N732" s="142">
        <f t="shared" si="172"/>
        <v>0</v>
      </c>
      <c r="O732" s="59">
        <f t="shared" si="173"/>
        <v>0</v>
      </c>
      <c r="P732" s="142">
        <f t="shared" si="174"/>
        <v>0</v>
      </c>
      <c r="Q732" s="142">
        <f t="shared" si="175"/>
        <v>0</v>
      </c>
      <c r="R732" s="142">
        <f t="shared" si="176"/>
        <v>0</v>
      </c>
      <c r="S732" s="142">
        <f t="shared" si="177"/>
        <v>0</v>
      </c>
      <c r="T732" s="142">
        <f t="shared" si="178"/>
        <v>1390.65</v>
      </c>
      <c r="U732" s="60">
        <f t="shared" si="179"/>
        <v>1390.65</v>
      </c>
    </row>
    <row r="733" spans="1:21" x14ac:dyDescent="0.2">
      <c r="A733" s="115"/>
      <c r="B733" s="139" t="s">
        <v>306</v>
      </c>
      <c r="C733" s="140" t="s">
        <v>261</v>
      </c>
      <c r="D733" s="141">
        <v>45306</v>
      </c>
      <c r="E733" s="141">
        <v>46341</v>
      </c>
      <c r="F733" s="57">
        <v>1390.65</v>
      </c>
      <c r="G733" s="58">
        <f t="shared" si="165"/>
        <v>319</v>
      </c>
      <c r="H733" s="142">
        <f t="shared" si="166"/>
        <v>0</v>
      </c>
      <c r="I733" s="142">
        <f t="shared" si="167"/>
        <v>0</v>
      </c>
      <c r="J733" s="143">
        <f t="shared" si="168"/>
        <v>0</v>
      </c>
      <c r="K733" s="143">
        <f t="shared" si="169"/>
        <v>0</v>
      </c>
      <c r="L733" s="142">
        <f t="shared" si="170"/>
        <v>0</v>
      </c>
      <c r="M733" s="142">
        <f t="shared" si="171"/>
        <v>0</v>
      </c>
      <c r="N733" s="142">
        <f t="shared" si="172"/>
        <v>0</v>
      </c>
      <c r="O733" s="59">
        <f t="shared" si="173"/>
        <v>0</v>
      </c>
      <c r="P733" s="142">
        <f t="shared" si="174"/>
        <v>0</v>
      </c>
      <c r="Q733" s="142">
        <f t="shared" si="175"/>
        <v>0</v>
      </c>
      <c r="R733" s="142">
        <f t="shared" si="176"/>
        <v>0</v>
      </c>
      <c r="S733" s="142">
        <f t="shared" si="177"/>
        <v>0</v>
      </c>
      <c r="T733" s="142">
        <f t="shared" si="178"/>
        <v>1390.65</v>
      </c>
      <c r="U733" s="60">
        <f t="shared" si="179"/>
        <v>1390.65</v>
      </c>
    </row>
    <row r="734" spans="1:21" x14ac:dyDescent="0.2">
      <c r="A734" s="115"/>
      <c r="B734" s="139" t="s">
        <v>306</v>
      </c>
      <c r="C734" s="140" t="s">
        <v>261</v>
      </c>
      <c r="D734" s="141">
        <v>45306</v>
      </c>
      <c r="E734" s="141">
        <v>46371</v>
      </c>
      <c r="F734" s="57">
        <v>1390.65</v>
      </c>
      <c r="G734" s="58">
        <f t="shared" si="165"/>
        <v>349</v>
      </c>
      <c r="H734" s="142">
        <f t="shared" si="166"/>
        <v>0</v>
      </c>
      <c r="I734" s="142">
        <f t="shared" si="167"/>
        <v>0</v>
      </c>
      <c r="J734" s="143">
        <f t="shared" si="168"/>
        <v>0</v>
      </c>
      <c r="K734" s="143">
        <f t="shared" si="169"/>
        <v>0</v>
      </c>
      <c r="L734" s="142">
        <f t="shared" si="170"/>
        <v>0</v>
      </c>
      <c r="M734" s="142">
        <f t="shared" si="171"/>
        <v>0</v>
      </c>
      <c r="N734" s="142">
        <f t="shared" si="172"/>
        <v>0</v>
      </c>
      <c r="O734" s="59">
        <f t="shared" si="173"/>
        <v>0</v>
      </c>
      <c r="P734" s="142">
        <f t="shared" si="174"/>
        <v>0</v>
      </c>
      <c r="Q734" s="142">
        <f t="shared" si="175"/>
        <v>0</v>
      </c>
      <c r="R734" s="142">
        <f t="shared" si="176"/>
        <v>0</v>
      </c>
      <c r="S734" s="142">
        <f t="shared" si="177"/>
        <v>0</v>
      </c>
      <c r="T734" s="142">
        <f t="shared" si="178"/>
        <v>1390.65</v>
      </c>
      <c r="U734" s="60">
        <f t="shared" si="179"/>
        <v>1390.65</v>
      </c>
    </row>
    <row r="735" spans="1:21" x14ac:dyDescent="0.2">
      <c r="A735" s="115"/>
      <c r="B735" s="139" t="s">
        <v>306</v>
      </c>
      <c r="C735" s="140" t="s">
        <v>261</v>
      </c>
      <c r="D735" s="141">
        <v>45306</v>
      </c>
      <c r="E735" s="141">
        <v>46402</v>
      </c>
      <c r="F735" s="57">
        <v>1390.65</v>
      </c>
      <c r="G735" s="58">
        <f t="shared" si="165"/>
        <v>380</v>
      </c>
      <c r="H735" s="142">
        <f t="shared" si="166"/>
        <v>0</v>
      </c>
      <c r="I735" s="142">
        <f t="shared" si="167"/>
        <v>0</v>
      </c>
      <c r="J735" s="143">
        <f t="shared" si="168"/>
        <v>0</v>
      </c>
      <c r="K735" s="143">
        <f t="shared" si="169"/>
        <v>0</v>
      </c>
      <c r="L735" s="142">
        <f t="shared" si="170"/>
        <v>0</v>
      </c>
      <c r="M735" s="142">
        <f t="shared" si="171"/>
        <v>0</v>
      </c>
      <c r="N735" s="142">
        <f t="shared" si="172"/>
        <v>0</v>
      </c>
      <c r="O735" s="59">
        <f t="shared" si="173"/>
        <v>0</v>
      </c>
      <c r="P735" s="142">
        <f t="shared" si="174"/>
        <v>0</v>
      </c>
      <c r="Q735" s="142">
        <f t="shared" si="175"/>
        <v>0</v>
      </c>
      <c r="R735" s="142">
        <f t="shared" si="176"/>
        <v>0</v>
      </c>
      <c r="S735" s="142">
        <f t="shared" si="177"/>
        <v>0</v>
      </c>
      <c r="T735" s="142">
        <f t="shared" si="178"/>
        <v>1390.65</v>
      </c>
      <c r="U735" s="60">
        <f t="shared" si="179"/>
        <v>1390.65</v>
      </c>
    </row>
    <row r="736" spans="1:21" x14ac:dyDescent="0.2">
      <c r="A736" s="115"/>
      <c r="B736" s="139" t="s">
        <v>306</v>
      </c>
      <c r="C736" s="140" t="s">
        <v>261</v>
      </c>
      <c r="D736" s="141">
        <v>45306</v>
      </c>
      <c r="E736" s="141">
        <v>46433</v>
      </c>
      <c r="F736" s="57">
        <v>1390.65</v>
      </c>
      <c r="G736" s="58">
        <f t="shared" si="165"/>
        <v>411</v>
      </c>
      <c r="H736" s="142">
        <f t="shared" si="166"/>
        <v>0</v>
      </c>
      <c r="I736" s="142">
        <f t="shared" si="167"/>
        <v>0</v>
      </c>
      <c r="J736" s="143">
        <f t="shared" si="168"/>
        <v>0</v>
      </c>
      <c r="K736" s="143">
        <f t="shared" si="169"/>
        <v>0</v>
      </c>
      <c r="L736" s="142">
        <f t="shared" si="170"/>
        <v>0</v>
      </c>
      <c r="M736" s="142">
        <f t="shared" si="171"/>
        <v>0</v>
      </c>
      <c r="N736" s="142">
        <f t="shared" si="172"/>
        <v>0</v>
      </c>
      <c r="O736" s="59">
        <f t="shared" si="173"/>
        <v>0</v>
      </c>
      <c r="P736" s="142">
        <f t="shared" si="174"/>
        <v>0</v>
      </c>
      <c r="Q736" s="142">
        <f t="shared" si="175"/>
        <v>0</v>
      </c>
      <c r="R736" s="142">
        <f t="shared" si="176"/>
        <v>0</v>
      </c>
      <c r="S736" s="142">
        <f t="shared" si="177"/>
        <v>0</v>
      </c>
      <c r="T736" s="142">
        <f t="shared" si="178"/>
        <v>1390.65</v>
      </c>
      <c r="U736" s="60">
        <f t="shared" si="179"/>
        <v>1390.65</v>
      </c>
    </row>
    <row r="737" spans="1:21" x14ac:dyDescent="0.2">
      <c r="A737" s="115"/>
      <c r="B737" s="139" t="s">
        <v>306</v>
      </c>
      <c r="C737" s="140" t="s">
        <v>261</v>
      </c>
      <c r="D737" s="141">
        <v>45306</v>
      </c>
      <c r="E737" s="141">
        <v>46461</v>
      </c>
      <c r="F737" s="57">
        <v>1390.65</v>
      </c>
      <c r="G737" s="58">
        <f t="shared" si="165"/>
        <v>439</v>
      </c>
      <c r="H737" s="142">
        <f t="shared" si="166"/>
        <v>0</v>
      </c>
      <c r="I737" s="142">
        <f t="shared" si="167"/>
        <v>0</v>
      </c>
      <c r="J737" s="143">
        <f t="shared" si="168"/>
        <v>0</v>
      </c>
      <c r="K737" s="143">
        <f t="shared" si="169"/>
        <v>0</v>
      </c>
      <c r="L737" s="142">
        <f t="shared" si="170"/>
        <v>0</v>
      </c>
      <c r="M737" s="142">
        <f t="shared" si="171"/>
        <v>0</v>
      </c>
      <c r="N737" s="142">
        <f t="shared" si="172"/>
        <v>0</v>
      </c>
      <c r="O737" s="59">
        <f t="shared" si="173"/>
        <v>0</v>
      </c>
      <c r="P737" s="142">
        <f t="shared" si="174"/>
        <v>0</v>
      </c>
      <c r="Q737" s="142">
        <f t="shared" si="175"/>
        <v>0</v>
      </c>
      <c r="R737" s="142">
        <f t="shared" si="176"/>
        <v>0</v>
      </c>
      <c r="S737" s="142">
        <f t="shared" si="177"/>
        <v>0</v>
      </c>
      <c r="T737" s="142">
        <f t="shared" si="178"/>
        <v>1390.65</v>
      </c>
      <c r="U737" s="60">
        <f t="shared" si="179"/>
        <v>1390.65</v>
      </c>
    </row>
    <row r="738" spans="1:21" x14ac:dyDescent="0.2">
      <c r="A738" s="115"/>
      <c r="B738" s="139" t="s">
        <v>306</v>
      </c>
      <c r="C738" s="140" t="s">
        <v>261</v>
      </c>
      <c r="D738" s="141">
        <v>45306</v>
      </c>
      <c r="E738" s="141">
        <v>46492</v>
      </c>
      <c r="F738" s="57">
        <v>1390.65</v>
      </c>
      <c r="G738" s="58">
        <f t="shared" si="165"/>
        <v>470</v>
      </c>
      <c r="H738" s="142">
        <f t="shared" si="166"/>
        <v>0</v>
      </c>
      <c r="I738" s="142">
        <f t="shared" si="167"/>
        <v>0</v>
      </c>
      <c r="J738" s="143">
        <f t="shared" si="168"/>
        <v>0</v>
      </c>
      <c r="K738" s="143">
        <f t="shared" si="169"/>
        <v>0</v>
      </c>
      <c r="L738" s="142">
        <f t="shared" si="170"/>
        <v>0</v>
      </c>
      <c r="M738" s="142">
        <f t="shared" si="171"/>
        <v>0</v>
      </c>
      <c r="N738" s="142">
        <f t="shared" si="172"/>
        <v>0</v>
      </c>
      <c r="O738" s="59">
        <f t="shared" si="173"/>
        <v>0</v>
      </c>
      <c r="P738" s="142">
        <f t="shared" si="174"/>
        <v>0</v>
      </c>
      <c r="Q738" s="142">
        <f t="shared" si="175"/>
        <v>0</v>
      </c>
      <c r="R738" s="142">
        <f t="shared" si="176"/>
        <v>0</v>
      </c>
      <c r="S738" s="142">
        <f t="shared" si="177"/>
        <v>0</v>
      </c>
      <c r="T738" s="142">
        <f t="shared" si="178"/>
        <v>1390.65</v>
      </c>
      <c r="U738" s="60">
        <f t="shared" si="179"/>
        <v>1390.65</v>
      </c>
    </row>
    <row r="739" spans="1:21" x14ac:dyDescent="0.2">
      <c r="A739" s="115"/>
      <c r="B739" s="139" t="s">
        <v>306</v>
      </c>
      <c r="C739" s="140" t="s">
        <v>261</v>
      </c>
      <c r="D739" s="141">
        <v>45306</v>
      </c>
      <c r="E739" s="141">
        <v>46522</v>
      </c>
      <c r="F739" s="57">
        <v>1390.65</v>
      </c>
      <c r="G739" s="58">
        <f t="shared" si="165"/>
        <v>500</v>
      </c>
      <c r="H739" s="142">
        <f t="shared" si="166"/>
        <v>0</v>
      </c>
      <c r="I739" s="142">
        <f t="shared" si="167"/>
        <v>0</v>
      </c>
      <c r="J739" s="143">
        <f t="shared" si="168"/>
        <v>0</v>
      </c>
      <c r="K739" s="143">
        <f t="shared" si="169"/>
        <v>0</v>
      </c>
      <c r="L739" s="142">
        <f t="shared" si="170"/>
        <v>0</v>
      </c>
      <c r="M739" s="142">
        <f t="shared" si="171"/>
        <v>0</v>
      </c>
      <c r="N739" s="142">
        <f t="shared" si="172"/>
        <v>0</v>
      </c>
      <c r="O739" s="59">
        <f t="shared" si="173"/>
        <v>0</v>
      </c>
      <c r="P739" s="142">
        <f t="shared" si="174"/>
        <v>0</v>
      </c>
      <c r="Q739" s="142">
        <f t="shared" si="175"/>
        <v>0</v>
      </c>
      <c r="R739" s="142">
        <f t="shared" si="176"/>
        <v>0</v>
      </c>
      <c r="S739" s="142">
        <f t="shared" si="177"/>
        <v>0</v>
      </c>
      <c r="T739" s="142">
        <f t="shared" si="178"/>
        <v>1390.65</v>
      </c>
      <c r="U739" s="60">
        <f t="shared" si="179"/>
        <v>1390.65</v>
      </c>
    </row>
    <row r="740" spans="1:21" x14ac:dyDescent="0.2">
      <c r="A740" s="115"/>
      <c r="B740" s="139" t="s">
        <v>306</v>
      </c>
      <c r="C740" s="140" t="s">
        <v>261</v>
      </c>
      <c r="D740" s="141">
        <v>45306</v>
      </c>
      <c r="E740" s="141">
        <v>46553</v>
      </c>
      <c r="F740" s="57">
        <v>1390.65</v>
      </c>
      <c r="G740" s="58">
        <f t="shared" si="165"/>
        <v>531</v>
      </c>
      <c r="H740" s="142">
        <f t="shared" si="166"/>
        <v>0</v>
      </c>
      <c r="I740" s="142">
        <f t="shared" si="167"/>
        <v>0</v>
      </c>
      <c r="J740" s="143">
        <f t="shared" si="168"/>
        <v>0</v>
      </c>
      <c r="K740" s="143">
        <f t="shared" si="169"/>
        <v>0</v>
      </c>
      <c r="L740" s="142">
        <f t="shared" si="170"/>
        <v>0</v>
      </c>
      <c r="M740" s="142">
        <f t="shared" si="171"/>
        <v>0</v>
      </c>
      <c r="N740" s="142">
        <f t="shared" si="172"/>
        <v>0</v>
      </c>
      <c r="O740" s="59">
        <f t="shared" si="173"/>
        <v>0</v>
      </c>
      <c r="P740" s="142">
        <f t="shared" si="174"/>
        <v>0</v>
      </c>
      <c r="Q740" s="142">
        <f t="shared" si="175"/>
        <v>0</v>
      </c>
      <c r="R740" s="142">
        <f t="shared" si="176"/>
        <v>0</v>
      </c>
      <c r="S740" s="142">
        <f t="shared" si="177"/>
        <v>0</v>
      </c>
      <c r="T740" s="142">
        <f t="shared" si="178"/>
        <v>1390.65</v>
      </c>
      <c r="U740" s="60">
        <f t="shared" si="179"/>
        <v>1390.65</v>
      </c>
    </row>
    <row r="741" spans="1:21" x14ac:dyDescent="0.2">
      <c r="A741" s="115"/>
      <c r="B741" s="139" t="s">
        <v>306</v>
      </c>
      <c r="C741" s="140" t="s">
        <v>261</v>
      </c>
      <c r="D741" s="141">
        <v>45306</v>
      </c>
      <c r="E741" s="141">
        <v>46583</v>
      </c>
      <c r="F741" s="57">
        <v>1390.65</v>
      </c>
      <c r="G741" s="58">
        <f t="shared" si="165"/>
        <v>561</v>
      </c>
      <c r="H741" s="142">
        <f t="shared" si="166"/>
        <v>0</v>
      </c>
      <c r="I741" s="142">
        <f t="shared" si="167"/>
        <v>0</v>
      </c>
      <c r="J741" s="143">
        <f t="shared" si="168"/>
        <v>0</v>
      </c>
      <c r="K741" s="143">
        <f t="shared" si="169"/>
        <v>0</v>
      </c>
      <c r="L741" s="142">
        <f t="shared" si="170"/>
        <v>0</v>
      </c>
      <c r="M741" s="142">
        <f t="shared" si="171"/>
        <v>0</v>
      </c>
      <c r="N741" s="142">
        <f t="shared" si="172"/>
        <v>0</v>
      </c>
      <c r="O741" s="59">
        <f t="shared" si="173"/>
        <v>0</v>
      </c>
      <c r="P741" s="142">
        <f t="shared" si="174"/>
        <v>0</v>
      </c>
      <c r="Q741" s="142">
        <f t="shared" si="175"/>
        <v>0</v>
      </c>
      <c r="R741" s="142">
        <f t="shared" si="176"/>
        <v>0</v>
      </c>
      <c r="S741" s="142">
        <f t="shared" si="177"/>
        <v>0</v>
      </c>
      <c r="T741" s="142">
        <f t="shared" si="178"/>
        <v>1390.65</v>
      </c>
      <c r="U741" s="60">
        <f t="shared" si="179"/>
        <v>1390.65</v>
      </c>
    </row>
    <row r="742" spans="1:21" x14ac:dyDescent="0.2">
      <c r="A742" s="115"/>
      <c r="B742" s="139" t="s">
        <v>306</v>
      </c>
      <c r="C742" s="140" t="s">
        <v>261</v>
      </c>
      <c r="D742" s="141">
        <v>45306</v>
      </c>
      <c r="E742" s="141">
        <v>46614</v>
      </c>
      <c r="F742" s="57">
        <v>1390.65</v>
      </c>
      <c r="G742" s="58">
        <f t="shared" si="165"/>
        <v>592</v>
      </c>
      <c r="H742" s="142">
        <f t="shared" si="166"/>
        <v>0</v>
      </c>
      <c r="I742" s="142">
        <f t="shared" si="167"/>
        <v>0</v>
      </c>
      <c r="J742" s="143">
        <f t="shared" si="168"/>
        <v>0</v>
      </c>
      <c r="K742" s="143">
        <f t="shared" si="169"/>
        <v>0</v>
      </c>
      <c r="L742" s="142">
        <f t="shared" si="170"/>
        <v>0</v>
      </c>
      <c r="M742" s="142">
        <f t="shared" si="171"/>
        <v>0</v>
      </c>
      <c r="N742" s="142">
        <f t="shared" si="172"/>
        <v>0</v>
      </c>
      <c r="O742" s="59">
        <f t="shared" si="173"/>
        <v>0</v>
      </c>
      <c r="P742" s="142">
        <f t="shared" si="174"/>
        <v>0</v>
      </c>
      <c r="Q742" s="142">
        <f t="shared" si="175"/>
        <v>0</v>
      </c>
      <c r="R742" s="142">
        <f t="shared" si="176"/>
        <v>0</v>
      </c>
      <c r="S742" s="142">
        <f t="shared" si="177"/>
        <v>0</v>
      </c>
      <c r="T742" s="142">
        <f t="shared" si="178"/>
        <v>1390.65</v>
      </c>
      <c r="U742" s="60">
        <f t="shared" si="179"/>
        <v>1390.65</v>
      </c>
    </row>
    <row r="743" spans="1:21" x14ac:dyDescent="0.2">
      <c r="A743" s="115"/>
      <c r="B743" s="139" t="s">
        <v>306</v>
      </c>
      <c r="C743" s="140" t="s">
        <v>261</v>
      </c>
      <c r="D743" s="141">
        <v>45306</v>
      </c>
      <c r="E743" s="141">
        <v>46645</v>
      </c>
      <c r="F743" s="57">
        <v>1390.65</v>
      </c>
      <c r="G743" s="58">
        <f t="shared" si="165"/>
        <v>623</v>
      </c>
      <c r="H743" s="142">
        <f t="shared" si="166"/>
        <v>0</v>
      </c>
      <c r="I743" s="142">
        <f t="shared" si="167"/>
        <v>0</v>
      </c>
      <c r="J743" s="143">
        <f t="shared" si="168"/>
        <v>0</v>
      </c>
      <c r="K743" s="143">
        <f t="shared" si="169"/>
        <v>0</v>
      </c>
      <c r="L743" s="142">
        <f t="shared" si="170"/>
        <v>0</v>
      </c>
      <c r="M743" s="142">
        <f t="shared" si="171"/>
        <v>0</v>
      </c>
      <c r="N743" s="142">
        <f t="shared" si="172"/>
        <v>0</v>
      </c>
      <c r="O743" s="59">
        <f t="shared" si="173"/>
        <v>0</v>
      </c>
      <c r="P743" s="142">
        <f t="shared" si="174"/>
        <v>0</v>
      </c>
      <c r="Q743" s="142">
        <f t="shared" si="175"/>
        <v>0</v>
      </c>
      <c r="R743" s="142">
        <f t="shared" si="176"/>
        <v>0</v>
      </c>
      <c r="S743" s="142">
        <f t="shared" si="177"/>
        <v>0</v>
      </c>
      <c r="T743" s="142">
        <f t="shared" si="178"/>
        <v>1390.65</v>
      </c>
      <c r="U743" s="60">
        <f t="shared" si="179"/>
        <v>1390.65</v>
      </c>
    </row>
    <row r="744" spans="1:21" x14ac:dyDescent="0.2">
      <c r="A744" s="115"/>
      <c r="B744" s="139" t="s">
        <v>306</v>
      </c>
      <c r="C744" s="140" t="s">
        <v>261</v>
      </c>
      <c r="D744" s="141">
        <v>45306</v>
      </c>
      <c r="E744" s="141">
        <v>46675</v>
      </c>
      <c r="F744" s="57">
        <v>1390.65</v>
      </c>
      <c r="G744" s="58">
        <f t="shared" si="165"/>
        <v>653</v>
      </c>
      <c r="H744" s="142">
        <f t="shared" si="166"/>
        <v>0</v>
      </c>
      <c r="I744" s="142">
        <f t="shared" si="167"/>
        <v>0</v>
      </c>
      <c r="J744" s="143">
        <f t="shared" si="168"/>
        <v>0</v>
      </c>
      <c r="K744" s="143">
        <f t="shared" si="169"/>
        <v>0</v>
      </c>
      <c r="L744" s="142">
        <f t="shared" si="170"/>
        <v>0</v>
      </c>
      <c r="M744" s="142">
        <f t="shared" si="171"/>
        <v>0</v>
      </c>
      <c r="N744" s="142">
        <f t="shared" si="172"/>
        <v>0</v>
      </c>
      <c r="O744" s="59">
        <f t="shared" si="173"/>
        <v>0</v>
      </c>
      <c r="P744" s="142">
        <f t="shared" si="174"/>
        <v>0</v>
      </c>
      <c r="Q744" s="142">
        <f t="shared" si="175"/>
        <v>0</v>
      </c>
      <c r="R744" s="142">
        <f t="shared" si="176"/>
        <v>0</v>
      </c>
      <c r="S744" s="142">
        <f t="shared" si="177"/>
        <v>0</v>
      </c>
      <c r="T744" s="142">
        <f t="shared" si="178"/>
        <v>1390.65</v>
      </c>
      <c r="U744" s="60">
        <f t="shared" si="179"/>
        <v>1390.65</v>
      </c>
    </row>
    <row r="745" spans="1:21" x14ac:dyDescent="0.2">
      <c r="A745" s="115"/>
      <c r="B745" s="139" t="s">
        <v>306</v>
      </c>
      <c r="C745" s="140" t="s">
        <v>261</v>
      </c>
      <c r="D745" s="141">
        <v>45306</v>
      </c>
      <c r="E745" s="141">
        <v>46706</v>
      </c>
      <c r="F745" s="57">
        <v>1390.65</v>
      </c>
      <c r="G745" s="58">
        <f t="shared" si="165"/>
        <v>684</v>
      </c>
      <c r="H745" s="142">
        <f t="shared" si="166"/>
        <v>0</v>
      </c>
      <c r="I745" s="142">
        <f t="shared" si="167"/>
        <v>0</v>
      </c>
      <c r="J745" s="143">
        <f t="shared" si="168"/>
        <v>0</v>
      </c>
      <c r="K745" s="143">
        <f t="shared" si="169"/>
        <v>0</v>
      </c>
      <c r="L745" s="142">
        <f t="shared" si="170"/>
        <v>0</v>
      </c>
      <c r="M745" s="142">
        <f t="shared" si="171"/>
        <v>0</v>
      </c>
      <c r="N745" s="142">
        <f t="shared" si="172"/>
        <v>0</v>
      </c>
      <c r="O745" s="59">
        <f t="shared" si="173"/>
        <v>0</v>
      </c>
      <c r="P745" s="142">
        <f t="shared" si="174"/>
        <v>0</v>
      </c>
      <c r="Q745" s="142">
        <f t="shared" si="175"/>
        <v>0</v>
      </c>
      <c r="R745" s="142">
        <f t="shared" si="176"/>
        <v>0</v>
      </c>
      <c r="S745" s="142">
        <f t="shared" si="177"/>
        <v>0</v>
      </c>
      <c r="T745" s="142">
        <f t="shared" si="178"/>
        <v>1390.65</v>
      </c>
      <c r="U745" s="60">
        <f t="shared" si="179"/>
        <v>1390.65</v>
      </c>
    </row>
    <row r="746" spans="1:21" x14ac:dyDescent="0.2">
      <c r="A746" s="115"/>
      <c r="B746" s="139" t="s">
        <v>306</v>
      </c>
      <c r="C746" s="140" t="s">
        <v>261</v>
      </c>
      <c r="D746" s="141">
        <v>45306</v>
      </c>
      <c r="E746" s="141">
        <v>46736</v>
      </c>
      <c r="F746" s="57">
        <v>1390.65</v>
      </c>
      <c r="G746" s="58">
        <f t="shared" si="165"/>
        <v>714</v>
      </c>
      <c r="H746" s="142">
        <f t="shared" si="166"/>
        <v>0</v>
      </c>
      <c r="I746" s="142">
        <f t="shared" si="167"/>
        <v>0</v>
      </c>
      <c r="J746" s="143">
        <f t="shared" si="168"/>
        <v>0</v>
      </c>
      <c r="K746" s="143">
        <f t="shared" si="169"/>
        <v>0</v>
      </c>
      <c r="L746" s="142">
        <f t="shared" si="170"/>
        <v>0</v>
      </c>
      <c r="M746" s="142">
        <f t="shared" si="171"/>
        <v>0</v>
      </c>
      <c r="N746" s="142">
        <f t="shared" si="172"/>
        <v>0</v>
      </c>
      <c r="O746" s="59">
        <f t="shared" si="173"/>
        <v>0</v>
      </c>
      <c r="P746" s="142">
        <f t="shared" si="174"/>
        <v>0</v>
      </c>
      <c r="Q746" s="142">
        <f t="shared" si="175"/>
        <v>0</v>
      </c>
      <c r="R746" s="142">
        <f t="shared" si="176"/>
        <v>0</v>
      </c>
      <c r="S746" s="142">
        <f t="shared" si="177"/>
        <v>0</v>
      </c>
      <c r="T746" s="142">
        <f t="shared" si="178"/>
        <v>1390.65</v>
      </c>
      <c r="U746" s="60">
        <f t="shared" si="179"/>
        <v>1390.65</v>
      </c>
    </row>
    <row r="747" spans="1:21" x14ac:dyDescent="0.2">
      <c r="A747" s="115"/>
      <c r="B747" s="139" t="s">
        <v>306</v>
      </c>
      <c r="C747" s="140" t="s">
        <v>261</v>
      </c>
      <c r="D747" s="141">
        <v>45306</v>
      </c>
      <c r="E747" s="141">
        <v>46767</v>
      </c>
      <c r="F747" s="57">
        <v>1390.65</v>
      </c>
      <c r="G747" s="58">
        <f t="shared" si="165"/>
        <v>745</v>
      </c>
      <c r="H747" s="142">
        <f t="shared" si="166"/>
        <v>0</v>
      </c>
      <c r="I747" s="142">
        <f t="shared" si="167"/>
        <v>0</v>
      </c>
      <c r="J747" s="143">
        <f t="shared" si="168"/>
        <v>0</v>
      </c>
      <c r="K747" s="143">
        <f t="shared" si="169"/>
        <v>0</v>
      </c>
      <c r="L747" s="142">
        <f t="shared" si="170"/>
        <v>0</v>
      </c>
      <c r="M747" s="142">
        <f t="shared" si="171"/>
        <v>0</v>
      </c>
      <c r="N747" s="142">
        <f t="shared" si="172"/>
        <v>0</v>
      </c>
      <c r="O747" s="59">
        <f t="shared" si="173"/>
        <v>0</v>
      </c>
      <c r="P747" s="142">
        <f t="shared" si="174"/>
        <v>0</v>
      </c>
      <c r="Q747" s="142">
        <f t="shared" si="175"/>
        <v>0</v>
      </c>
      <c r="R747" s="142">
        <f t="shared" si="176"/>
        <v>0</v>
      </c>
      <c r="S747" s="142">
        <f t="shared" si="177"/>
        <v>0</v>
      </c>
      <c r="T747" s="142">
        <f t="shared" si="178"/>
        <v>1390.65</v>
      </c>
      <c r="U747" s="60">
        <f t="shared" si="179"/>
        <v>1390.65</v>
      </c>
    </row>
    <row r="748" spans="1:21" x14ac:dyDescent="0.2">
      <c r="A748" s="115"/>
      <c r="B748" s="139" t="s">
        <v>306</v>
      </c>
      <c r="C748" s="140" t="s">
        <v>261</v>
      </c>
      <c r="D748" s="141">
        <v>45306</v>
      </c>
      <c r="E748" s="141">
        <v>46798</v>
      </c>
      <c r="F748" s="57">
        <v>1390.65</v>
      </c>
      <c r="G748" s="58">
        <f t="shared" si="165"/>
        <v>776</v>
      </c>
      <c r="H748" s="142">
        <f t="shared" si="166"/>
        <v>0</v>
      </c>
      <c r="I748" s="142">
        <f t="shared" si="167"/>
        <v>0</v>
      </c>
      <c r="J748" s="143">
        <f t="shared" si="168"/>
        <v>0</v>
      </c>
      <c r="K748" s="143">
        <f t="shared" si="169"/>
        <v>0</v>
      </c>
      <c r="L748" s="142">
        <f t="shared" si="170"/>
        <v>0</v>
      </c>
      <c r="M748" s="142">
        <f t="shared" si="171"/>
        <v>0</v>
      </c>
      <c r="N748" s="142">
        <f t="shared" si="172"/>
        <v>0</v>
      </c>
      <c r="O748" s="59">
        <f t="shared" si="173"/>
        <v>0</v>
      </c>
      <c r="P748" s="142">
        <f t="shared" si="174"/>
        <v>0</v>
      </c>
      <c r="Q748" s="142">
        <f t="shared" si="175"/>
        <v>0</v>
      </c>
      <c r="R748" s="142">
        <f t="shared" si="176"/>
        <v>0</v>
      </c>
      <c r="S748" s="142">
        <f t="shared" si="177"/>
        <v>0</v>
      </c>
      <c r="T748" s="142">
        <f t="shared" si="178"/>
        <v>1390.65</v>
      </c>
      <c r="U748" s="60">
        <f t="shared" si="179"/>
        <v>1390.65</v>
      </c>
    </row>
    <row r="749" spans="1:21" x14ac:dyDescent="0.2">
      <c r="A749" s="115"/>
      <c r="B749" s="139" t="s">
        <v>306</v>
      </c>
      <c r="C749" s="140" t="s">
        <v>261</v>
      </c>
      <c r="D749" s="141">
        <v>45306</v>
      </c>
      <c r="E749" s="141">
        <v>46827</v>
      </c>
      <c r="F749" s="57">
        <v>1390.65</v>
      </c>
      <c r="G749" s="58">
        <f t="shared" si="165"/>
        <v>805</v>
      </c>
      <c r="H749" s="142">
        <f t="shared" si="166"/>
        <v>0</v>
      </c>
      <c r="I749" s="142">
        <f t="shared" si="167"/>
        <v>0</v>
      </c>
      <c r="J749" s="143">
        <f t="shared" si="168"/>
        <v>0</v>
      </c>
      <c r="K749" s="143">
        <f t="shared" si="169"/>
        <v>0</v>
      </c>
      <c r="L749" s="142">
        <f t="shared" si="170"/>
        <v>0</v>
      </c>
      <c r="M749" s="142">
        <f t="shared" si="171"/>
        <v>0</v>
      </c>
      <c r="N749" s="142">
        <f t="shared" si="172"/>
        <v>0</v>
      </c>
      <c r="O749" s="59">
        <f t="shared" si="173"/>
        <v>0</v>
      </c>
      <c r="P749" s="142">
        <f t="shared" si="174"/>
        <v>0</v>
      </c>
      <c r="Q749" s="142">
        <f t="shared" si="175"/>
        <v>0</v>
      </c>
      <c r="R749" s="142">
        <f t="shared" si="176"/>
        <v>0</v>
      </c>
      <c r="S749" s="142">
        <f t="shared" si="177"/>
        <v>0</v>
      </c>
      <c r="T749" s="142">
        <f t="shared" si="178"/>
        <v>1390.65</v>
      </c>
      <c r="U749" s="60">
        <f t="shared" si="179"/>
        <v>1390.65</v>
      </c>
    </row>
    <row r="750" spans="1:21" x14ac:dyDescent="0.2">
      <c r="A750" s="115"/>
      <c r="B750" s="139" t="s">
        <v>306</v>
      </c>
      <c r="C750" s="140" t="s">
        <v>261</v>
      </c>
      <c r="D750" s="141">
        <v>45306</v>
      </c>
      <c r="E750" s="141">
        <v>46858</v>
      </c>
      <c r="F750" s="57">
        <v>1390.65</v>
      </c>
      <c r="G750" s="58">
        <f t="shared" si="165"/>
        <v>836</v>
      </c>
      <c r="H750" s="142">
        <f t="shared" si="166"/>
        <v>0</v>
      </c>
      <c r="I750" s="142">
        <f t="shared" si="167"/>
        <v>0</v>
      </c>
      <c r="J750" s="143">
        <f t="shared" si="168"/>
        <v>0</v>
      </c>
      <c r="K750" s="143">
        <f t="shared" si="169"/>
        <v>0</v>
      </c>
      <c r="L750" s="142">
        <f t="shared" si="170"/>
        <v>0</v>
      </c>
      <c r="M750" s="142">
        <f t="shared" si="171"/>
        <v>0</v>
      </c>
      <c r="N750" s="142">
        <f t="shared" si="172"/>
        <v>0</v>
      </c>
      <c r="O750" s="59">
        <f t="shared" si="173"/>
        <v>0</v>
      </c>
      <c r="P750" s="142">
        <f t="shared" si="174"/>
        <v>0</v>
      </c>
      <c r="Q750" s="142">
        <f t="shared" si="175"/>
        <v>0</v>
      </c>
      <c r="R750" s="142">
        <f t="shared" si="176"/>
        <v>0</v>
      </c>
      <c r="S750" s="142">
        <f t="shared" si="177"/>
        <v>0</v>
      </c>
      <c r="T750" s="142">
        <f t="shared" si="178"/>
        <v>1390.65</v>
      </c>
      <c r="U750" s="60">
        <f t="shared" si="179"/>
        <v>1390.65</v>
      </c>
    </row>
    <row r="751" spans="1:21" x14ac:dyDescent="0.2">
      <c r="A751" s="115"/>
      <c r="B751" s="139" t="s">
        <v>306</v>
      </c>
      <c r="C751" s="140" t="s">
        <v>261</v>
      </c>
      <c r="D751" s="141">
        <v>45306</v>
      </c>
      <c r="E751" s="141">
        <v>46888</v>
      </c>
      <c r="F751" s="57">
        <v>1390.65</v>
      </c>
      <c r="G751" s="58">
        <f t="shared" si="165"/>
        <v>866</v>
      </c>
      <c r="H751" s="142">
        <f t="shared" si="166"/>
        <v>0</v>
      </c>
      <c r="I751" s="142">
        <f t="shared" si="167"/>
        <v>0</v>
      </c>
      <c r="J751" s="143">
        <f t="shared" si="168"/>
        <v>0</v>
      </c>
      <c r="K751" s="143">
        <f t="shared" si="169"/>
        <v>0</v>
      </c>
      <c r="L751" s="142">
        <f t="shared" si="170"/>
        <v>0</v>
      </c>
      <c r="M751" s="142">
        <f t="shared" si="171"/>
        <v>0</v>
      </c>
      <c r="N751" s="142">
        <f t="shared" si="172"/>
        <v>0</v>
      </c>
      <c r="O751" s="59">
        <f t="shared" si="173"/>
        <v>0</v>
      </c>
      <c r="P751" s="142">
        <f t="shared" si="174"/>
        <v>0</v>
      </c>
      <c r="Q751" s="142">
        <f t="shared" si="175"/>
        <v>0</v>
      </c>
      <c r="R751" s="142">
        <f t="shared" si="176"/>
        <v>0</v>
      </c>
      <c r="S751" s="142">
        <f t="shared" si="177"/>
        <v>0</v>
      </c>
      <c r="T751" s="142">
        <f t="shared" si="178"/>
        <v>1390.65</v>
      </c>
      <c r="U751" s="60">
        <f t="shared" si="179"/>
        <v>1390.65</v>
      </c>
    </row>
    <row r="752" spans="1:21" x14ac:dyDescent="0.2">
      <c r="A752" s="115"/>
      <c r="B752" s="139" t="s">
        <v>306</v>
      </c>
      <c r="C752" s="140" t="s">
        <v>261</v>
      </c>
      <c r="D752" s="141">
        <v>45306</v>
      </c>
      <c r="E752" s="141">
        <v>46919</v>
      </c>
      <c r="F752" s="57">
        <v>1390.65</v>
      </c>
      <c r="G752" s="58">
        <f t="shared" si="165"/>
        <v>897</v>
      </c>
      <c r="H752" s="142">
        <f t="shared" si="166"/>
        <v>0</v>
      </c>
      <c r="I752" s="142">
        <f t="shared" si="167"/>
        <v>0</v>
      </c>
      <c r="J752" s="143">
        <f t="shared" si="168"/>
        <v>0</v>
      </c>
      <c r="K752" s="143">
        <f t="shared" si="169"/>
        <v>0</v>
      </c>
      <c r="L752" s="142">
        <f t="shared" si="170"/>
        <v>0</v>
      </c>
      <c r="M752" s="142">
        <f t="shared" si="171"/>
        <v>0</v>
      </c>
      <c r="N752" s="142">
        <f t="shared" si="172"/>
        <v>0</v>
      </c>
      <c r="O752" s="59">
        <f t="shared" si="173"/>
        <v>0</v>
      </c>
      <c r="P752" s="142">
        <f t="shared" si="174"/>
        <v>0</v>
      </c>
      <c r="Q752" s="142">
        <f t="shared" si="175"/>
        <v>0</v>
      </c>
      <c r="R752" s="142">
        <f t="shared" si="176"/>
        <v>0</v>
      </c>
      <c r="S752" s="142">
        <f t="shared" si="177"/>
        <v>0</v>
      </c>
      <c r="T752" s="142">
        <f t="shared" si="178"/>
        <v>1390.65</v>
      </c>
      <c r="U752" s="60">
        <f t="shared" si="179"/>
        <v>1390.65</v>
      </c>
    </row>
    <row r="753" spans="1:21" x14ac:dyDescent="0.2">
      <c r="A753" s="115"/>
      <c r="B753" s="139" t="s">
        <v>306</v>
      </c>
      <c r="C753" s="140" t="s">
        <v>261</v>
      </c>
      <c r="D753" s="141">
        <v>45306</v>
      </c>
      <c r="E753" s="141">
        <v>46949</v>
      </c>
      <c r="F753" s="57">
        <v>1390.65</v>
      </c>
      <c r="G753" s="58">
        <f t="shared" si="165"/>
        <v>927</v>
      </c>
      <c r="H753" s="142">
        <f t="shared" si="166"/>
        <v>0</v>
      </c>
      <c r="I753" s="142">
        <f t="shared" si="167"/>
        <v>0</v>
      </c>
      <c r="J753" s="143">
        <f t="shared" si="168"/>
        <v>0</v>
      </c>
      <c r="K753" s="143">
        <f t="shared" si="169"/>
        <v>0</v>
      </c>
      <c r="L753" s="142">
        <f t="shared" si="170"/>
        <v>0</v>
      </c>
      <c r="M753" s="142">
        <f t="shared" si="171"/>
        <v>0</v>
      </c>
      <c r="N753" s="142">
        <f t="shared" si="172"/>
        <v>0</v>
      </c>
      <c r="O753" s="59">
        <f t="shared" si="173"/>
        <v>0</v>
      </c>
      <c r="P753" s="142">
        <f t="shared" si="174"/>
        <v>0</v>
      </c>
      <c r="Q753" s="142">
        <f t="shared" si="175"/>
        <v>0</v>
      </c>
      <c r="R753" s="142">
        <f t="shared" si="176"/>
        <v>0</v>
      </c>
      <c r="S753" s="142">
        <f t="shared" si="177"/>
        <v>0</v>
      </c>
      <c r="T753" s="142">
        <f t="shared" si="178"/>
        <v>1390.65</v>
      </c>
      <c r="U753" s="60">
        <f t="shared" si="179"/>
        <v>1390.65</v>
      </c>
    </row>
    <row r="754" spans="1:21" x14ac:dyDescent="0.2">
      <c r="A754" s="115"/>
      <c r="B754" s="139" t="s">
        <v>306</v>
      </c>
      <c r="C754" s="140" t="s">
        <v>261</v>
      </c>
      <c r="D754" s="141">
        <v>45306</v>
      </c>
      <c r="E754" s="141">
        <v>46980</v>
      </c>
      <c r="F754" s="57">
        <v>1390.65</v>
      </c>
      <c r="G754" s="58">
        <f t="shared" si="165"/>
        <v>958</v>
      </c>
      <c r="H754" s="142">
        <f t="shared" si="166"/>
        <v>0</v>
      </c>
      <c r="I754" s="142">
        <f t="shared" si="167"/>
        <v>0</v>
      </c>
      <c r="J754" s="143">
        <f t="shared" si="168"/>
        <v>0</v>
      </c>
      <c r="K754" s="143">
        <f t="shared" si="169"/>
        <v>0</v>
      </c>
      <c r="L754" s="142">
        <f t="shared" si="170"/>
        <v>0</v>
      </c>
      <c r="M754" s="142">
        <f t="shared" si="171"/>
        <v>0</v>
      </c>
      <c r="N754" s="142">
        <f t="shared" si="172"/>
        <v>0</v>
      </c>
      <c r="O754" s="59">
        <f t="shared" si="173"/>
        <v>0</v>
      </c>
      <c r="P754" s="142">
        <f t="shared" si="174"/>
        <v>0</v>
      </c>
      <c r="Q754" s="142">
        <f t="shared" si="175"/>
        <v>0</v>
      </c>
      <c r="R754" s="142">
        <f t="shared" si="176"/>
        <v>0</v>
      </c>
      <c r="S754" s="142">
        <f t="shared" si="177"/>
        <v>0</v>
      </c>
      <c r="T754" s="142">
        <f t="shared" si="178"/>
        <v>1390.65</v>
      </c>
      <c r="U754" s="60">
        <f t="shared" si="179"/>
        <v>1390.65</v>
      </c>
    </row>
    <row r="755" spans="1:21" x14ac:dyDescent="0.2">
      <c r="A755" s="115"/>
      <c r="B755" s="139" t="s">
        <v>306</v>
      </c>
      <c r="C755" s="140" t="s">
        <v>261</v>
      </c>
      <c r="D755" s="141">
        <v>45306</v>
      </c>
      <c r="E755" s="141">
        <v>47011</v>
      </c>
      <c r="F755" s="57">
        <v>1390.65</v>
      </c>
      <c r="G755" s="58">
        <f t="shared" si="165"/>
        <v>989</v>
      </c>
      <c r="H755" s="142">
        <f t="shared" si="166"/>
        <v>0</v>
      </c>
      <c r="I755" s="142">
        <f t="shared" si="167"/>
        <v>0</v>
      </c>
      <c r="J755" s="143">
        <f t="shared" si="168"/>
        <v>0</v>
      </c>
      <c r="K755" s="143">
        <f t="shared" si="169"/>
        <v>0</v>
      </c>
      <c r="L755" s="142">
        <f t="shared" si="170"/>
        <v>0</v>
      </c>
      <c r="M755" s="142">
        <f t="shared" si="171"/>
        <v>0</v>
      </c>
      <c r="N755" s="142">
        <f t="shared" si="172"/>
        <v>0</v>
      </c>
      <c r="O755" s="59">
        <f t="shared" si="173"/>
        <v>0</v>
      </c>
      <c r="P755" s="142">
        <f t="shared" si="174"/>
        <v>0</v>
      </c>
      <c r="Q755" s="142">
        <f t="shared" si="175"/>
        <v>0</v>
      </c>
      <c r="R755" s="142">
        <f t="shared" si="176"/>
        <v>0</v>
      </c>
      <c r="S755" s="142">
        <f t="shared" si="177"/>
        <v>0</v>
      </c>
      <c r="T755" s="142">
        <f t="shared" si="178"/>
        <v>1390.65</v>
      </c>
      <c r="U755" s="60">
        <f t="shared" si="179"/>
        <v>1390.65</v>
      </c>
    </row>
    <row r="756" spans="1:21" x14ac:dyDescent="0.2">
      <c r="A756" s="115"/>
      <c r="B756" s="139" t="s">
        <v>306</v>
      </c>
      <c r="C756" s="140" t="s">
        <v>261</v>
      </c>
      <c r="D756" s="141">
        <v>45306</v>
      </c>
      <c r="E756" s="141">
        <v>47041</v>
      </c>
      <c r="F756" s="57">
        <v>1390.65</v>
      </c>
      <c r="G756" s="58">
        <f t="shared" si="165"/>
        <v>1019</v>
      </c>
      <c r="H756" s="142">
        <f t="shared" si="166"/>
        <v>0</v>
      </c>
      <c r="I756" s="142">
        <f t="shared" si="167"/>
        <v>0</v>
      </c>
      <c r="J756" s="143">
        <f t="shared" si="168"/>
        <v>0</v>
      </c>
      <c r="K756" s="143">
        <f t="shared" si="169"/>
        <v>0</v>
      </c>
      <c r="L756" s="142">
        <f t="shared" si="170"/>
        <v>0</v>
      </c>
      <c r="M756" s="142">
        <f t="shared" si="171"/>
        <v>0</v>
      </c>
      <c r="N756" s="142">
        <f t="shared" si="172"/>
        <v>0</v>
      </c>
      <c r="O756" s="59">
        <f t="shared" si="173"/>
        <v>0</v>
      </c>
      <c r="P756" s="142">
        <f t="shared" si="174"/>
        <v>0</v>
      </c>
      <c r="Q756" s="142">
        <f t="shared" si="175"/>
        <v>0</v>
      </c>
      <c r="R756" s="142">
        <f t="shared" si="176"/>
        <v>0</v>
      </c>
      <c r="S756" s="142">
        <f t="shared" si="177"/>
        <v>0</v>
      </c>
      <c r="T756" s="142">
        <f t="shared" si="178"/>
        <v>1390.65</v>
      </c>
      <c r="U756" s="60">
        <f t="shared" si="179"/>
        <v>1390.65</v>
      </c>
    </row>
    <row r="757" spans="1:21" x14ac:dyDescent="0.2">
      <c r="A757" s="115"/>
      <c r="B757" s="139" t="s">
        <v>306</v>
      </c>
      <c r="C757" s="140" t="s">
        <v>261</v>
      </c>
      <c r="D757" s="141">
        <v>45306</v>
      </c>
      <c r="E757" s="141">
        <v>47072</v>
      </c>
      <c r="F757" s="57">
        <v>1390.65</v>
      </c>
      <c r="G757" s="58">
        <f t="shared" si="165"/>
        <v>1050</v>
      </c>
      <c r="H757" s="142">
        <f t="shared" si="166"/>
        <v>0</v>
      </c>
      <c r="I757" s="142">
        <f t="shared" si="167"/>
        <v>0</v>
      </c>
      <c r="J757" s="143">
        <f t="shared" si="168"/>
        <v>0</v>
      </c>
      <c r="K757" s="143">
        <f t="shared" si="169"/>
        <v>0</v>
      </c>
      <c r="L757" s="142">
        <f t="shared" si="170"/>
        <v>0</v>
      </c>
      <c r="M757" s="142">
        <f t="shared" si="171"/>
        <v>0</v>
      </c>
      <c r="N757" s="142">
        <f t="shared" si="172"/>
        <v>0</v>
      </c>
      <c r="O757" s="59">
        <f t="shared" si="173"/>
        <v>0</v>
      </c>
      <c r="P757" s="142">
        <f t="shared" si="174"/>
        <v>0</v>
      </c>
      <c r="Q757" s="142">
        <f t="shared" si="175"/>
        <v>0</v>
      </c>
      <c r="R757" s="142">
        <f t="shared" si="176"/>
        <v>0</v>
      </c>
      <c r="S757" s="142">
        <f t="shared" si="177"/>
        <v>0</v>
      </c>
      <c r="T757" s="142">
        <f t="shared" si="178"/>
        <v>1390.65</v>
      </c>
      <c r="U757" s="60">
        <f t="shared" si="179"/>
        <v>1390.65</v>
      </c>
    </row>
    <row r="758" spans="1:21" x14ac:dyDescent="0.2">
      <c r="A758" s="115"/>
      <c r="B758" s="139" t="s">
        <v>306</v>
      </c>
      <c r="C758" s="140" t="s">
        <v>261</v>
      </c>
      <c r="D758" s="141">
        <v>45306</v>
      </c>
      <c r="E758" s="141">
        <v>47102</v>
      </c>
      <c r="F758" s="57">
        <v>1390.65</v>
      </c>
      <c r="G758" s="58">
        <f t="shared" si="165"/>
        <v>1080</v>
      </c>
      <c r="H758" s="142">
        <f t="shared" si="166"/>
        <v>0</v>
      </c>
      <c r="I758" s="142">
        <f t="shared" si="167"/>
        <v>0</v>
      </c>
      <c r="J758" s="143">
        <f t="shared" si="168"/>
        <v>0</v>
      </c>
      <c r="K758" s="143">
        <f t="shared" si="169"/>
        <v>0</v>
      </c>
      <c r="L758" s="142">
        <f t="shared" si="170"/>
        <v>0</v>
      </c>
      <c r="M758" s="142">
        <f t="shared" si="171"/>
        <v>0</v>
      </c>
      <c r="N758" s="142">
        <f t="shared" si="172"/>
        <v>0</v>
      </c>
      <c r="O758" s="59">
        <f t="shared" si="173"/>
        <v>0</v>
      </c>
      <c r="P758" s="142">
        <f t="shared" si="174"/>
        <v>0</v>
      </c>
      <c r="Q758" s="142">
        <f t="shared" si="175"/>
        <v>0</v>
      </c>
      <c r="R758" s="142">
        <f t="shared" si="176"/>
        <v>0</v>
      </c>
      <c r="S758" s="142">
        <f t="shared" si="177"/>
        <v>0</v>
      </c>
      <c r="T758" s="142">
        <f t="shared" si="178"/>
        <v>1390.65</v>
      </c>
      <c r="U758" s="60">
        <f t="shared" si="179"/>
        <v>1390.65</v>
      </c>
    </row>
    <row r="759" spans="1:21" x14ac:dyDescent="0.2">
      <c r="A759" s="115"/>
      <c r="B759" s="139" t="s">
        <v>306</v>
      </c>
      <c r="C759" s="140" t="s">
        <v>261</v>
      </c>
      <c r="D759" s="141">
        <v>45306</v>
      </c>
      <c r="E759" s="141">
        <v>47133</v>
      </c>
      <c r="F759" s="57">
        <v>1390.65</v>
      </c>
      <c r="G759" s="58">
        <f t="shared" si="165"/>
        <v>1111</v>
      </c>
      <c r="H759" s="142">
        <f t="shared" si="166"/>
        <v>0</v>
      </c>
      <c r="I759" s="142">
        <f t="shared" si="167"/>
        <v>0</v>
      </c>
      <c r="J759" s="143">
        <f t="shared" si="168"/>
        <v>0</v>
      </c>
      <c r="K759" s="143">
        <f t="shared" si="169"/>
        <v>0</v>
      </c>
      <c r="L759" s="142">
        <f t="shared" si="170"/>
        <v>0</v>
      </c>
      <c r="M759" s="142">
        <f t="shared" si="171"/>
        <v>0</v>
      </c>
      <c r="N759" s="142">
        <f t="shared" si="172"/>
        <v>0</v>
      </c>
      <c r="O759" s="59">
        <f t="shared" si="173"/>
        <v>0</v>
      </c>
      <c r="P759" s="142">
        <f t="shared" si="174"/>
        <v>0</v>
      </c>
      <c r="Q759" s="142">
        <f t="shared" si="175"/>
        <v>0</v>
      </c>
      <c r="R759" s="142">
        <f t="shared" si="176"/>
        <v>0</v>
      </c>
      <c r="S759" s="142">
        <f t="shared" si="177"/>
        <v>0</v>
      </c>
      <c r="T759" s="142">
        <f t="shared" si="178"/>
        <v>1390.65</v>
      </c>
      <c r="U759" s="60">
        <f t="shared" si="179"/>
        <v>1390.65</v>
      </c>
    </row>
    <row r="760" spans="1:21" x14ac:dyDescent="0.2">
      <c r="A760" s="115"/>
      <c r="B760" s="139" t="s">
        <v>306</v>
      </c>
      <c r="C760" s="140" t="s">
        <v>261</v>
      </c>
      <c r="D760" s="141">
        <v>45306</v>
      </c>
      <c r="E760" s="141">
        <v>47164</v>
      </c>
      <c r="F760" s="57">
        <v>1390.65</v>
      </c>
      <c r="G760" s="58">
        <f t="shared" si="165"/>
        <v>1142</v>
      </c>
      <c r="H760" s="142">
        <f t="shared" si="166"/>
        <v>0</v>
      </c>
      <c r="I760" s="142">
        <f t="shared" si="167"/>
        <v>0</v>
      </c>
      <c r="J760" s="143">
        <f t="shared" si="168"/>
        <v>0</v>
      </c>
      <c r="K760" s="143">
        <f t="shared" si="169"/>
        <v>0</v>
      </c>
      <c r="L760" s="142">
        <f t="shared" si="170"/>
        <v>0</v>
      </c>
      <c r="M760" s="142">
        <f t="shared" si="171"/>
        <v>0</v>
      </c>
      <c r="N760" s="142">
        <f t="shared" si="172"/>
        <v>0</v>
      </c>
      <c r="O760" s="59">
        <f t="shared" si="173"/>
        <v>0</v>
      </c>
      <c r="P760" s="142">
        <f t="shared" si="174"/>
        <v>0</v>
      </c>
      <c r="Q760" s="142">
        <f t="shared" si="175"/>
        <v>0</v>
      </c>
      <c r="R760" s="142">
        <f t="shared" si="176"/>
        <v>0</v>
      </c>
      <c r="S760" s="142">
        <f t="shared" si="177"/>
        <v>0</v>
      </c>
      <c r="T760" s="142">
        <f t="shared" si="178"/>
        <v>1390.65</v>
      </c>
      <c r="U760" s="60">
        <f t="shared" si="179"/>
        <v>1390.65</v>
      </c>
    </row>
    <row r="761" spans="1:21" x14ac:dyDescent="0.2">
      <c r="A761" s="115"/>
      <c r="B761" s="139" t="s">
        <v>306</v>
      </c>
      <c r="C761" s="140" t="s">
        <v>261</v>
      </c>
      <c r="D761" s="141">
        <v>45306</v>
      </c>
      <c r="E761" s="141">
        <v>47192</v>
      </c>
      <c r="F761" s="57">
        <v>1390.65</v>
      </c>
      <c r="G761" s="58">
        <f t="shared" si="165"/>
        <v>1170</v>
      </c>
      <c r="H761" s="142">
        <f t="shared" si="166"/>
        <v>0</v>
      </c>
      <c r="I761" s="142">
        <f t="shared" si="167"/>
        <v>0</v>
      </c>
      <c r="J761" s="143">
        <f t="shared" si="168"/>
        <v>0</v>
      </c>
      <c r="K761" s="143">
        <f t="shared" si="169"/>
        <v>0</v>
      </c>
      <c r="L761" s="142">
        <f t="shared" si="170"/>
        <v>0</v>
      </c>
      <c r="M761" s="142">
        <f t="shared" si="171"/>
        <v>0</v>
      </c>
      <c r="N761" s="142">
        <f t="shared" si="172"/>
        <v>0</v>
      </c>
      <c r="O761" s="59">
        <f t="shared" si="173"/>
        <v>0</v>
      </c>
      <c r="P761" s="142">
        <f t="shared" si="174"/>
        <v>0</v>
      </c>
      <c r="Q761" s="142">
        <f t="shared" si="175"/>
        <v>0</v>
      </c>
      <c r="R761" s="142">
        <f t="shared" si="176"/>
        <v>0</v>
      </c>
      <c r="S761" s="142">
        <f t="shared" si="177"/>
        <v>0</v>
      </c>
      <c r="T761" s="142">
        <f t="shared" si="178"/>
        <v>1390.65</v>
      </c>
      <c r="U761" s="60">
        <f t="shared" si="179"/>
        <v>1390.65</v>
      </c>
    </row>
    <row r="762" spans="1:21" x14ac:dyDescent="0.2">
      <c r="A762" s="115"/>
      <c r="B762" s="139" t="s">
        <v>306</v>
      </c>
      <c r="C762" s="140" t="s">
        <v>261</v>
      </c>
      <c r="D762" s="141">
        <v>45306</v>
      </c>
      <c r="E762" s="141">
        <v>47223</v>
      </c>
      <c r="F762" s="57">
        <v>1390.65</v>
      </c>
      <c r="G762" s="58">
        <f t="shared" si="165"/>
        <v>1201</v>
      </c>
      <c r="H762" s="142">
        <f t="shared" si="166"/>
        <v>0</v>
      </c>
      <c r="I762" s="142">
        <f t="shared" si="167"/>
        <v>0</v>
      </c>
      <c r="J762" s="143">
        <f t="shared" si="168"/>
        <v>0</v>
      </c>
      <c r="K762" s="143">
        <f t="shared" si="169"/>
        <v>0</v>
      </c>
      <c r="L762" s="142">
        <f t="shared" si="170"/>
        <v>0</v>
      </c>
      <c r="M762" s="142">
        <f t="shared" si="171"/>
        <v>0</v>
      </c>
      <c r="N762" s="142">
        <f t="shared" si="172"/>
        <v>0</v>
      </c>
      <c r="O762" s="59">
        <f t="shared" si="173"/>
        <v>0</v>
      </c>
      <c r="P762" s="142">
        <f t="shared" si="174"/>
        <v>0</v>
      </c>
      <c r="Q762" s="142">
        <f t="shared" si="175"/>
        <v>0</v>
      </c>
      <c r="R762" s="142">
        <f t="shared" si="176"/>
        <v>0</v>
      </c>
      <c r="S762" s="142">
        <f t="shared" si="177"/>
        <v>0</v>
      </c>
      <c r="T762" s="142">
        <f t="shared" si="178"/>
        <v>1390.65</v>
      </c>
      <c r="U762" s="60">
        <f t="shared" si="179"/>
        <v>1390.65</v>
      </c>
    </row>
    <row r="763" spans="1:21" x14ac:dyDescent="0.2">
      <c r="A763" s="115"/>
      <c r="B763" s="139" t="s">
        <v>306</v>
      </c>
      <c r="C763" s="140" t="s">
        <v>261</v>
      </c>
      <c r="D763" s="141">
        <v>45306</v>
      </c>
      <c r="E763" s="141">
        <v>47253</v>
      </c>
      <c r="F763" s="57">
        <v>1390.65</v>
      </c>
      <c r="G763" s="58">
        <f t="shared" si="165"/>
        <v>1231</v>
      </c>
      <c r="H763" s="142">
        <f t="shared" si="166"/>
        <v>0</v>
      </c>
      <c r="I763" s="142">
        <f t="shared" si="167"/>
        <v>0</v>
      </c>
      <c r="J763" s="143">
        <f t="shared" si="168"/>
        <v>0</v>
      </c>
      <c r="K763" s="143">
        <f t="shared" si="169"/>
        <v>0</v>
      </c>
      <c r="L763" s="142">
        <f t="shared" si="170"/>
        <v>0</v>
      </c>
      <c r="M763" s="142">
        <f t="shared" si="171"/>
        <v>0</v>
      </c>
      <c r="N763" s="142">
        <f t="shared" si="172"/>
        <v>0</v>
      </c>
      <c r="O763" s="59">
        <f t="shared" si="173"/>
        <v>0</v>
      </c>
      <c r="P763" s="142">
        <f t="shared" si="174"/>
        <v>0</v>
      </c>
      <c r="Q763" s="142">
        <f t="shared" si="175"/>
        <v>0</v>
      </c>
      <c r="R763" s="142">
        <f t="shared" si="176"/>
        <v>0</v>
      </c>
      <c r="S763" s="142">
        <f t="shared" si="177"/>
        <v>0</v>
      </c>
      <c r="T763" s="142">
        <f t="shared" si="178"/>
        <v>1390.65</v>
      </c>
      <c r="U763" s="60">
        <f t="shared" si="179"/>
        <v>1390.65</v>
      </c>
    </row>
    <row r="764" spans="1:21" x14ac:dyDescent="0.2">
      <c r="A764" s="115"/>
      <c r="B764" s="139" t="s">
        <v>306</v>
      </c>
      <c r="C764" s="140" t="s">
        <v>261</v>
      </c>
      <c r="D764" s="141">
        <v>45306</v>
      </c>
      <c r="E764" s="141">
        <v>47284</v>
      </c>
      <c r="F764" s="57">
        <v>1390.65</v>
      </c>
      <c r="G764" s="58">
        <f t="shared" si="165"/>
        <v>1262</v>
      </c>
      <c r="H764" s="142">
        <f t="shared" si="166"/>
        <v>0</v>
      </c>
      <c r="I764" s="142">
        <f t="shared" si="167"/>
        <v>0</v>
      </c>
      <c r="J764" s="143">
        <f t="shared" si="168"/>
        <v>0</v>
      </c>
      <c r="K764" s="143">
        <f t="shared" si="169"/>
        <v>0</v>
      </c>
      <c r="L764" s="142">
        <f t="shared" si="170"/>
        <v>0</v>
      </c>
      <c r="M764" s="142">
        <f t="shared" si="171"/>
        <v>0</v>
      </c>
      <c r="N764" s="142">
        <f t="shared" si="172"/>
        <v>0</v>
      </c>
      <c r="O764" s="59">
        <f t="shared" si="173"/>
        <v>0</v>
      </c>
      <c r="P764" s="142">
        <f t="shared" si="174"/>
        <v>0</v>
      </c>
      <c r="Q764" s="142">
        <f t="shared" si="175"/>
        <v>0</v>
      </c>
      <c r="R764" s="142">
        <f t="shared" si="176"/>
        <v>0</v>
      </c>
      <c r="S764" s="142">
        <f t="shared" si="177"/>
        <v>0</v>
      </c>
      <c r="T764" s="142">
        <f t="shared" si="178"/>
        <v>1390.65</v>
      </c>
      <c r="U764" s="60">
        <f t="shared" si="179"/>
        <v>1390.65</v>
      </c>
    </row>
    <row r="765" spans="1:21" x14ac:dyDescent="0.2">
      <c r="A765" s="115"/>
      <c r="B765" s="139" t="s">
        <v>306</v>
      </c>
      <c r="C765" s="140" t="s">
        <v>261</v>
      </c>
      <c r="D765" s="141">
        <v>45306</v>
      </c>
      <c r="E765" s="141">
        <v>47314</v>
      </c>
      <c r="F765" s="57">
        <v>1390.65</v>
      </c>
      <c r="G765" s="58">
        <f t="shared" si="165"/>
        <v>1292</v>
      </c>
      <c r="H765" s="142">
        <f t="shared" si="166"/>
        <v>0</v>
      </c>
      <c r="I765" s="142">
        <f t="shared" si="167"/>
        <v>0</v>
      </c>
      <c r="J765" s="143">
        <f t="shared" si="168"/>
        <v>0</v>
      </c>
      <c r="K765" s="143">
        <f t="shared" si="169"/>
        <v>0</v>
      </c>
      <c r="L765" s="142">
        <f t="shared" si="170"/>
        <v>0</v>
      </c>
      <c r="M765" s="142">
        <f t="shared" si="171"/>
        <v>0</v>
      </c>
      <c r="N765" s="142">
        <f t="shared" si="172"/>
        <v>0</v>
      </c>
      <c r="O765" s="59">
        <f t="shared" si="173"/>
        <v>0</v>
      </c>
      <c r="P765" s="142">
        <f t="shared" si="174"/>
        <v>0</v>
      </c>
      <c r="Q765" s="142">
        <f t="shared" si="175"/>
        <v>0</v>
      </c>
      <c r="R765" s="142">
        <f t="shared" si="176"/>
        <v>0</v>
      </c>
      <c r="S765" s="142">
        <f t="shared" si="177"/>
        <v>0</v>
      </c>
      <c r="T765" s="142">
        <f t="shared" si="178"/>
        <v>1390.65</v>
      </c>
      <c r="U765" s="60">
        <f t="shared" si="179"/>
        <v>1390.65</v>
      </c>
    </row>
    <row r="766" spans="1:21" x14ac:dyDescent="0.2">
      <c r="A766" s="115"/>
      <c r="B766" s="139" t="s">
        <v>306</v>
      </c>
      <c r="C766" s="140" t="s">
        <v>261</v>
      </c>
      <c r="D766" s="141">
        <v>45306</v>
      </c>
      <c r="E766" s="141">
        <v>47345</v>
      </c>
      <c r="F766" s="57">
        <v>1390.65</v>
      </c>
      <c r="G766" s="58">
        <f t="shared" si="165"/>
        <v>1323</v>
      </c>
      <c r="H766" s="142">
        <f t="shared" si="166"/>
        <v>0</v>
      </c>
      <c r="I766" s="142">
        <f t="shared" si="167"/>
        <v>0</v>
      </c>
      <c r="J766" s="143">
        <f t="shared" si="168"/>
        <v>0</v>
      </c>
      <c r="K766" s="143">
        <f t="shared" si="169"/>
        <v>0</v>
      </c>
      <c r="L766" s="142">
        <f t="shared" si="170"/>
        <v>0</v>
      </c>
      <c r="M766" s="142">
        <f t="shared" si="171"/>
        <v>0</v>
      </c>
      <c r="N766" s="142">
        <f t="shared" si="172"/>
        <v>0</v>
      </c>
      <c r="O766" s="59">
        <f t="shared" si="173"/>
        <v>0</v>
      </c>
      <c r="P766" s="142">
        <f t="shared" si="174"/>
        <v>0</v>
      </c>
      <c r="Q766" s="142">
        <f t="shared" si="175"/>
        <v>0</v>
      </c>
      <c r="R766" s="142">
        <f t="shared" si="176"/>
        <v>0</v>
      </c>
      <c r="S766" s="142">
        <f t="shared" si="177"/>
        <v>0</v>
      </c>
      <c r="T766" s="142">
        <f t="shared" si="178"/>
        <v>1390.65</v>
      </c>
      <c r="U766" s="60">
        <f t="shared" si="179"/>
        <v>1390.65</v>
      </c>
    </row>
    <row r="767" spans="1:21" x14ac:dyDescent="0.2">
      <c r="A767" s="115"/>
      <c r="B767" s="139" t="s">
        <v>306</v>
      </c>
      <c r="C767" s="140" t="s">
        <v>261</v>
      </c>
      <c r="D767" s="141">
        <v>45306</v>
      </c>
      <c r="E767" s="141">
        <v>47376</v>
      </c>
      <c r="F767" s="57">
        <v>1390.65</v>
      </c>
      <c r="G767" s="58">
        <f t="shared" si="165"/>
        <v>1354</v>
      </c>
      <c r="H767" s="142">
        <f t="shared" si="166"/>
        <v>0</v>
      </c>
      <c r="I767" s="142">
        <f t="shared" si="167"/>
        <v>0</v>
      </c>
      <c r="J767" s="143">
        <f t="shared" si="168"/>
        <v>0</v>
      </c>
      <c r="K767" s="143">
        <f t="shared" si="169"/>
        <v>0</v>
      </c>
      <c r="L767" s="142">
        <f t="shared" si="170"/>
        <v>0</v>
      </c>
      <c r="M767" s="142">
        <f t="shared" si="171"/>
        <v>0</v>
      </c>
      <c r="N767" s="142">
        <f t="shared" si="172"/>
        <v>0</v>
      </c>
      <c r="O767" s="59">
        <f t="shared" si="173"/>
        <v>0</v>
      </c>
      <c r="P767" s="142">
        <f t="shared" si="174"/>
        <v>0</v>
      </c>
      <c r="Q767" s="142">
        <f t="shared" si="175"/>
        <v>0</v>
      </c>
      <c r="R767" s="142">
        <f t="shared" si="176"/>
        <v>0</v>
      </c>
      <c r="S767" s="142">
        <f t="shared" si="177"/>
        <v>0</v>
      </c>
      <c r="T767" s="142">
        <f t="shared" si="178"/>
        <v>1390.65</v>
      </c>
      <c r="U767" s="60">
        <f t="shared" si="179"/>
        <v>1390.65</v>
      </c>
    </row>
    <row r="768" spans="1:21" x14ac:dyDescent="0.2">
      <c r="A768" s="115"/>
      <c r="B768" s="139" t="s">
        <v>306</v>
      </c>
      <c r="C768" s="140" t="s">
        <v>261</v>
      </c>
      <c r="D768" s="141">
        <v>45306</v>
      </c>
      <c r="E768" s="141">
        <v>47406</v>
      </c>
      <c r="F768" s="57">
        <v>1390.65</v>
      </c>
      <c r="G768" s="58">
        <f t="shared" si="165"/>
        <v>1384</v>
      </c>
      <c r="H768" s="142">
        <f t="shared" si="166"/>
        <v>0</v>
      </c>
      <c r="I768" s="142">
        <f t="shared" si="167"/>
        <v>0</v>
      </c>
      <c r="J768" s="143">
        <f t="shared" si="168"/>
        <v>0</v>
      </c>
      <c r="K768" s="143">
        <f t="shared" si="169"/>
        <v>0</v>
      </c>
      <c r="L768" s="142">
        <f t="shared" si="170"/>
        <v>0</v>
      </c>
      <c r="M768" s="142">
        <f t="shared" si="171"/>
        <v>0</v>
      </c>
      <c r="N768" s="142">
        <f t="shared" si="172"/>
        <v>0</v>
      </c>
      <c r="O768" s="59">
        <f t="shared" si="173"/>
        <v>0</v>
      </c>
      <c r="P768" s="142">
        <f t="shared" si="174"/>
        <v>0</v>
      </c>
      <c r="Q768" s="142">
        <f t="shared" si="175"/>
        <v>0</v>
      </c>
      <c r="R768" s="142">
        <f t="shared" si="176"/>
        <v>0</v>
      </c>
      <c r="S768" s="142">
        <f t="shared" si="177"/>
        <v>0</v>
      </c>
      <c r="T768" s="142">
        <f t="shared" si="178"/>
        <v>1390.65</v>
      </c>
      <c r="U768" s="60">
        <f t="shared" si="179"/>
        <v>1390.65</v>
      </c>
    </row>
    <row r="769" spans="1:21" x14ac:dyDescent="0.2">
      <c r="A769" s="115"/>
      <c r="B769" s="139" t="s">
        <v>306</v>
      </c>
      <c r="C769" s="140" t="s">
        <v>261</v>
      </c>
      <c r="D769" s="141">
        <v>45306</v>
      </c>
      <c r="E769" s="141">
        <v>47437</v>
      </c>
      <c r="F769" s="57">
        <v>1390.65</v>
      </c>
      <c r="G769" s="58">
        <f t="shared" si="165"/>
        <v>1415</v>
      </c>
      <c r="H769" s="142">
        <f t="shared" si="166"/>
        <v>0</v>
      </c>
      <c r="I769" s="142">
        <f t="shared" si="167"/>
        <v>0</v>
      </c>
      <c r="J769" s="143">
        <f t="shared" si="168"/>
        <v>0</v>
      </c>
      <c r="K769" s="143">
        <f t="shared" si="169"/>
        <v>0</v>
      </c>
      <c r="L769" s="142">
        <f t="shared" si="170"/>
        <v>0</v>
      </c>
      <c r="M769" s="142">
        <f t="shared" si="171"/>
        <v>0</v>
      </c>
      <c r="N769" s="142">
        <f t="shared" si="172"/>
        <v>0</v>
      </c>
      <c r="O769" s="59">
        <f t="shared" si="173"/>
        <v>0</v>
      </c>
      <c r="P769" s="142">
        <f t="shared" si="174"/>
        <v>0</v>
      </c>
      <c r="Q769" s="142">
        <f t="shared" si="175"/>
        <v>0</v>
      </c>
      <c r="R769" s="142">
        <f t="shared" si="176"/>
        <v>0</v>
      </c>
      <c r="S769" s="142">
        <f t="shared" si="177"/>
        <v>0</v>
      </c>
      <c r="T769" s="142">
        <f t="shared" si="178"/>
        <v>1390.65</v>
      </c>
      <c r="U769" s="60">
        <f t="shared" si="179"/>
        <v>1390.65</v>
      </c>
    </row>
    <row r="770" spans="1:21" x14ac:dyDescent="0.2">
      <c r="A770" s="115"/>
      <c r="B770" s="139" t="s">
        <v>306</v>
      </c>
      <c r="C770" s="140" t="s">
        <v>261</v>
      </c>
      <c r="D770" s="141">
        <v>45306</v>
      </c>
      <c r="E770" s="141">
        <v>47467</v>
      </c>
      <c r="F770" s="57">
        <v>1390.65</v>
      </c>
      <c r="G770" s="58">
        <f t="shared" si="165"/>
        <v>1445</v>
      </c>
      <c r="H770" s="142">
        <f t="shared" si="166"/>
        <v>0</v>
      </c>
      <c r="I770" s="142">
        <f t="shared" si="167"/>
        <v>0</v>
      </c>
      <c r="J770" s="143">
        <f t="shared" si="168"/>
        <v>0</v>
      </c>
      <c r="K770" s="143">
        <f t="shared" si="169"/>
        <v>0</v>
      </c>
      <c r="L770" s="142">
        <f t="shared" si="170"/>
        <v>0</v>
      </c>
      <c r="M770" s="142">
        <f t="shared" si="171"/>
        <v>0</v>
      </c>
      <c r="N770" s="142">
        <f t="shared" si="172"/>
        <v>0</v>
      </c>
      <c r="O770" s="59">
        <f t="shared" si="173"/>
        <v>0</v>
      </c>
      <c r="P770" s="142">
        <f t="shared" si="174"/>
        <v>0</v>
      </c>
      <c r="Q770" s="142">
        <f t="shared" si="175"/>
        <v>0</v>
      </c>
      <c r="R770" s="142">
        <f t="shared" si="176"/>
        <v>0</v>
      </c>
      <c r="S770" s="142">
        <f t="shared" si="177"/>
        <v>0</v>
      </c>
      <c r="T770" s="142">
        <f t="shared" si="178"/>
        <v>1390.65</v>
      </c>
      <c r="U770" s="60">
        <f t="shared" si="179"/>
        <v>1390.65</v>
      </c>
    </row>
    <row r="771" spans="1:21" x14ac:dyDescent="0.2">
      <c r="A771" s="115"/>
      <c r="B771" s="139" t="s">
        <v>306</v>
      </c>
      <c r="C771" s="140" t="s">
        <v>261</v>
      </c>
      <c r="D771" s="141">
        <v>45306</v>
      </c>
      <c r="E771" s="141">
        <v>47498</v>
      </c>
      <c r="F771" s="57">
        <v>1390.65</v>
      </c>
      <c r="G771" s="58">
        <f t="shared" si="165"/>
        <v>1476</v>
      </c>
      <c r="H771" s="142">
        <f t="shared" si="166"/>
        <v>0</v>
      </c>
      <c r="I771" s="142">
        <f t="shared" si="167"/>
        <v>0</v>
      </c>
      <c r="J771" s="143">
        <f t="shared" si="168"/>
        <v>0</v>
      </c>
      <c r="K771" s="143">
        <f t="shared" si="169"/>
        <v>0</v>
      </c>
      <c r="L771" s="142">
        <f t="shared" si="170"/>
        <v>0</v>
      </c>
      <c r="M771" s="142">
        <f t="shared" si="171"/>
        <v>0</v>
      </c>
      <c r="N771" s="142">
        <f t="shared" si="172"/>
        <v>0</v>
      </c>
      <c r="O771" s="59">
        <f t="shared" si="173"/>
        <v>0</v>
      </c>
      <c r="P771" s="142">
        <f t="shared" si="174"/>
        <v>0</v>
      </c>
      <c r="Q771" s="142">
        <f t="shared" si="175"/>
        <v>0</v>
      </c>
      <c r="R771" s="142">
        <f t="shared" si="176"/>
        <v>0</v>
      </c>
      <c r="S771" s="142">
        <f t="shared" si="177"/>
        <v>0</v>
      </c>
      <c r="T771" s="142">
        <f t="shared" si="178"/>
        <v>1390.65</v>
      </c>
      <c r="U771" s="60">
        <f t="shared" si="179"/>
        <v>1390.65</v>
      </c>
    </row>
    <row r="772" spans="1:21" x14ac:dyDescent="0.2">
      <c r="A772" s="115"/>
      <c r="B772" s="139" t="s">
        <v>306</v>
      </c>
      <c r="C772" s="140" t="s">
        <v>261</v>
      </c>
      <c r="D772" s="141">
        <v>45306</v>
      </c>
      <c r="E772" s="141">
        <v>47529</v>
      </c>
      <c r="F772" s="57">
        <v>1390.65</v>
      </c>
      <c r="G772" s="58">
        <f t="shared" si="165"/>
        <v>1507</v>
      </c>
      <c r="H772" s="142">
        <f t="shared" si="166"/>
        <v>0</v>
      </c>
      <c r="I772" s="142">
        <f t="shared" si="167"/>
        <v>0</v>
      </c>
      <c r="J772" s="143">
        <f t="shared" si="168"/>
        <v>0</v>
      </c>
      <c r="K772" s="143">
        <f t="shared" si="169"/>
        <v>0</v>
      </c>
      <c r="L772" s="142">
        <f t="shared" si="170"/>
        <v>0</v>
      </c>
      <c r="M772" s="142">
        <f t="shared" si="171"/>
        <v>0</v>
      </c>
      <c r="N772" s="142">
        <f t="shared" si="172"/>
        <v>0</v>
      </c>
      <c r="O772" s="59">
        <f t="shared" si="173"/>
        <v>0</v>
      </c>
      <c r="P772" s="142">
        <f t="shared" si="174"/>
        <v>0</v>
      </c>
      <c r="Q772" s="142">
        <f t="shared" si="175"/>
        <v>0</v>
      </c>
      <c r="R772" s="142">
        <f t="shared" si="176"/>
        <v>0</v>
      </c>
      <c r="S772" s="142">
        <f t="shared" si="177"/>
        <v>0</v>
      </c>
      <c r="T772" s="142">
        <f t="shared" si="178"/>
        <v>1390.65</v>
      </c>
      <c r="U772" s="60">
        <f t="shared" si="179"/>
        <v>1390.65</v>
      </c>
    </row>
    <row r="773" spans="1:21" x14ac:dyDescent="0.2">
      <c r="A773" s="115"/>
      <c r="B773" s="139" t="s">
        <v>306</v>
      </c>
      <c r="C773" s="140" t="s">
        <v>261</v>
      </c>
      <c r="D773" s="141">
        <v>45306</v>
      </c>
      <c r="E773" s="141">
        <v>47557</v>
      </c>
      <c r="F773" s="57">
        <v>1390.65</v>
      </c>
      <c r="G773" s="58">
        <f t="shared" si="165"/>
        <v>1535</v>
      </c>
      <c r="H773" s="142">
        <f t="shared" si="166"/>
        <v>0</v>
      </c>
      <c r="I773" s="142">
        <f t="shared" si="167"/>
        <v>0</v>
      </c>
      <c r="J773" s="143">
        <f t="shared" si="168"/>
        <v>0</v>
      </c>
      <c r="K773" s="143">
        <f t="shared" si="169"/>
        <v>0</v>
      </c>
      <c r="L773" s="142">
        <f t="shared" si="170"/>
        <v>0</v>
      </c>
      <c r="M773" s="142">
        <f t="shared" si="171"/>
        <v>0</v>
      </c>
      <c r="N773" s="142">
        <f t="shared" si="172"/>
        <v>0</v>
      </c>
      <c r="O773" s="59">
        <f t="shared" si="173"/>
        <v>0</v>
      </c>
      <c r="P773" s="142">
        <f t="shared" si="174"/>
        <v>0</v>
      </c>
      <c r="Q773" s="142">
        <f t="shared" si="175"/>
        <v>0</v>
      </c>
      <c r="R773" s="142">
        <f t="shared" si="176"/>
        <v>0</v>
      </c>
      <c r="S773" s="142">
        <f t="shared" si="177"/>
        <v>0</v>
      </c>
      <c r="T773" s="142">
        <f t="shared" si="178"/>
        <v>1390.65</v>
      </c>
      <c r="U773" s="60">
        <f t="shared" si="179"/>
        <v>1390.65</v>
      </c>
    </row>
    <row r="774" spans="1:21" x14ac:dyDescent="0.2">
      <c r="A774" s="115"/>
      <c r="B774" s="139" t="s">
        <v>306</v>
      </c>
      <c r="C774" s="140" t="s">
        <v>261</v>
      </c>
      <c r="D774" s="141">
        <v>45306</v>
      </c>
      <c r="E774" s="141">
        <v>47588</v>
      </c>
      <c r="F774" s="57">
        <v>1390.65</v>
      </c>
      <c r="G774" s="58">
        <f t="shared" si="165"/>
        <v>1566</v>
      </c>
      <c r="H774" s="142">
        <f t="shared" si="166"/>
        <v>0</v>
      </c>
      <c r="I774" s="142">
        <f t="shared" si="167"/>
        <v>0</v>
      </c>
      <c r="J774" s="143">
        <f t="shared" si="168"/>
        <v>0</v>
      </c>
      <c r="K774" s="143">
        <f t="shared" si="169"/>
        <v>0</v>
      </c>
      <c r="L774" s="142">
        <f t="shared" si="170"/>
        <v>0</v>
      </c>
      <c r="M774" s="142">
        <f t="shared" si="171"/>
        <v>0</v>
      </c>
      <c r="N774" s="142">
        <f t="shared" si="172"/>
        <v>0</v>
      </c>
      <c r="O774" s="59">
        <f t="shared" si="173"/>
        <v>0</v>
      </c>
      <c r="P774" s="142">
        <f t="shared" si="174"/>
        <v>0</v>
      </c>
      <c r="Q774" s="142">
        <f t="shared" si="175"/>
        <v>0</v>
      </c>
      <c r="R774" s="142">
        <f t="shared" si="176"/>
        <v>0</v>
      </c>
      <c r="S774" s="142">
        <f t="shared" si="177"/>
        <v>0</v>
      </c>
      <c r="T774" s="142">
        <f t="shared" si="178"/>
        <v>1390.65</v>
      </c>
      <c r="U774" s="60">
        <f t="shared" si="179"/>
        <v>1390.65</v>
      </c>
    </row>
    <row r="775" spans="1:21" x14ac:dyDescent="0.2">
      <c r="A775" s="115"/>
      <c r="B775" s="139" t="s">
        <v>306</v>
      </c>
      <c r="C775" s="140" t="s">
        <v>261</v>
      </c>
      <c r="D775" s="141">
        <v>45306</v>
      </c>
      <c r="E775" s="141">
        <v>47618</v>
      </c>
      <c r="F775" s="57">
        <v>1390.65</v>
      </c>
      <c r="G775" s="58">
        <f t="shared" ref="G775:G838" si="180">E775-$H$3</f>
        <v>1596</v>
      </c>
      <c r="H775" s="142">
        <f t="shared" ref="H775:H838" si="181">IF(AND($G775&gt;=-8000,$G775&lt;=-181),$F775,0)</f>
        <v>0</v>
      </c>
      <c r="I775" s="142">
        <f t="shared" ref="I775:I838" si="182">IF(AND($G775&gt;=-180,$G775&lt;=-151),$F775,0)</f>
        <v>0</v>
      </c>
      <c r="J775" s="143">
        <f t="shared" ref="J775:J838" si="183">IF(AND($G775&gt;=-150,$G775&lt;=-121),$F775,0)</f>
        <v>0</v>
      </c>
      <c r="K775" s="143">
        <f t="shared" ref="K775:K838" si="184">IF(AND($G775&gt;=-120,$G775&lt;=-91),$F775,0)</f>
        <v>0</v>
      </c>
      <c r="L775" s="142">
        <f t="shared" ref="L775:L838" si="185">IF(AND($G775&gt;=-90,$G775&lt;=-61),$F775,0)</f>
        <v>0</v>
      </c>
      <c r="M775" s="142">
        <f t="shared" ref="M775:M838" si="186">IF(AND($G775&gt;=-60,$G775&lt;=-31),$F775,0)</f>
        <v>0</v>
      </c>
      <c r="N775" s="142">
        <f t="shared" ref="N775:N838" si="187">IF(AND($G775&gt;=-30,$G775&lt;=-1),$F775,0)</f>
        <v>0</v>
      </c>
      <c r="O775" s="59">
        <f t="shared" ref="O775:O838" si="188">SUM(H775:N775)</f>
        <v>0</v>
      </c>
      <c r="P775" s="142">
        <f t="shared" ref="P775:P838" si="189">IF(AND($G775&lt;=30,$G775&gt;=0),$F775,0)</f>
        <v>0</v>
      </c>
      <c r="Q775" s="142">
        <f t="shared" ref="Q775:Q838" si="190">IF(AND($G775&lt;=60,$G775&gt;=31),$F775,0)</f>
        <v>0</v>
      </c>
      <c r="R775" s="142">
        <f t="shared" ref="R775:R838" si="191">IF(AND($G775&lt;=90,$G775&gt;=61),$F775,0)</f>
        <v>0</v>
      </c>
      <c r="S775" s="142">
        <f t="shared" ref="S775:S838" si="192">IF(AND($G775&lt;=120,$G775&gt;=91),$F775,0)</f>
        <v>0</v>
      </c>
      <c r="T775" s="142">
        <f t="shared" ref="T775:T838" si="193">IF(G775&gt;=121,F775,0)</f>
        <v>1390.65</v>
      </c>
      <c r="U775" s="60">
        <f t="shared" ref="U775:U838" si="194">SUM(P775:T775)</f>
        <v>1390.65</v>
      </c>
    </row>
    <row r="776" spans="1:21" x14ac:dyDescent="0.2">
      <c r="A776" s="115"/>
      <c r="B776" s="139" t="s">
        <v>306</v>
      </c>
      <c r="C776" s="140" t="s">
        <v>261</v>
      </c>
      <c r="D776" s="141">
        <v>45306</v>
      </c>
      <c r="E776" s="141">
        <v>47649</v>
      </c>
      <c r="F776" s="57">
        <v>1390.65</v>
      </c>
      <c r="G776" s="58">
        <f t="shared" si="180"/>
        <v>1627</v>
      </c>
      <c r="H776" s="142">
        <f t="shared" si="181"/>
        <v>0</v>
      </c>
      <c r="I776" s="142">
        <f t="shared" si="182"/>
        <v>0</v>
      </c>
      <c r="J776" s="143">
        <f t="shared" si="183"/>
        <v>0</v>
      </c>
      <c r="K776" s="143">
        <f t="shared" si="184"/>
        <v>0</v>
      </c>
      <c r="L776" s="142">
        <f t="shared" si="185"/>
        <v>0</v>
      </c>
      <c r="M776" s="142">
        <f t="shared" si="186"/>
        <v>0</v>
      </c>
      <c r="N776" s="142">
        <f t="shared" si="187"/>
        <v>0</v>
      </c>
      <c r="O776" s="59">
        <f t="shared" si="188"/>
        <v>0</v>
      </c>
      <c r="P776" s="142">
        <f t="shared" si="189"/>
        <v>0</v>
      </c>
      <c r="Q776" s="142">
        <f t="shared" si="190"/>
        <v>0</v>
      </c>
      <c r="R776" s="142">
        <f t="shared" si="191"/>
        <v>0</v>
      </c>
      <c r="S776" s="142">
        <f t="shared" si="192"/>
        <v>0</v>
      </c>
      <c r="T776" s="142">
        <f t="shared" si="193"/>
        <v>1390.65</v>
      </c>
      <c r="U776" s="60">
        <f t="shared" si="194"/>
        <v>1390.65</v>
      </c>
    </row>
    <row r="777" spans="1:21" x14ac:dyDescent="0.2">
      <c r="A777" s="115"/>
      <c r="B777" s="139" t="s">
        <v>306</v>
      </c>
      <c r="C777" s="140" t="s">
        <v>261</v>
      </c>
      <c r="D777" s="141">
        <v>45306</v>
      </c>
      <c r="E777" s="141">
        <v>47679</v>
      </c>
      <c r="F777" s="57">
        <v>1390.65</v>
      </c>
      <c r="G777" s="58">
        <f t="shared" si="180"/>
        <v>1657</v>
      </c>
      <c r="H777" s="142">
        <f t="shared" si="181"/>
        <v>0</v>
      </c>
      <c r="I777" s="142">
        <f t="shared" si="182"/>
        <v>0</v>
      </c>
      <c r="J777" s="143">
        <f t="shared" si="183"/>
        <v>0</v>
      </c>
      <c r="K777" s="143">
        <f t="shared" si="184"/>
        <v>0</v>
      </c>
      <c r="L777" s="142">
        <f t="shared" si="185"/>
        <v>0</v>
      </c>
      <c r="M777" s="142">
        <f t="shared" si="186"/>
        <v>0</v>
      </c>
      <c r="N777" s="142">
        <f t="shared" si="187"/>
        <v>0</v>
      </c>
      <c r="O777" s="59">
        <f t="shared" si="188"/>
        <v>0</v>
      </c>
      <c r="P777" s="142">
        <f t="shared" si="189"/>
        <v>0</v>
      </c>
      <c r="Q777" s="142">
        <f t="shared" si="190"/>
        <v>0</v>
      </c>
      <c r="R777" s="142">
        <f t="shared" si="191"/>
        <v>0</v>
      </c>
      <c r="S777" s="142">
        <f t="shared" si="192"/>
        <v>0</v>
      </c>
      <c r="T777" s="142">
        <f t="shared" si="193"/>
        <v>1390.65</v>
      </c>
      <c r="U777" s="60">
        <f t="shared" si="194"/>
        <v>1390.65</v>
      </c>
    </row>
    <row r="778" spans="1:21" x14ac:dyDescent="0.2">
      <c r="A778" s="115"/>
      <c r="B778" s="139" t="s">
        <v>306</v>
      </c>
      <c r="C778" s="140" t="s">
        <v>261</v>
      </c>
      <c r="D778" s="141">
        <v>45306</v>
      </c>
      <c r="E778" s="141">
        <v>47710</v>
      </c>
      <c r="F778" s="57">
        <v>1390.65</v>
      </c>
      <c r="G778" s="58">
        <f t="shared" si="180"/>
        <v>1688</v>
      </c>
      <c r="H778" s="142">
        <f t="shared" si="181"/>
        <v>0</v>
      </c>
      <c r="I778" s="142">
        <f t="shared" si="182"/>
        <v>0</v>
      </c>
      <c r="J778" s="143">
        <f t="shared" si="183"/>
        <v>0</v>
      </c>
      <c r="K778" s="143">
        <f t="shared" si="184"/>
        <v>0</v>
      </c>
      <c r="L778" s="142">
        <f t="shared" si="185"/>
        <v>0</v>
      </c>
      <c r="M778" s="142">
        <f t="shared" si="186"/>
        <v>0</v>
      </c>
      <c r="N778" s="142">
        <f t="shared" si="187"/>
        <v>0</v>
      </c>
      <c r="O778" s="59">
        <f t="shared" si="188"/>
        <v>0</v>
      </c>
      <c r="P778" s="142">
        <f t="shared" si="189"/>
        <v>0</v>
      </c>
      <c r="Q778" s="142">
        <f t="shared" si="190"/>
        <v>0</v>
      </c>
      <c r="R778" s="142">
        <f t="shared" si="191"/>
        <v>0</v>
      </c>
      <c r="S778" s="142">
        <f t="shared" si="192"/>
        <v>0</v>
      </c>
      <c r="T778" s="142">
        <f t="shared" si="193"/>
        <v>1390.65</v>
      </c>
      <c r="U778" s="60">
        <f t="shared" si="194"/>
        <v>1390.65</v>
      </c>
    </row>
    <row r="779" spans="1:21" x14ac:dyDescent="0.2">
      <c r="A779" s="115"/>
      <c r="B779" s="139" t="s">
        <v>306</v>
      </c>
      <c r="C779" s="140" t="s">
        <v>261</v>
      </c>
      <c r="D779" s="141">
        <v>45306</v>
      </c>
      <c r="E779" s="141">
        <v>47741</v>
      </c>
      <c r="F779" s="57">
        <v>1390.65</v>
      </c>
      <c r="G779" s="58">
        <f t="shared" si="180"/>
        <v>1719</v>
      </c>
      <c r="H779" s="142">
        <f t="shared" si="181"/>
        <v>0</v>
      </c>
      <c r="I779" s="142">
        <f t="shared" si="182"/>
        <v>0</v>
      </c>
      <c r="J779" s="143">
        <f t="shared" si="183"/>
        <v>0</v>
      </c>
      <c r="K779" s="143">
        <f t="shared" si="184"/>
        <v>0</v>
      </c>
      <c r="L779" s="142">
        <f t="shared" si="185"/>
        <v>0</v>
      </c>
      <c r="M779" s="142">
        <f t="shared" si="186"/>
        <v>0</v>
      </c>
      <c r="N779" s="142">
        <f t="shared" si="187"/>
        <v>0</v>
      </c>
      <c r="O779" s="59">
        <f t="shared" si="188"/>
        <v>0</v>
      </c>
      <c r="P779" s="142">
        <f t="shared" si="189"/>
        <v>0</v>
      </c>
      <c r="Q779" s="142">
        <f t="shared" si="190"/>
        <v>0</v>
      </c>
      <c r="R779" s="142">
        <f t="shared" si="191"/>
        <v>0</v>
      </c>
      <c r="S779" s="142">
        <f t="shared" si="192"/>
        <v>0</v>
      </c>
      <c r="T779" s="142">
        <f t="shared" si="193"/>
        <v>1390.65</v>
      </c>
      <c r="U779" s="60">
        <f t="shared" si="194"/>
        <v>1390.65</v>
      </c>
    </row>
    <row r="780" spans="1:21" x14ac:dyDescent="0.2">
      <c r="A780" s="115"/>
      <c r="B780" s="139" t="s">
        <v>306</v>
      </c>
      <c r="C780" s="140" t="s">
        <v>261</v>
      </c>
      <c r="D780" s="141">
        <v>45306</v>
      </c>
      <c r="E780" s="141">
        <v>47771</v>
      </c>
      <c r="F780" s="57">
        <v>1390.65</v>
      </c>
      <c r="G780" s="58">
        <f t="shared" si="180"/>
        <v>1749</v>
      </c>
      <c r="H780" s="142">
        <f t="shared" si="181"/>
        <v>0</v>
      </c>
      <c r="I780" s="142">
        <f t="shared" si="182"/>
        <v>0</v>
      </c>
      <c r="J780" s="143">
        <f t="shared" si="183"/>
        <v>0</v>
      </c>
      <c r="K780" s="143">
        <f t="shared" si="184"/>
        <v>0</v>
      </c>
      <c r="L780" s="142">
        <f t="shared" si="185"/>
        <v>0</v>
      </c>
      <c r="M780" s="142">
        <f t="shared" si="186"/>
        <v>0</v>
      </c>
      <c r="N780" s="142">
        <f t="shared" si="187"/>
        <v>0</v>
      </c>
      <c r="O780" s="59">
        <f t="shared" si="188"/>
        <v>0</v>
      </c>
      <c r="P780" s="142">
        <f t="shared" si="189"/>
        <v>0</v>
      </c>
      <c r="Q780" s="142">
        <f t="shared" si="190"/>
        <v>0</v>
      </c>
      <c r="R780" s="142">
        <f t="shared" si="191"/>
        <v>0</v>
      </c>
      <c r="S780" s="142">
        <f t="shared" si="192"/>
        <v>0</v>
      </c>
      <c r="T780" s="142">
        <f t="shared" si="193"/>
        <v>1390.65</v>
      </c>
      <c r="U780" s="60">
        <f t="shared" si="194"/>
        <v>1390.65</v>
      </c>
    </row>
    <row r="781" spans="1:21" x14ac:dyDescent="0.2">
      <c r="A781" s="115"/>
      <c r="B781" s="139" t="s">
        <v>306</v>
      </c>
      <c r="C781" s="140" t="s">
        <v>261</v>
      </c>
      <c r="D781" s="141">
        <v>45306</v>
      </c>
      <c r="E781" s="141">
        <v>47802</v>
      </c>
      <c r="F781" s="57">
        <v>1390.65</v>
      </c>
      <c r="G781" s="58">
        <f t="shared" si="180"/>
        <v>1780</v>
      </c>
      <c r="H781" s="142">
        <f t="shared" si="181"/>
        <v>0</v>
      </c>
      <c r="I781" s="142">
        <f t="shared" si="182"/>
        <v>0</v>
      </c>
      <c r="J781" s="143">
        <f t="shared" si="183"/>
        <v>0</v>
      </c>
      <c r="K781" s="143">
        <f t="shared" si="184"/>
        <v>0</v>
      </c>
      <c r="L781" s="142">
        <f t="shared" si="185"/>
        <v>0</v>
      </c>
      <c r="M781" s="142">
        <f t="shared" si="186"/>
        <v>0</v>
      </c>
      <c r="N781" s="142">
        <f t="shared" si="187"/>
        <v>0</v>
      </c>
      <c r="O781" s="59">
        <f t="shared" si="188"/>
        <v>0</v>
      </c>
      <c r="P781" s="142">
        <f t="shared" si="189"/>
        <v>0</v>
      </c>
      <c r="Q781" s="142">
        <f t="shared" si="190"/>
        <v>0</v>
      </c>
      <c r="R781" s="142">
        <f t="shared" si="191"/>
        <v>0</v>
      </c>
      <c r="S781" s="142">
        <f t="shared" si="192"/>
        <v>0</v>
      </c>
      <c r="T781" s="142">
        <f t="shared" si="193"/>
        <v>1390.65</v>
      </c>
      <c r="U781" s="60">
        <f t="shared" si="194"/>
        <v>1390.65</v>
      </c>
    </row>
    <row r="782" spans="1:21" x14ac:dyDescent="0.2">
      <c r="A782" s="115"/>
      <c r="B782" s="139" t="s">
        <v>306</v>
      </c>
      <c r="C782" s="140" t="s">
        <v>261</v>
      </c>
      <c r="D782" s="141">
        <v>45306</v>
      </c>
      <c r="E782" s="141">
        <v>47832</v>
      </c>
      <c r="F782" s="57">
        <v>1390.65</v>
      </c>
      <c r="G782" s="58">
        <f t="shared" si="180"/>
        <v>1810</v>
      </c>
      <c r="H782" s="142">
        <f t="shared" si="181"/>
        <v>0</v>
      </c>
      <c r="I782" s="142">
        <f t="shared" si="182"/>
        <v>0</v>
      </c>
      <c r="J782" s="143">
        <f t="shared" si="183"/>
        <v>0</v>
      </c>
      <c r="K782" s="143">
        <f t="shared" si="184"/>
        <v>0</v>
      </c>
      <c r="L782" s="142">
        <f t="shared" si="185"/>
        <v>0</v>
      </c>
      <c r="M782" s="142">
        <f t="shared" si="186"/>
        <v>0</v>
      </c>
      <c r="N782" s="142">
        <f t="shared" si="187"/>
        <v>0</v>
      </c>
      <c r="O782" s="59">
        <f t="shared" si="188"/>
        <v>0</v>
      </c>
      <c r="P782" s="142">
        <f t="shared" si="189"/>
        <v>0</v>
      </c>
      <c r="Q782" s="142">
        <f t="shared" si="190"/>
        <v>0</v>
      </c>
      <c r="R782" s="142">
        <f t="shared" si="191"/>
        <v>0</v>
      </c>
      <c r="S782" s="142">
        <f t="shared" si="192"/>
        <v>0</v>
      </c>
      <c r="T782" s="142">
        <f t="shared" si="193"/>
        <v>1390.65</v>
      </c>
      <c r="U782" s="60">
        <f t="shared" si="194"/>
        <v>1390.65</v>
      </c>
    </row>
    <row r="783" spans="1:21" x14ac:dyDescent="0.2">
      <c r="A783" s="115"/>
      <c r="B783" s="139" t="s">
        <v>306</v>
      </c>
      <c r="C783" s="140" t="s">
        <v>261</v>
      </c>
      <c r="D783" s="141">
        <v>45306</v>
      </c>
      <c r="E783" s="141">
        <v>47863</v>
      </c>
      <c r="F783" s="57">
        <v>1390.65</v>
      </c>
      <c r="G783" s="58">
        <f t="shared" si="180"/>
        <v>1841</v>
      </c>
      <c r="H783" s="142">
        <f t="shared" si="181"/>
        <v>0</v>
      </c>
      <c r="I783" s="142">
        <f t="shared" si="182"/>
        <v>0</v>
      </c>
      <c r="J783" s="143">
        <f t="shared" si="183"/>
        <v>0</v>
      </c>
      <c r="K783" s="143">
        <f t="shared" si="184"/>
        <v>0</v>
      </c>
      <c r="L783" s="142">
        <f t="shared" si="185"/>
        <v>0</v>
      </c>
      <c r="M783" s="142">
        <f t="shared" si="186"/>
        <v>0</v>
      </c>
      <c r="N783" s="142">
        <f t="shared" si="187"/>
        <v>0</v>
      </c>
      <c r="O783" s="59">
        <f t="shared" si="188"/>
        <v>0</v>
      </c>
      <c r="P783" s="142">
        <f t="shared" si="189"/>
        <v>0</v>
      </c>
      <c r="Q783" s="142">
        <f t="shared" si="190"/>
        <v>0</v>
      </c>
      <c r="R783" s="142">
        <f t="shared" si="191"/>
        <v>0</v>
      </c>
      <c r="S783" s="142">
        <f t="shared" si="192"/>
        <v>0</v>
      </c>
      <c r="T783" s="142">
        <f t="shared" si="193"/>
        <v>1390.65</v>
      </c>
      <c r="U783" s="60">
        <f t="shared" si="194"/>
        <v>1390.65</v>
      </c>
    </row>
    <row r="784" spans="1:21" x14ac:dyDescent="0.2">
      <c r="A784" s="115"/>
      <c r="B784" s="139" t="s">
        <v>306</v>
      </c>
      <c r="C784" s="140" t="s">
        <v>261</v>
      </c>
      <c r="D784" s="141">
        <v>45306</v>
      </c>
      <c r="E784" s="141">
        <v>47894</v>
      </c>
      <c r="F784" s="57">
        <v>1390.65</v>
      </c>
      <c r="G784" s="58">
        <f t="shared" si="180"/>
        <v>1872</v>
      </c>
      <c r="H784" s="142">
        <f t="shared" si="181"/>
        <v>0</v>
      </c>
      <c r="I784" s="142">
        <f t="shared" si="182"/>
        <v>0</v>
      </c>
      <c r="J784" s="143">
        <f t="shared" si="183"/>
        <v>0</v>
      </c>
      <c r="K784" s="143">
        <f t="shared" si="184"/>
        <v>0</v>
      </c>
      <c r="L784" s="142">
        <f t="shared" si="185"/>
        <v>0</v>
      </c>
      <c r="M784" s="142">
        <f t="shared" si="186"/>
        <v>0</v>
      </c>
      <c r="N784" s="142">
        <f t="shared" si="187"/>
        <v>0</v>
      </c>
      <c r="O784" s="59">
        <f t="shared" si="188"/>
        <v>0</v>
      </c>
      <c r="P784" s="142">
        <f t="shared" si="189"/>
        <v>0</v>
      </c>
      <c r="Q784" s="142">
        <f t="shared" si="190"/>
        <v>0</v>
      </c>
      <c r="R784" s="142">
        <f t="shared" si="191"/>
        <v>0</v>
      </c>
      <c r="S784" s="142">
        <f t="shared" si="192"/>
        <v>0</v>
      </c>
      <c r="T784" s="142">
        <f t="shared" si="193"/>
        <v>1390.65</v>
      </c>
      <c r="U784" s="60">
        <f t="shared" si="194"/>
        <v>1390.65</v>
      </c>
    </row>
    <row r="785" spans="1:21" x14ac:dyDescent="0.2">
      <c r="A785" s="115"/>
      <c r="B785" s="139" t="s">
        <v>306</v>
      </c>
      <c r="C785" s="140" t="s">
        <v>261</v>
      </c>
      <c r="D785" s="141">
        <v>45306</v>
      </c>
      <c r="E785" s="141">
        <v>47922</v>
      </c>
      <c r="F785" s="57">
        <v>1390.65</v>
      </c>
      <c r="G785" s="58">
        <f t="shared" si="180"/>
        <v>1900</v>
      </c>
      <c r="H785" s="142">
        <f t="shared" si="181"/>
        <v>0</v>
      </c>
      <c r="I785" s="142">
        <f t="shared" si="182"/>
        <v>0</v>
      </c>
      <c r="J785" s="143">
        <f t="shared" si="183"/>
        <v>0</v>
      </c>
      <c r="K785" s="143">
        <f t="shared" si="184"/>
        <v>0</v>
      </c>
      <c r="L785" s="142">
        <f t="shared" si="185"/>
        <v>0</v>
      </c>
      <c r="M785" s="142">
        <f t="shared" si="186"/>
        <v>0</v>
      </c>
      <c r="N785" s="142">
        <f t="shared" si="187"/>
        <v>0</v>
      </c>
      <c r="O785" s="59">
        <f t="shared" si="188"/>
        <v>0</v>
      </c>
      <c r="P785" s="142">
        <f t="shared" si="189"/>
        <v>0</v>
      </c>
      <c r="Q785" s="142">
        <f t="shared" si="190"/>
        <v>0</v>
      </c>
      <c r="R785" s="142">
        <f t="shared" si="191"/>
        <v>0</v>
      </c>
      <c r="S785" s="142">
        <f t="shared" si="192"/>
        <v>0</v>
      </c>
      <c r="T785" s="142">
        <f t="shared" si="193"/>
        <v>1390.65</v>
      </c>
      <c r="U785" s="60">
        <f t="shared" si="194"/>
        <v>1390.65</v>
      </c>
    </row>
    <row r="786" spans="1:21" x14ac:dyDescent="0.2">
      <c r="A786" s="115"/>
      <c r="B786" s="139" t="s">
        <v>306</v>
      </c>
      <c r="C786" s="140" t="s">
        <v>261</v>
      </c>
      <c r="D786" s="141">
        <v>45306</v>
      </c>
      <c r="E786" s="141">
        <v>47953</v>
      </c>
      <c r="F786" s="57">
        <v>1390.65</v>
      </c>
      <c r="G786" s="58">
        <f t="shared" si="180"/>
        <v>1931</v>
      </c>
      <c r="H786" s="142">
        <f t="shared" si="181"/>
        <v>0</v>
      </c>
      <c r="I786" s="142">
        <f t="shared" si="182"/>
        <v>0</v>
      </c>
      <c r="J786" s="143">
        <f t="shared" si="183"/>
        <v>0</v>
      </c>
      <c r="K786" s="143">
        <f t="shared" si="184"/>
        <v>0</v>
      </c>
      <c r="L786" s="142">
        <f t="shared" si="185"/>
        <v>0</v>
      </c>
      <c r="M786" s="142">
        <f t="shared" si="186"/>
        <v>0</v>
      </c>
      <c r="N786" s="142">
        <f t="shared" si="187"/>
        <v>0</v>
      </c>
      <c r="O786" s="59">
        <f t="shared" si="188"/>
        <v>0</v>
      </c>
      <c r="P786" s="142">
        <f t="shared" si="189"/>
        <v>0</v>
      </c>
      <c r="Q786" s="142">
        <f t="shared" si="190"/>
        <v>0</v>
      </c>
      <c r="R786" s="142">
        <f t="shared" si="191"/>
        <v>0</v>
      </c>
      <c r="S786" s="142">
        <f t="shared" si="192"/>
        <v>0</v>
      </c>
      <c r="T786" s="142">
        <f t="shared" si="193"/>
        <v>1390.65</v>
      </c>
      <c r="U786" s="60">
        <f t="shared" si="194"/>
        <v>1390.65</v>
      </c>
    </row>
    <row r="787" spans="1:21" x14ac:dyDescent="0.2">
      <c r="A787" s="115"/>
      <c r="B787" s="139" t="s">
        <v>306</v>
      </c>
      <c r="C787" s="140" t="s">
        <v>261</v>
      </c>
      <c r="D787" s="141">
        <v>45306</v>
      </c>
      <c r="E787" s="141">
        <v>47983</v>
      </c>
      <c r="F787" s="57">
        <v>1390.65</v>
      </c>
      <c r="G787" s="58">
        <f t="shared" si="180"/>
        <v>1961</v>
      </c>
      <c r="H787" s="142">
        <f t="shared" si="181"/>
        <v>0</v>
      </c>
      <c r="I787" s="142">
        <f t="shared" si="182"/>
        <v>0</v>
      </c>
      <c r="J787" s="143">
        <f t="shared" si="183"/>
        <v>0</v>
      </c>
      <c r="K787" s="143">
        <f t="shared" si="184"/>
        <v>0</v>
      </c>
      <c r="L787" s="142">
        <f t="shared" si="185"/>
        <v>0</v>
      </c>
      <c r="M787" s="142">
        <f t="shared" si="186"/>
        <v>0</v>
      </c>
      <c r="N787" s="142">
        <f t="shared" si="187"/>
        <v>0</v>
      </c>
      <c r="O787" s="59">
        <f t="shared" si="188"/>
        <v>0</v>
      </c>
      <c r="P787" s="142">
        <f t="shared" si="189"/>
        <v>0</v>
      </c>
      <c r="Q787" s="142">
        <f t="shared" si="190"/>
        <v>0</v>
      </c>
      <c r="R787" s="142">
        <f t="shared" si="191"/>
        <v>0</v>
      </c>
      <c r="S787" s="142">
        <f t="shared" si="192"/>
        <v>0</v>
      </c>
      <c r="T787" s="142">
        <f t="shared" si="193"/>
        <v>1390.65</v>
      </c>
      <c r="U787" s="60">
        <f t="shared" si="194"/>
        <v>1390.65</v>
      </c>
    </row>
    <row r="788" spans="1:21" x14ac:dyDescent="0.2">
      <c r="A788" s="115"/>
      <c r="B788" s="139" t="s">
        <v>306</v>
      </c>
      <c r="C788" s="140" t="s">
        <v>261</v>
      </c>
      <c r="D788" s="141">
        <v>45306</v>
      </c>
      <c r="E788" s="141">
        <v>48014</v>
      </c>
      <c r="F788" s="57">
        <v>1390.65</v>
      </c>
      <c r="G788" s="58">
        <f t="shared" si="180"/>
        <v>1992</v>
      </c>
      <c r="H788" s="142">
        <f t="shared" si="181"/>
        <v>0</v>
      </c>
      <c r="I788" s="142">
        <f t="shared" si="182"/>
        <v>0</v>
      </c>
      <c r="J788" s="143">
        <f t="shared" si="183"/>
        <v>0</v>
      </c>
      <c r="K788" s="143">
        <f t="shared" si="184"/>
        <v>0</v>
      </c>
      <c r="L788" s="142">
        <f t="shared" si="185"/>
        <v>0</v>
      </c>
      <c r="M788" s="142">
        <f t="shared" si="186"/>
        <v>0</v>
      </c>
      <c r="N788" s="142">
        <f t="shared" si="187"/>
        <v>0</v>
      </c>
      <c r="O788" s="59">
        <f t="shared" si="188"/>
        <v>0</v>
      </c>
      <c r="P788" s="142">
        <f t="shared" si="189"/>
        <v>0</v>
      </c>
      <c r="Q788" s="142">
        <f t="shared" si="190"/>
        <v>0</v>
      </c>
      <c r="R788" s="142">
        <f t="shared" si="191"/>
        <v>0</v>
      </c>
      <c r="S788" s="142">
        <f t="shared" si="192"/>
        <v>0</v>
      </c>
      <c r="T788" s="142">
        <f t="shared" si="193"/>
        <v>1390.65</v>
      </c>
      <c r="U788" s="60">
        <f t="shared" si="194"/>
        <v>1390.65</v>
      </c>
    </row>
    <row r="789" spans="1:21" x14ac:dyDescent="0.2">
      <c r="A789" s="115"/>
      <c r="B789" s="139" t="s">
        <v>306</v>
      </c>
      <c r="C789" s="140" t="s">
        <v>261</v>
      </c>
      <c r="D789" s="141">
        <v>45306</v>
      </c>
      <c r="E789" s="141">
        <v>48044</v>
      </c>
      <c r="F789" s="57">
        <v>1390.65</v>
      </c>
      <c r="G789" s="58">
        <f t="shared" si="180"/>
        <v>2022</v>
      </c>
      <c r="H789" s="142">
        <f t="shared" si="181"/>
        <v>0</v>
      </c>
      <c r="I789" s="142">
        <f t="shared" si="182"/>
        <v>0</v>
      </c>
      <c r="J789" s="143">
        <f t="shared" si="183"/>
        <v>0</v>
      </c>
      <c r="K789" s="143">
        <f t="shared" si="184"/>
        <v>0</v>
      </c>
      <c r="L789" s="142">
        <f t="shared" si="185"/>
        <v>0</v>
      </c>
      <c r="M789" s="142">
        <f t="shared" si="186"/>
        <v>0</v>
      </c>
      <c r="N789" s="142">
        <f t="shared" si="187"/>
        <v>0</v>
      </c>
      <c r="O789" s="59">
        <f t="shared" si="188"/>
        <v>0</v>
      </c>
      <c r="P789" s="142">
        <f t="shared" si="189"/>
        <v>0</v>
      </c>
      <c r="Q789" s="142">
        <f t="shared" si="190"/>
        <v>0</v>
      </c>
      <c r="R789" s="142">
        <f t="shared" si="191"/>
        <v>0</v>
      </c>
      <c r="S789" s="142">
        <f t="shared" si="192"/>
        <v>0</v>
      </c>
      <c r="T789" s="142">
        <f t="shared" si="193"/>
        <v>1390.65</v>
      </c>
      <c r="U789" s="60">
        <f t="shared" si="194"/>
        <v>1390.65</v>
      </c>
    </row>
    <row r="790" spans="1:21" x14ac:dyDescent="0.2">
      <c r="A790" s="115"/>
      <c r="B790" s="139" t="s">
        <v>306</v>
      </c>
      <c r="C790" s="140" t="s">
        <v>261</v>
      </c>
      <c r="D790" s="141">
        <v>45306</v>
      </c>
      <c r="E790" s="141">
        <v>48075</v>
      </c>
      <c r="F790" s="57">
        <v>1390.65</v>
      </c>
      <c r="G790" s="58">
        <f t="shared" si="180"/>
        <v>2053</v>
      </c>
      <c r="H790" s="142">
        <f t="shared" si="181"/>
        <v>0</v>
      </c>
      <c r="I790" s="142">
        <f t="shared" si="182"/>
        <v>0</v>
      </c>
      <c r="J790" s="143">
        <f t="shared" si="183"/>
        <v>0</v>
      </c>
      <c r="K790" s="143">
        <f t="shared" si="184"/>
        <v>0</v>
      </c>
      <c r="L790" s="142">
        <f t="shared" si="185"/>
        <v>0</v>
      </c>
      <c r="M790" s="142">
        <f t="shared" si="186"/>
        <v>0</v>
      </c>
      <c r="N790" s="142">
        <f t="shared" si="187"/>
        <v>0</v>
      </c>
      <c r="O790" s="59">
        <f t="shared" si="188"/>
        <v>0</v>
      </c>
      <c r="P790" s="142">
        <f t="shared" si="189"/>
        <v>0</v>
      </c>
      <c r="Q790" s="142">
        <f t="shared" si="190"/>
        <v>0</v>
      </c>
      <c r="R790" s="142">
        <f t="shared" si="191"/>
        <v>0</v>
      </c>
      <c r="S790" s="142">
        <f t="shared" si="192"/>
        <v>0</v>
      </c>
      <c r="T790" s="142">
        <f t="shared" si="193"/>
        <v>1390.65</v>
      </c>
      <c r="U790" s="60">
        <f t="shared" si="194"/>
        <v>1390.65</v>
      </c>
    </row>
    <row r="791" spans="1:21" x14ac:dyDescent="0.2">
      <c r="A791" s="115"/>
      <c r="B791" s="139" t="s">
        <v>306</v>
      </c>
      <c r="C791" s="140" t="s">
        <v>261</v>
      </c>
      <c r="D791" s="141">
        <v>45306</v>
      </c>
      <c r="E791" s="141">
        <v>48106</v>
      </c>
      <c r="F791" s="57">
        <v>1390.65</v>
      </c>
      <c r="G791" s="58">
        <f t="shared" si="180"/>
        <v>2084</v>
      </c>
      <c r="H791" s="142">
        <f t="shared" si="181"/>
        <v>0</v>
      </c>
      <c r="I791" s="142">
        <f t="shared" si="182"/>
        <v>0</v>
      </c>
      <c r="J791" s="143">
        <f t="shared" si="183"/>
        <v>0</v>
      </c>
      <c r="K791" s="143">
        <f t="shared" si="184"/>
        <v>0</v>
      </c>
      <c r="L791" s="142">
        <f t="shared" si="185"/>
        <v>0</v>
      </c>
      <c r="M791" s="142">
        <f t="shared" si="186"/>
        <v>0</v>
      </c>
      <c r="N791" s="142">
        <f t="shared" si="187"/>
        <v>0</v>
      </c>
      <c r="O791" s="59">
        <f t="shared" si="188"/>
        <v>0</v>
      </c>
      <c r="P791" s="142">
        <f t="shared" si="189"/>
        <v>0</v>
      </c>
      <c r="Q791" s="142">
        <f t="shared" si="190"/>
        <v>0</v>
      </c>
      <c r="R791" s="142">
        <f t="shared" si="191"/>
        <v>0</v>
      </c>
      <c r="S791" s="142">
        <f t="shared" si="192"/>
        <v>0</v>
      </c>
      <c r="T791" s="142">
        <f t="shared" si="193"/>
        <v>1390.65</v>
      </c>
      <c r="U791" s="60">
        <f t="shared" si="194"/>
        <v>1390.65</v>
      </c>
    </row>
    <row r="792" spans="1:21" x14ac:dyDescent="0.2">
      <c r="A792" s="115"/>
      <c r="B792" s="139" t="s">
        <v>306</v>
      </c>
      <c r="C792" s="140" t="s">
        <v>261</v>
      </c>
      <c r="D792" s="141">
        <v>45306</v>
      </c>
      <c r="E792" s="141">
        <v>48136</v>
      </c>
      <c r="F792" s="57">
        <v>1390.65</v>
      </c>
      <c r="G792" s="58">
        <f t="shared" si="180"/>
        <v>2114</v>
      </c>
      <c r="H792" s="142">
        <f t="shared" si="181"/>
        <v>0</v>
      </c>
      <c r="I792" s="142">
        <f t="shared" si="182"/>
        <v>0</v>
      </c>
      <c r="J792" s="143">
        <f t="shared" si="183"/>
        <v>0</v>
      </c>
      <c r="K792" s="143">
        <f t="shared" si="184"/>
        <v>0</v>
      </c>
      <c r="L792" s="142">
        <f t="shared" si="185"/>
        <v>0</v>
      </c>
      <c r="M792" s="142">
        <f t="shared" si="186"/>
        <v>0</v>
      </c>
      <c r="N792" s="142">
        <f t="shared" si="187"/>
        <v>0</v>
      </c>
      <c r="O792" s="59">
        <f t="shared" si="188"/>
        <v>0</v>
      </c>
      <c r="P792" s="142">
        <f t="shared" si="189"/>
        <v>0</v>
      </c>
      <c r="Q792" s="142">
        <f t="shared" si="190"/>
        <v>0</v>
      </c>
      <c r="R792" s="142">
        <f t="shared" si="191"/>
        <v>0</v>
      </c>
      <c r="S792" s="142">
        <f t="shared" si="192"/>
        <v>0</v>
      </c>
      <c r="T792" s="142">
        <f t="shared" si="193"/>
        <v>1390.65</v>
      </c>
      <c r="U792" s="60">
        <f t="shared" si="194"/>
        <v>1390.65</v>
      </c>
    </row>
    <row r="793" spans="1:21" x14ac:dyDescent="0.2">
      <c r="A793" s="115"/>
      <c r="B793" s="139" t="s">
        <v>306</v>
      </c>
      <c r="C793" s="140" t="s">
        <v>261</v>
      </c>
      <c r="D793" s="141">
        <v>45306</v>
      </c>
      <c r="E793" s="141">
        <v>48167</v>
      </c>
      <c r="F793" s="57">
        <v>1390.65</v>
      </c>
      <c r="G793" s="58">
        <f t="shared" si="180"/>
        <v>2145</v>
      </c>
      <c r="H793" s="142">
        <f t="shared" si="181"/>
        <v>0</v>
      </c>
      <c r="I793" s="142">
        <f t="shared" si="182"/>
        <v>0</v>
      </c>
      <c r="J793" s="143">
        <f t="shared" si="183"/>
        <v>0</v>
      </c>
      <c r="K793" s="143">
        <f t="shared" si="184"/>
        <v>0</v>
      </c>
      <c r="L793" s="142">
        <f t="shared" si="185"/>
        <v>0</v>
      </c>
      <c r="M793" s="142">
        <f t="shared" si="186"/>
        <v>0</v>
      </c>
      <c r="N793" s="142">
        <f t="shared" si="187"/>
        <v>0</v>
      </c>
      <c r="O793" s="59">
        <f t="shared" si="188"/>
        <v>0</v>
      </c>
      <c r="P793" s="142">
        <f t="shared" si="189"/>
        <v>0</v>
      </c>
      <c r="Q793" s="142">
        <f t="shared" si="190"/>
        <v>0</v>
      </c>
      <c r="R793" s="142">
        <f t="shared" si="191"/>
        <v>0</v>
      </c>
      <c r="S793" s="142">
        <f t="shared" si="192"/>
        <v>0</v>
      </c>
      <c r="T793" s="142">
        <f t="shared" si="193"/>
        <v>1390.65</v>
      </c>
      <c r="U793" s="60">
        <f t="shared" si="194"/>
        <v>1390.65</v>
      </c>
    </row>
    <row r="794" spans="1:21" x14ac:dyDescent="0.2">
      <c r="A794" s="115"/>
      <c r="B794" s="139" t="s">
        <v>306</v>
      </c>
      <c r="C794" s="140" t="s">
        <v>261</v>
      </c>
      <c r="D794" s="141">
        <v>45306</v>
      </c>
      <c r="E794" s="141">
        <v>48197</v>
      </c>
      <c r="F794" s="57">
        <v>1390.65</v>
      </c>
      <c r="G794" s="58">
        <f t="shared" si="180"/>
        <v>2175</v>
      </c>
      <c r="H794" s="142">
        <f t="shared" si="181"/>
        <v>0</v>
      </c>
      <c r="I794" s="142">
        <f t="shared" si="182"/>
        <v>0</v>
      </c>
      <c r="J794" s="143">
        <f t="shared" si="183"/>
        <v>0</v>
      </c>
      <c r="K794" s="143">
        <f t="shared" si="184"/>
        <v>0</v>
      </c>
      <c r="L794" s="142">
        <f t="shared" si="185"/>
        <v>0</v>
      </c>
      <c r="M794" s="142">
        <f t="shared" si="186"/>
        <v>0</v>
      </c>
      <c r="N794" s="142">
        <f t="shared" si="187"/>
        <v>0</v>
      </c>
      <c r="O794" s="59">
        <f t="shared" si="188"/>
        <v>0</v>
      </c>
      <c r="P794" s="142">
        <f t="shared" si="189"/>
        <v>0</v>
      </c>
      <c r="Q794" s="142">
        <f t="shared" si="190"/>
        <v>0</v>
      </c>
      <c r="R794" s="142">
        <f t="shared" si="191"/>
        <v>0</v>
      </c>
      <c r="S794" s="142">
        <f t="shared" si="192"/>
        <v>0</v>
      </c>
      <c r="T794" s="142">
        <f t="shared" si="193"/>
        <v>1390.65</v>
      </c>
      <c r="U794" s="60">
        <f t="shared" si="194"/>
        <v>1390.65</v>
      </c>
    </row>
    <row r="795" spans="1:21" x14ac:dyDescent="0.2">
      <c r="A795" s="115"/>
      <c r="B795" s="139" t="s">
        <v>306</v>
      </c>
      <c r="C795" s="140" t="s">
        <v>261</v>
      </c>
      <c r="D795" s="141">
        <v>45306</v>
      </c>
      <c r="E795" s="141">
        <v>48228</v>
      </c>
      <c r="F795" s="57">
        <v>1390.65</v>
      </c>
      <c r="G795" s="58">
        <f t="shared" si="180"/>
        <v>2206</v>
      </c>
      <c r="H795" s="142">
        <f t="shared" si="181"/>
        <v>0</v>
      </c>
      <c r="I795" s="142">
        <f t="shared" si="182"/>
        <v>0</v>
      </c>
      <c r="J795" s="143">
        <f t="shared" si="183"/>
        <v>0</v>
      </c>
      <c r="K795" s="143">
        <f t="shared" si="184"/>
        <v>0</v>
      </c>
      <c r="L795" s="142">
        <f t="shared" si="185"/>
        <v>0</v>
      </c>
      <c r="M795" s="142">
        <f t="shared" si="186"/>
        <v>0</v>
      </c>
      <c r="N795" s="142">
        <f t="shared" si="187"/>
        <v>0</v>
      </c>
      <c r="O795" s="59">
        <f t="shared" si="188"/>
        <v>0</v>
      </c>
      <c r="P795" s="142">
        <f t="shared" si="189"/>
        <v>0</v>
      </c>
      <c r="Q795" s="142">
        <f t="shared" si="190"/>
        <v>0</v>
      </c>
      <c r="R795" s="142">
        <f t="shared" si="191"/>
        <v>0</v>
      </c>
      <c r="S795" s="142">
        <f t="shared" si="192"/>
        <v>0</v>
      </c>
      <c r="T795" s="142">
        <f t="shared" si="193"/>
        <v>1390.65</v>
      </c>
      <c r="U795" s="60">
        <f t="shared" si="194"/>
        <v>1390.65</v>
      </c>
    </row>
    <row r="796" spans="1:21" x14ac:dyDescent="0.2">
      <c r="A796" s="115"/>
      <c r="B796" s="139" t="s">
        <v>306</v>
      </c>
      <c r="C796" s="140" t="s">
        <v>261</v>
      </c>
      <c r="D796" s="141">
        <v>45306</v>
      </c>
      <c r="E796" s="141">
        <v>48259</v>
      </c>
      <c r="F796" s="57">
        <v>1390.65</v>
      </c>
      <c r="G796" s="58">
        <f t="shared" si="180"/>
        <v>2237</v>
      </c>
      <c r="H796" s="142">
        <f t="shared" si="181"/>
        <v>0</v>
      </c>
      <c r="I796" s="142">
        <f t="shared" si="182"/>
        <v>0</v>
      </c>
      <c r="J796" s="143">
        <f t="shared" si="183"/>
        <v>0</v>
      </c>
      <c r="K796" s="143">
        <f t="shared" si="184"/>
        <v>0</v>
      </c>
      <c r="L796" s="142">
        <f t="shared" si="185"/>
        <v>0</v>
      </c>
      <c r="M796" s="142">
        <f t="shared" si="186"/>
        <v>0</v>
      </c>
      <c r="N796" s="142">
        <f t="shared" si="187"/>
        <v>0</v>
      </c>
      <c r="O796" s="59">
        <f t="shared" si="188"/>
        <v>0</v>
      </c>
      <c r="P796" s="142">
        <f t="shared" si="189"/>
        <v>0</v>
      </c>
      <c r="Q796" s="142">
        <f t="shared" si="190"/>
        <v>0</v>
      </c>
      <c r="R796" s="142">
        <f t="shared" si="191"/>
        <v>0</v>
      </c>
      <c r="S796" s="142">
        <f t="shared" si="192"/>
        <v>0</v>
      </c>
      <c r="T796" s="142">
        <f t="shared" si="193"/>
        <v>1390.65</v>
      </c>
      <c r="U796" s="60">
        <f t="shared" si="194"/>
        <v>1390.65</v>
      </c>
    </row>
    <row r="797" spans="1:21" x14ac:dyDescent="0.2">
      <c r="A797" s="115"/>
      <c r="B797" s="139" t="s">
        <v>306</v>
      </c>
      <c r="C797" s="140" t="s">
        <v>261</v>
      </c>
      <c r="D797" s="141">
        <v>45306</v>
      </c>
      <c r="E797" s="141">
        <v>48288</v>
      </c>
      <c r="F797" s="57">
        <v>1390.65</v>
      </c>
      <c r="G797" s="58">
        <f t="shared" si="180"/>
        <v>2266</v>
      </c>
      <c r="H797" s="142">
        <f t="shared" si="181"/>
        <v>0</v>
      </c>
      <c r="I797" s="142">
        <f t="shared" si="182"/>
        <v>0</v>
      </c>
      <c r="J797" s="143">
        <f t="shared" si="183"/>
        <v>0</v>
      </c>
      <c r="K797" s="143">
        <f t="shared" si="184"/>
        <v>0</v>
      </c>
      <c r="L797" s="142">
        <f t="shared" si="185"/>
        <v>0</v>
      </c>
      <c r="M797" s="142">
        <f t="shared" si="186"/>
        <v>0</v>
      </c>
      <c r="N797" s="142">
        <f t="shared" si="187"/>
        <v>0</v>
      </c>
      <c r="O797" s="59">
        <f t="shared" si="188"/>
        <v>0</v>
      </c>
      <c r="P797" s="142">
        <f t="shared" si="189"/>
        <v>0</v>
      </c>
      <c r="Q797" s="142">
        <f t="shared" si="190"/>
        <v>0</v>
      </c>
      <c r="R797" s="142">
        <f t="shared" si="191"/>
        <v>0</v>
      </c>
      <c r="S797" s="142">
        <f t="shared" si="192"/>
        <v>0</v>
      </c>
      <c r="T797" s="142">
        <f t="shared" si="193"/>
        <v>1390.65</v>
      </c>
      <c r="U797" s="60">
        <f t="shared" si="194"/>
        <v>1390.65</v>
      </c>
    </row>
    <row r="798" spans="1:21" x14ac:dyDescent="0.2">
      <c r="A798" s="115"/>
      <c r="B798" s="139" t="s">
        <v>306</v>
      </c>
      <c r="C798" s="140" t="s">
        <v>261</v>
      </c>
      <c r="D798" s="141">
        <v>45306</v>
      </c>
      <c r="E798" s="141">
        <v>48319</v>
      </c>
      <c r="F798" s="57">
        <v>1390.65</v>
      </c>
      <c r="G798" s="58">
        <f t="shared" si="180"/>
        <v>2297</v>
      </c>
      <c r="H798" s="142">
        <f t="shared" si="181"/>
        <v>0</v>
      </c>
      <c r="I798" s="142">
        <f t="shared" si="182"/>
        <v>0</v>
      </c>
      <c r="J798" s="143">
        <f t="shared" si="183"/>
        <v>0</v>
      </c>
      <c r="K798" s="143">
        <f t="shared" si="184"/>
        <v>0</v>
      </c>
      <c r="L798" s="142">
        <f t="shared" si="185"/>
        <v>0</v>
      </c>
      <c r="M798" s="142">
        <f t="shared" si="186"/>
        <v>0</v>
      </c>
      <c r="N798" s="142">
        <f t="shared" si="187"/>
        <v>0</v>
      </c>
      <c r="O798" s="59">
        <f t="shared" si="188"/>
        <v>0</v>
      </c>
      <c r="P798" s="142">
        <f t="shared" si="189"/>
        <v>0</v>
      </c>
      <c r="Q798" s="142">
        <f t="shared" si="190"/>
        <v>0</v>
      </c>
      <c r="R798" s="142">
        <f t="shared" si="191"/>
        <v>0</v>
      </c>
      <c r="S798" s="142">
        <f t="shared" si="192"/>
        <v>0</v>
      </c>
      <c r="T798" s="142">
        <f t="shared" si="193"/>
        <v>1390.65</v>
      </c>
      <c r="U798" s="60">
        <f t="shared" si="194"/>
        <v>1390.65</v>
      </c>
    </row>
    <row r="799" spans="1:21" x14ac:dyDescent="0.2">
      <c r="A799" s="115"/>
      <c r="B799" s="139" t="s">
        <v>306</v>
      </c>
      <c r="C799" s="140" t="s">
        <v>261</v>
      </c>
      <c r="D799" s="141">
        <v>45306</v>
      </c>
      <c r="E799" s="141">
        <v>48349</v>
      </c>
      <c r="F799" s="57">
        <v>1390.65</v>
      </c>
      <c r="G799" s="58">
        <f t="shared" si="180"/>
        <v>2327</v>
      </c>
      <c r="H799" s="142">
        <f t="shared" si="181"/>
        <v>0</v>
      </c>
      <c r="I799" s="142">
        <f t="shared" si="182"/>
        <v>0</v>
      </c>
      <c r="J799" s="143">
        <f t="shared" si="183"/>
        <v>0</v>
      </c>
      <c r="K799" s="143">
        <f t="shared" si="184"/>
        <v>0</v>
      </c>
      <c r="L799" s="142">
        <f t="shared" si="185"/>
        <v>0</v>
      </c>
      <c r="M799" s="142">
        <f t="shared" si="186"/>
        <v>0</v>
      </c>
      <c r="N799" s="142">
        <f t="shared" si="187"/>
        <v>0</v>
      </c>
      <c r="O799" s="59">
        <f t="shared" si="188"/>
        <v>0</v>
      </c>
      <c r="P799" s="142">
        <f t="shared" si="189"/>
        <v>0</v>
      </c>
      <c r="Q799" s="142">
        <f t="shared" si="190"/>
        <v>0</v>
      </c>
      <c r="R799" s="142">
        <f t="shared" si="191"/>
        <v>0</v>
      </c>
      <c r="S799" s="142">
        <f t="shared" si="192"/>
        <v>0</v>
      </c>
      <c r="T799" s="142">
        <f t="shared" si="193"/>
        <v>1390.65</v>
      </c>
      <c r="U799" s="60">
        <f t="shared" si="194"/>
        <v>1390.65</v>
      </c>
    </row>
    <row r="800" spans="1:21" x14ac:dyDescent="0.2">
      <c r="A800" s="115"/>
      <c r="B800" s="139" t="s">
        <v>306</v>
      </c>
      <c r="C800" s="140" t="s">
        <v>261</v>
      </c>
      <c r="D800" s="141">
        <v>45306</v>
      </c>
      <c r="E800" s="141">
        <v>48380</v>
      </c>
      <c r="F800" s="57">
        <v>1390.65</v>
      </c>
      <c r="G800" s="58">
        <f t="shared" si="180"/>
        <v>2358</v>
      </c>
      <c r="H800" s="142">
        <f t="shared" si="181"/>
        <v>0</v>
      </c>
      <c r="I800" s="142">
        <f t="shared" si="182"/>
        <v>0</v>
      </c>
      <c r="J800" s="143">
        <f t="shared" si="183"/>
        <v>0</v>
      </c>
      <c r="K800" s="143">
        <f t="shared" si="184"/>
        <v>0</v>
      </c>
      <c r="L800" s="142">
        <f t="shared" si="185"/>
        <v>0</v>
      </c>
      <c r="M800" s="142">
        <f t="shared" si="186"/>
        <v>0</v>
      </c>
      <c r="N800" s="142">
        <f t="shared" si="187"/>
        <v>0</v>
      </c>
      <c r="O800" s="59">
        <f t="shared" si="188"/>
        <v>0</v>
      </c>
      <c r="P800" s="142">
        <f t="shared" si="189"/>
        <v>0</v>
      </c>
      <c r="Q800" s="142">
        <f t="shared" si="190"/>
        <v>0</v>
      </c>
      <c r="R800" s="142">
        <f t="shared" si="191"/>
        <v>0</v>
      </c>
      <c r="S800" s="142">
        <f t="shared" si="192"/>
        <v>0</v>
      </c>
      <c r="T800" s="142">
        <f t="shared" si="193"/>
        <v>1390.65</v>
      </c>
      <c r="U800" s="60">
        <f t="shared" si="194"/>
        <v>1390.65</v>
      </c>
    </row>
    <row r="801" spans="1:21" x14ac:dyDescent="0.2">
      <c r="A801" s="115"/>
      <c r="B801" s="139" t="s">
        <v>306</v>
      </c>
      <c r="C801" s="140" t="s">
        <v>261</v>
      </c>
      <c r="D801" s="141">
        <v>45306</v>
      </c>
      <c r="E801" s="141">
        <v>48410</v>
      </c>
      <c r="F801" s="57">
        <v>1390.65</v>
      </c>
      <c r="G801" s="58">
        <f t="shared" si="180"/>
        <v>2388</v>
      </c>
      <c r="H801" s="142">
        <f t="shared" si="181"/>
        <v>0</v>
      </c>
      <c r="I801" s="142">
        <f t="shared" si="182"/>
        <v>0</v>
      </c>
      <c r="J801" s="143">
        <f t="shared" si="183"/>
        <v>0</v>
      </c>
      <c r="K801" s="143">
        <f t="shared" si="184"/>
        <v>0</v>
      </c>
      <c r="L801" s="142">
        <f t="shared" si="185"/>
        <v>0</v>
      </c>
      <c r="M801" s="142">
        <f t="shared" si="186"/>
        <v>0</v>
      </c>
      <c r="N801" s="142">
        <f t="shared" si="187"/>
        <v>0</v>
      </c>
      <c r="O801" s="59">
        <f t="shared" si="188"/>
        <v>0</v>
      </c>
      <c r="P801" s="142">
        <f t="shared" si="189"/>
        <v>0</v>
      </c>
      <c r="Q801" s="142">
        <f t="shared" si="190"/>
        <v>0</v>
      </c>
      <c r="R801" s="142">
        <f t="shared" si="191"/>
        <v>0</v>
      </c>
      <c r="S801" s="142">
        <f t="shared" si="192"/>
        <v>0</v>
      </c>
      <c r="T801" s="142">
        <f t="shared" si="193"/>
        <v>1390.65</v>
      </c>
      <c r="U801" s="60">
        <f t="shared" si="194"/>
        <v>1390.65</v>
      </c>
    </row>
    <row r="802" spans="1:21" x14ac:dyDescent="0.2">
      <c r="A802" s="115"/>
      <c r="B802" s="139" t="s">
        <v>306</v>
      </c>
      <c r="C802" s="140" t="s">
        <v>261</v>
      </c>
      <c r="D802" s="141">
        <v>45306</v>
      </c>
      <c r="E802" s="141">
        <v>48441</v>
      </c>
      <c r="F802" s="57">
        <v>1390.65</v>
      </c>
      <c r="G802" s="58">
        <f t="shared" si="180"/>
        <v>2419</v>
      </c>
      <c r="H802" s="142">
        <f t="shared" si="181"/>
        <v>0</v>
      </c>
      <c r="I802" s="142">
        <f t="shared" si="182"/>
        <v>0</v>
      </c>
      <c r="J802" s="143">
        <f t="shared" si="183"/>
        <v>0</v>
      </c>
      <c r="K802" s="143">
        <f t="shared" si="184"/>
        <v>0</v>
      </c>
      <c r="L802" s="142">
        <f t="shared" si="185"/>
        <v>0</v>
      </c>
      <c r="M802" s="142">
        <f t="shared" si="186"/>
        <v>0</v>
      </c>
      <c r="N802" s="142">
        <f t="shared" si="187"/>
        <v>0</v>
      </c>
      <c r="O802" s="59">
        <f t="shared" si="188"/>
        <v>0</v>
      </c>
      <c r="P802" s="142">
        <f t="shared" si="189"/>
        <v>0</v>
      </c>
      <c r="Q802" s="142">
        <f t="shared" si="190"/>
        <v>0</v>
      </c>
      <c r="R802" s="142">
        <f t="shared" si="191"/>
        <v>0</v>
      </c>
      <c r="S802" s="142">
        <f t="shared" si="192"/>
        <v>0</v>
      </c>
      <c r="T802" s="142">
        <f t="shared" si="193"/>
        <v>1390.65</v>
      </c>
      <c r="U802" s="60">
        <f t="shared" si="194"/>
        <v>1390.65</v>
      </c>
    </row>
    <row r="803" spans="1:21" x14ac:dyDescent="0.2">
      <c r="A803" s="115"/>
      <c r="B803" s="139" t="s">
        <v>306</v>
      </c>
      <c r="C803" s="140" t="s">
        <v>261</v>
      </c>
      <c r="D803" s="141">
        <v>45306</v>
      </c>
      <c r="E803" s="141">
        <v>48472</v>
      </c>
      <c r="F803" s="57">
        <v>1390.65</v>
      </c>
      <c r="G803" s="58">
        <f t="shared" si="180"/>
        <v>2450</v>
      </c>
      <c r="H803" s="142">
        <f t="shared" si="181"/>
        <v>0</v>
      </c>
      <c r="I803" s="142">
        <f t="shared" si="182"/>
        <v>0</v>
      </c>
      <c r="J803" s="143">
        <f t="shared" si="183"/>
        <v>0</v>
      </c>
      <c r="K803" s="143">
        <f t="shared" si="184"/>
        <v>0</v>
      </c>
      <c r="L803" s="142">
        <f t="shared" si="185"/>
        <v>0</v>
      </c>
      <c r="M803" s="142">
        <f t="shared" si="186"/>
        <v>0</v>
      </c>
      <c r="N803" s="142">
        <f t="shared" si="187"/>
        <v>0</v>
      </c>
      <c r="O803" s="59">
        <f t="shared" si="188"/>
        <v>0</v>
      </c>
      <c r="P803" s="142">
        <f t="shared" si="189"/>
        <v>0</v>
      </c>
      <c r="Q803" s="142">
        <f t="shared" si="190"/>
        <v>0</v>
      </c>
      <c r="R803" s="142">
        <f t="shared" si="191"/>
        <v>0</v>
      </c>
      <c r="S803" s="142">
        <f t="shared" si="192"/>
        <v>0</v>
      </c>
      <c r="T803" s="142">
        <f t="shared" si="193"/>
        <v>1390.65</v>
      </c>
      <c r="U803" s="60">
        <f t="shared" si="194"/>
        <v>1390.65</v>
      </c>
    </row>
    <row r="804" spans="1:21" x14ac:dyDescent="0.2">
      <c r="A804" s="115"/>
      <c r="B804" s="139" t="s">
        <v>306</v>
      </c>
      <c r="C804" s="140" t="s">
        <v>261</v>
      </c>
      <c r="D804" s="141">
        <v>45306</v>
      </c>
      <c r="E804" s="141">
        <v>48502</v>
      </c>
      <c r="F804" s="57">
        <v>1390.65</v>
      </c>
      <c r="G804" s="58">
        <f t="shared" si="180"/>
        <v>2480</v>
      </c>
      <c r="H804" s="142">
        <f t="shared" si="181"/>
        <v>0</v>
      </c>
      <c r="I804" s="142">
        <f t="shared" si="182"/>
        <v>0</v>
      </c>
      <c r="J804" s="143">
        <f t="shared" si="183"/>
        <v>0</v>
      </c>
      <c r="K804" s="143">
        <f t="shared" si="184"/>
        <v>0</v>
      </c>
      <c r="L804" s="142">
        <f t="shared" si="185"/>
        <v>0</v>
      </c>
      <c r="M804" s="142">
        <f t="shared" si="186"/>
        <v>0</v>
      </c>
      <c r="N804" s="142">
        <f t="shared" si="187"/>
        <v>0</v>
      </c>
      <c r="O804" s="59">
        <f t="shared" si="188"/>
        <v>0</v>
      </c>
      <c r="P804" s="142">
        <f t="shared" si="189"/>
        <v>0</v>
      </c>
      <c r="Q804" s="142">
        <f t="shared" si="190"/>
        <v>0</v>
      </c>
      <c r="R804" s="142">
        <f t="shared" si="191"/>
        <v>0</v>
      </c>
      <c r="S804" s="142">
        <f t="shared" si="192"/>
        <v>0</v>
      </c>
      <c r="T804" s="142">
        <f t="shared" si="193"/>
        <v>1390.65</v>
      </c>
      <c r="U804" s="60">
        <f t="shared" si="194"/>
        <v>1390.65</v>
      </c>
    </row>
    <row r="805" spans="1:21" x14ac:dyDescent="0.2">
      <c r="A805" s="115"/>
      <c r="B805" s="139" t="s">
        <v>306</v>
      </c>
      <c r="C805" s="140" t="s">
        <v>261</v>
      </c>
      <c r="D805" s="141">
        <v>45306</v>
      </c>
      <c r="E805" s="141">
        <v>48533</v>
      </c>
      <c r="F805" s="57">
        <v>1390.65</v>
      </c>
      <c r="G805" s="58">
        <f t="shared" si="180"/>
        <v>2511</v>
      </c>
      <c r="H805" s="142">
        <f t="shared" si="181"/>
        <v>0</v>
      </c>
      <c r="I805" s="142">
        <f t="shared" si="182"/>
        <v>0</v>
      </c>
      <c r="J805" s="143">
        <f t="shared" si="183"/>
        <v>0</v>
      </c>
      <c r="K805" s="143">
        <f t="shared" si="184"/>
        <v>0</v>
      </c>
      <c r="L805" s="142">
        <f t="shared" si="185"/>
        <v>0</v>
      </c>
      <c r="M805" s="142">
        <f t="shared" si="186"/>
        <v>0</v>
      </c>
      <c r="N805" s="142">
        <f t="shared" si="187"/>
        <v>0</v>
      </c>
      <c r="O805" s="59">
        <f t="shared" si="188"/>
        <v>0</v>
      </c>
      <c r="P805" s="142">
        <f t="shared" si="189"/>
        <v>0</v>
      </c>
      <c r="Q805" s="142">
        <f t="shared" si="190"/>
        <v>0</v>
      </c>
      <c r="R805" s="142">
        <f t="shared" si="191"/>
        <v>0</v>
      </c>
      <c r="S805" s="142">
        <f t="shared" si="192"/>
        <v>0</v>
      </c>
      <c r="T805" s="142">
        <f t="shared" si="193"/>
        <v>1390.65</v>
      </c>
      <c r="U805" s="60">
        <f t="shared" si="194"/>
        <v>1390.65</v>
      </c>
    </row>
    <row r="806" spans="1:21" x14ac:dyDescent="0.2">
      <c r="A806" s="115"/>
      <c r="B806" s="139" t="s">
        <v>306</v>
      </c>
      <c r="C806" s="140" t="s">
        <v>261</v>
      </c>
      <c r="D806" s="141">
        <v>45306</v>
      </c>
      <c r="E806" s="141">
        <v>48563</v>
      </c>
      <c r="F806" s="57">
        <v>1390.65</v>
      </c>
      <c r="G806" s="58">
        <f t="shared" si="180"/>
        <v>2541</v>
      </c>
      <c r="H806" s="142">
        <f t="shared" si="181"/>
        <v>0</v>
      </c>
      <c r="I806" s="142">
        <f t="shared" si="182"/>
        <v>0</v>
      </c>
      <c r="J806" s="143">
        <f t="shared" si="183"/>
        <v>0</v>
      </c>
      <c r="K806" s="143">
        <f t="shared" si="184"/>
        <v>0</v>
      </c>
      <c r="L806" s="142">
        <f t="shared" si="185"/>
        <v>0</v>
      </c>
      <c r="M806" s="142">
        <f t="shared" si="186"/>
        <v>0</v>
      </c>
      <c r="N806" s="142">
        <f t="shared" si="187"/>
        <v>0</v>
      </c>
      <c r="O806" s="59">
        <f t="shared" si="188"/>
        <v>0</v>
      </c>
      <c r="P806" s="142">
        <f t="shared" si="189"/>
        <v>0</v>
      </c>
      <c r="Q806" s="142">
        <f t="shared" si="190"/>
        <v>0</v>
      </c>
      <c r="R806" s="142">
        <f t="shared" si="191"/>
        <v>0</v>
      </c>
      <c r="S806" s="142">
        <f t="shared" si="192"/>
        <v>0</v>
      </c>
      <c r="T806" s="142">
        <f t="shared" si="193"/>
        <v>1390.65</v>
      </c>
      <c r="U806" s="60">
        <f t="shared" si="194"/>
        <v>1390.65</v>
      </c>
    </row>
    <row r="807" spans="1:21" x14ac:dyDescent="0.2">
      <c r="A807" s="115"/>
      <c r="B807" s="139" t="s">
        <v>306</v>
      </c>
      <c r="C807" s="140" t="s">
        <v>261</v>
      </c>
      <c r="D807" s="141">
        <v>45306</v>
      </c>
      <c r="E807" s="141">
        <v>48594</v>
      </c>
      <c r="F807" s="57">
        <v>1390.65</v>
      </c>
      <c r="G807" s="58">
        <f t="shared" si="180"/>
        <v>2572</v>
      </c>
      <c r="H807" s="142">
        <f t="shared" si="181"/>
        <v>0</v>
      </c>
      <c r="I807" s="142">
        <f t="shared" si="182"/>
        <v>0</v>
      </c>
      <c r="J807" s="143">
        <f t="shared" si="183"/>
        <v>0</v>
      </c>
      <c r="K807" s="143">
        <f t="shared" si="184"/>
        <v>0</v>
      </c>
      <c r="L807" s="142">
        <f t="shared" si="185"/>
        <v>0</v>
      </c>
      <c r="M807" s="142">
        <f t="shared" si="186"/>
        <v>0</v>
      </c>
      <c r="N807" s="142">
        <f t="shared" si="187"/>
        <v>0</v>
      </c>
      <c r="O807" s="59">
        <f t="shared" si="188"/>
        <v>0</v>
      </c>
      <c r="P807" s="142">
        <f t="shared" si="189"/>
        <v>0</v>
      </c>
      <c r="Q807" s="142">
        <f t="shared" si="190"/>
        <v>0</v>
      </c>
      <c r="R807" s="142">
        <f t="shared" si="191"/>
        <v>0</v>
      </c>
      <c r="S807" s="142">
        <f t="shared" si="192"/>
        <v>0</v>
      </c>
      <c r="T807" s="142">
        <f t="shared" si="193"/>
        <v>1390.65</v>
      </c>
      <c r="U807" s="60">
        <f t="shared" si="194"/>
        <v>1390.65</v>
      </c>
    </row>
    <row r="808" spans="1:21" x14ac:dyDescent="0.2">
      <c r="A808" s="115"/>
      <c r="B808" s="139" t="s">
        <v>306</v>
      </c>
      <c r="C808" s="140" t="s">
        <v>261</v>
      </c>
      <c r="D808" s="141">
        <v>45306</v>
      </c>
      <c r="E808" s="141">
        <v>48625</v>
      </c>
      <c r="F808" s="57">
        <v>1390.65</v>
      </c>
      <c r="G808" s="58">
        <f t="shared" si="180"/>
        <v>2603</v>
      </c>
      <c r="H808" s="142">
        <f t="shared" si="181"/>
        <v>0</v>
      </c>
      <c r="I808" s="142">
        <f t="shared" si="182"/>
        <v>0</v>
      </c>
      <c r="J808" s="143">
        <f t="shared" si="183"/>
        <v>0</v>
      </c>
      <c r="K808" s="143">
        <f t="shared" si="184"/>
        <v>0</v>
      </c>
      <c r="L808" s="142">
        <f t="shared" si="185"/>
        <v>0</v>
      </c>
      <c r="M808" s="142">
        <f t="shared" si="186"/>
        <v>0</v>
      </c>
      <c r="N808" s="142">
        <f t="shared" si="187"/>
        <v>0</v>
      </c>
      <c r="O808" s="59">
        <f t="shared" si="188"/>
        <v>0</v>
      </c>
      <c r="P808" s="142">
        <f t="shared" si="189"/>
        <v>0</v>
      </c>
      <c r="Q808" s="142">
        <f t="shared" si="190"/>
        <v>0</v>
      </c>
      <c r="R808" s="142">
        <f t="shared" si="191"/>
        <v>0</v>
      </c>
      <c r="S808" s="142">
        <f t="shared" si="192"/>
        <v>0</v>
      </c>
      <c r="T808" s="142">
        <f t="shared" si="193"/>
        <v>1390.65</v>
      </c>
      <c r="U808" s="60">
        <f t="shared" si="194"/>
        <v>1390.65</v>
      </c>
    </row>
    <row r="809" spans="1:21" x14ac:dyDescent="0.2">
      <c r="A809" s="115"/>
      <c r="B809" s="139" t="s">
        <v>306</v>
      </c>
      <c r="C809" s="140" t="s">
        <v>261</v>
      </c>
      <c r="D809" s="141">
        <v>45306</v>
      </c>
      <c r="E809" s="141">
        <v>48653</v>
      </c>
      <c r="F809" s="57">
        <v>1390.65</v>
      </c>
      <c r="G809" s="58">
        <f t="shared" si="180"/>
        <v>2631</v>
      </c>
      <c r="H809" s="142">
        <f t="shared" si="181"/>
        <v>0</v>
      </c>
      <c r="I809" s="142">
        <f t="shared" si="182"/>
        <v>0</v>
      </c>
      <c r="J809" s="143">
        <f t="shared" si="183"/>
        <v>0</v>
      </c>
      <c r="K809" s="143">
        <f t="shared" si="184"/>
        <v>0</v>
      </c>
      <c r="L809" s="142">
        <f t="shared" si="185"/>
        <v>0</v>
      </c>
      <c r="M809" s="142">
        <f t="shared" si="186"/>
        <v>0</v>
      </c>
      <c r="N809" s="142">
        <f t="shared" si="187"/>
        <v>0</v>
      </c>
      <c r="O809" s="59">
        <f t="shared" si="188"/>
        <v>0</v>
      </c>
      <c r="P809" s="142">
        <f t="shared" si="189"/>
        <v>0</v>
      </c>
      <c r="Q809" s="142">
        <f t="shared" si="190"/>
        <v>0</v>
      </c>
      <c r="R809" s="142">
        <f t="shared" si="191"/>
        <v>0</v>
      </c>
      <c r="S809" s="142">
        <f t="shared" si="192"/>
        <v>0</v>
      </c>
      <c r="T809" s="142">
        <f t="shared" si="193"/>
        <v>1390.65</v>
      </c>
      <c r="U809" s="60">
        <f t="shared" si="194"/>
        <v>1390.65</v>
      </c>
    </row>
    <row r="810" spans="1:21" x14ac:dyDescent="0.2">
      <c r="A810" s="115"/>
      <c r="B810" s="139" t="s">
        <v>306</v>
      </c>
      <c r="C810" s="140" t="s">
        <v>261</v>
      </c>
      <c r="D810" s="141">
        <v>45306</v>
      </c>
      <c r="E810" s="141">
        <v>48684</v>
      </c>
      <c r="F810" s="57">
        <v>1390.65</v>
      </c>
      <c r="G810" s="58">
        <f t="shared" si="180"/>
        <v>2662</v>
      </c>
      <c r="H810" s="142">
        <f t="shared" si="181"/>
        <v>0</v>
      </c>
      <c r="I810" s="142">
        <f t="shared" si="182"/>
        <v>0</v>
      </c>
      <c r="J810" s="143">
        <f t="shared" si="183"/>
        <v>0</v>
      </c>
      <c r="K810" s="143">
        <f t="shared" si="184"/>
        <v>0</v>
      </c>
      <c r="L810" s="142">
        <f t="shared" si="185"/>
        <v>0</v>
      </c>
      <c r="M810" s="142">
        <f t="shared" si="186"/>
        <v>0</v>
      </c>
      <c r="N810" s="142">
        <f t="shared" si="187"/>
        <v>0</v>
      </c>
      <c r="O810" s="59">
        <f t="shared" si="188"/>
        <v>0</v>
      </c>
      <c r="P810" s="142">
        <f t="shared" si="189"/>
        <v>0</v>
      </c>
      <c r="Q810" s="142">
        <f t="shared" si="190"/>
        <v>0</v>
      </c>
      <c r="R810" s="142">
        <f t="shared" si="191"/>
        <v>0</v>
      </c>
      <c r="S810" s="142">
        <f t="shared" si="192"/>
        <v>0</v>
      </c>
      <c r="T810" s="142">
        <f t="shared" si="193"/>
        <v>1390.65</v>
      </c>
      <c r="U810" s="60">
        <f t="shared" si="194"/>
        <v>1390.65</v>
      </c>
    </row>
    <row r="811" spans="1:21" x14ac:dyDescent="0.2">
      <c r="A811" s="115"/>
      <c r="B811" s="139" t="s">
        <v>306</v>
      </c>
      <c r="C811" s="140" t="s">
        <v>261</v>
      </c>
      <c r="D811" s="141">
        <v>45306</v>
      </c>
      <c r="E811" s="141">
        <v>48714</v>
      </c>
      <c r="F811" s="57">
        <v>1390.65</v>
      </c>
      <c r="G811" s="58">
        <f t="shared" si="180"/>
        <v>2692</v>
      </c>
      <c r="H811" s="142">
        <f t="shared" si="181"/>
        <v>0</v>
      </c>
      <c r="I811" s="142">
        <f t="shared" si="182"/>
        <v>0</v>
      </c>
      <c r="J811" s="143">
        <f t="shared" si="183"/>
        <v>0</v>
      </c>
      <c r="K811" s="143">
        <f t="shared" si="184"/>
        <v>0</v>
      </c>
      <c r="L811" s="142">
        <f t="shared" si="185"/>
        <v>0</v>
      </c>
      <c r="M811" s="142">
        <f t="shared" si="186"/>
        <v>0</v>
      </c>
      <c r="N811" s="142">
        <f t="shared" si="187"/>
        <v>0</v>
      </c>
      <c r="O811" s="59">
        <f t="shared" si="188"/>
        <v>0</v>
      </c>
      <c r="P811" s="142">
        <f t="shared" si="189"/>
        <v>0</v>
      </c>
      <c r="Q811" s="142">
        <f t="shared" si="190"/>
        <v>0</v>
      </c>
      <c r="R811" s="142">
        <f t="shared" si="191"/>
        <v>0</v>
      </c>
      <c r="S811" s="142">
        <f t="shared" si="192"/>
        <v>0</v>
      </c>
      <c r="T811" s="142">
        <f t="shared" si="193"/>
        <v>1390.65</v>
      </c>
      <c r="U811" s="60">
        <f t="shared" si="194"/>
        <v>1390.65</v>
      </c>
    </row>
    <row r="812" spans="1:21" x14ac:dyDescent="0.2">
      <c r="A812" s="115"/>
      <c r="B812" s="139" t="s">
        <v>306</v>
      </c>
      <c r="C812" s="140" t="s">
        <v>261</v>
      </c>
      <c r="D812" s="141">
        <v>45306</v>
      </c>
      <c r="E812" s="141">
        <v>48745</v>
      </c>
      <c r="F812" s="57">
        <v>1390.65</v>
      </c>
      <c r="G812" s="58">
        <f t="shared" si="180"/>
        <v>2723</v>
      </c>
      <c r="H812" s="142">
        <f t="shared" si="181"/>
        <v>0</v>
      </c>
      <c r="I812" s="142">
        <f t="shared" si="182"/>
        <v>0</v>
      </c>
      <c r="J812" s="143">
        <f t="shared" si="183"/>
        <v>0</v>
      </c>
      <c r="K812" s="143">
        <f t="shared" si="184"/>
        <v>0</v>
      </c>
      <c r="L812" s="142">
        <f t="shared" si="185"/>
        <v>0</v>
      </c>
      <c r="M812" s="142">
        <f t="shared" si="186"/>
        <v>0</v>
      </c>
      <c r="N812" s="142">
        <f t="shared" si="187"/>
        <v>0</v>
      </c>
      <c r="O812" s="59">
        <f t="shared" si="188"/>
        <v>0</v>
      </c>
      <c r="P812" s="142">
        <f t="shared" si="189"/>
        <v>0</v>
      </c>
      <c r="Q812" s="142">
        <f t="shared" si="190"/>
        <v>0</v>
      </c>
      <c r="R812" s="142">
        <f t="shared" si="191"/>
        <v>0</v>
      </c>
      <c r="S812" s="142">
        <f t="shared" si="192"/>
        <v>0</v>
      </c>
      <c r="T812" s="142">
        <f t="shared" si="193"/>
        <v>1390.65</v>
      </c>
      <c r="U812" s="60">
        <f t="shared" si="194"/>
        <v>1390.65</v>
      </c>
    </row>
    <row r="813" spans="1:21" x14ac:dyDescent="0.2">
      <c r="A813" s="115"/>
      <c r="B813" s="139" t="s">
        <v>306</v>
      </c>
      <c r="C813" s="140" t="s">
        <v>261</v>
      </c>
      <c r="D813" s="141">
        <v>45306</v>
      </c>
      <c r="E813" s="141">
        <v>48775</v>
      </c>
      <c r="F813" s="57">
        <v>1390.65</v>
      </c>
      <c r="G813" s="58">
        <f t="shared" si="180"/>
        <v>2753</v>
      </c>
      <c r="H813" s="142">
        <f t="shared" si="181"/>
        <v>0</v>
      </c>
      <c r="I813" s="142">
        <f t="shared" si="182"/>
        <v>0</v>
      </c>
      <c r="J813" s="143">
        <f t="shared" si="183"/>
        <v>0</v>
      </c>
      <c r="K813" s="143">
        <f t="shared" si="184"/>
        <v>0</v>
      </c>
      <c r="L813" s="142">
        <f t="shared" si="185"/>
        <v>0</v>
      </c>
      <c r="M813" s="142">
        <f t="shared" si="186"/>
        <v>0</v>
      </c>
      <c r="N813" s="142">
        <f t="shared" si="187"/>
        <v>0</v>
      </c>
      <c r="O813" s="59">
        <f t="shared" si="188"/>
        <v>0</v>
      </c>
      <c r="P813" s="142">
        <f t="shared" si="189"/>
        <v>0</v>
      </c>
      <c r="Q813" s="142">
        <f t="shared" si="190"/>
        <v>0</v>
      </c>
      <c r="R813" s="142">
        <f t="shared" si="191"/>
        <v>0</v>
      </c>
      <c r="S813" s="142">
        <f t="shared" si="192"/>
        <v>0</v>
      </c>
      <c r="T813" s="142">
        <f t="shared" si="193"/>
        <v>1390.65</v>
      </c>
      <c r="U813" s="60">
        <f t="shared" si="194"/>
        <v>1390.65</v>
      </c>
    </row>
    <row r="814" spans="1:21" x14ac:dyDescent="0.2">
      <c r="A814" s="115"/>
      <c r="B814" s="139" t="s">
        <v>306</v>
      </c>
      <c r="C814" s="140" t="s">
        <v>261</v>
      </c>
      <c r="D814" s="141">
        <v>45306</v>
      </c>
      <c r="E814" s="141">
        <v>48806</v>
      </c>
      <c r="F814" s="57">
        <v>1390.65</v>
      </c>
      <c r="G814" s="58">
        <f t="shared" si="180"/>
        <v>2784</v>
      </c>
      <c r="H814" s="142">
        <f t="shared" si="181"/>
        <v>0</v>
      </c>
      <c r="I814" s="142">
        <f t="shared" si="182"/>
        <v>0</v>
      </c>
      <c r="J814" s="143">
        <f t="shared" si="183"/>
        <v>0</v>
      </c>
      <c r="K814" s="143">
        <f t="shared" si="184"/>
        <v>0</v>
      </c>
      <c r="L814" s="142">
        <f t="shared" si="185"/>
        <v>0</v>
      </c>
      <c r="M814" s="142">
        <f t="shared" si="186"/>
        <v>0</v>
      </c>
      <c r="N814" s="142">
        <f t="shared" si="187"/>
        <v>0</v>
      </c>
      <c r="O814" s="59">
        <f t="shared" si="188"/>
        <v>0</v>
      </c>
      <c r="P814" s="142">
        <f t="shared" si="189"/>
        <v>0</v>
      </c>
      <c r="Q814" s="142">
        <f t="shared" si="190"/>
        <v>0</v>
      </c>
      <c r="R814" s="142">
        <f t="shared" si="191"/>
        <v>0</v>
      </c>
      <c r="S814" s="142">
        <f t="shared" si="192"/>
        <v>0</v>
      </c>
      <c r="T814" s="142">
        <f t="shared" si="193"/>
        <v>1390.65</v>
      </c>
      <c r="U814" s="60">
        <f t="shared" si="194"/>
        <v>1390.65</v>
      </c>
    </row>
    <row r="815" spans="1:21" x14ac:dyDescent="0.2">
      <c r="A815" s="115"/>
      <c r="B815" s="139" t="s">
        <v>306</v>
      </c>
      <c r="C815" s="140" t="s">
        <v>261</v>
      </c>
      <c r="D815" s="141">
        <v>45306</v>
      </c>
      <c r="E815" s="141">
        <v>48837</v>
      </c>
      <c r="F815" s="57">
        <v>1390.65</v>
      </c>
      <c r="G815" s="58">
        <f t="shared" si="180"/>
        <v>2815</v>
      </c>
      <c r="H815" s="142">
        <f t="shared" si="181"/>
        <v>0</v>
      </c>
      <c r="I815" s="142">
        <f t="shared" si="182"/>
        <v>0</v>
      </c>
      <c r="J815" s="143">
        <f t="shared" si="183"/>
        <v>0</v>
      </c>
      <c r="K815" s="143">
        <f t="shared" si="184"/>
        <v>0</v>
      </c>
      <c r="L815" s="142">
        <f t="shared" si="185"/>
        <v>0</v>
      </c>
      <c r="M815" s="142">
        <f t="shared" si="186"/>
        <v>0</v>
      </c>
      <c r="N815" s="142">
        <f t="shared" si="187"/>
        <v>0</v>
      </c>
      <c r="O815" s="59">
        <f t="shared" si="188"/>
        <v>0</v>
      </c>
      <c r="P815" s="142">
        <f t="shared" si="189"/>
        <v>0</v>
      </c>
      <c r="Q815" s="142">
        <f t="shared" si="190"/>
        <v>0</v>
      </c>
      <c r="R815" s="142">
        <f t="shared" si="191"/>
        <v>0</v>
      </c>
      <c r="S815" s="142">
        <f t="shared" si="192"/>
        <v>0</v>
      </c>
      <c r="T815" s="142">
        <f t="shared" si="193"/>
        <v>1390.65</v>
      </c>
      <c r="U815" s="60">
        <f t="shared" si="194"/>
        <v>1390.65</v>
      </c>
    </row>
    <row r="816" spans="1:21" x14ac:dyDescent="0.2">
      <c r="A816" s="115"/>
      <c r="B816" s="139" t="s">
        <v>306</v>
      </c>
      <c r="C816" s="140" t="s">
        <v>261</v>
      </c>
      <c r="D816" s="141">
        <v>45306</v>
      </c>
      <c r="E816" s="141">
        <v>48867</v>
      </c>
      <c r="F816" s="57">
        <v>1390.65</v>
      </c>
      <c r="G816" s="58">
        <f t="shared" si="180"/>
        <v>2845</v>
      </c>
      <c r="H816" s="142">
        <f t="shared" si="181"/>
        <v>0</v>
      </c>
      <c r="I816" s="142">
        <f t="shared" si="182"/>
        <v>0</v>
      </c>
      <c r="J816" s="143">
        <f t="shared" si="183"/>
        <v>0</v>
      </c>
      <c r="K816" s="143">
        <f t="shared" si="184"/>
        <v>0</v>
      </c>
      <c r="L816" s="142">
        <f t="shared" si="185"/>
        <v>0</v>
      </c>
      <c r="M816" s="142">
        <f t="shared" si="186"/>
        <v>0</v>
      </c>
      <c r="N816" s="142">
        <f t="shared" si="187"/>
        <v>0</v>
      </c>
      <c r="O816" s="59">
        <f t="shared" si="188"/>
        <v>0</v>
      </c>
      <c r="P816" s="142">
        <f t="shared" si="189"/>
        <v>0</v>
      </c>
      <c r="Q816" s="142">
        <f t="shared" si="190"/>
        <v>0</v>
      </c>
      <c r="R816" s="142">
        <f t="shared" si="191"/>
        <v>0</v>
      </c>
      <c r="S816" s="142">
        <f t="shared" si="192"/>
        <v>0</v>
      </c>
      <c r="T816" s="142">
        <f t="shared" si="193"/>
        <v>1390.65</v>
      </c>
      <c r="U816" s="60">
        <f t="shared" si="194"/>
        <v>1390.65</v>
      </c>
    </row>
    <row r="817" spans="1:21" x14ac:dyDescent="0.2">
      <c r="A817" s="115"/>
      <c r="B817" s="139" t="s">
        <v>306</v>
      </c>
      <c r="C817" s="140" t="s">
        <v>261</v>
      </c>
      <c r="D817" s="141">
        <v>45306</v>
      </c>
      <c r="E817" s="141">
        <v>48898</v>
      </c>
      <c r="F817" s="57">
        <v>1390.65</v>
      </c>
      <c r="G817" s="58">
        <f t="shared" si="180"/>
        <v>2876</v>
      </c>
      <c r="H817" s="142">
        <f t="shared" si="181"/>
        <v>0</v>
      </c>
      <c r="I817" s="142">
        <f t="shared" si="182"/>
        <v>0</v>
      </c>
      <c r="J817" s="143">
        <f t="shared" si="183"/>
        <v>0</v>
      </c>
      <c r="K817" s="143">
        <f t="shared" si="184"/>
        <v>0</v>
      </c>
      <c r="L817" s="142">
        <f t="shared" si="185"/>
        <v>0</v>
      </c>
      <c r="M817" s="142">
        <f t="shared" si="186"/>
        <v>0</v>
      </c>
      <c r="N817" s="142">
        <f t="shared" si="187"/>
        <v>0</v>
      </c>
      <c r="O817" s="59">
        <f t="shared" si="188"/>
        <v>0</v>
      </c>
      <c r="P817" s="142">
        <f t="shared" si="189"/>
        <v>0</v>
      </c>
      <c r="Q817" s="142">
        <f t="shared" si="190"/>
        <v>0</v>
      </c>
      <c r="R817" s="142">
        <f t="shared" si="191"/>
        <v>0</v>
      </c>
      <c r="S817" s="142">
        <f t="shared" si="192"/>
        <v>0</v>
      </c>
      <c r="T817" s="142">
        <f t="shared" si="193"/>
        <v>1390.65</v>
      </c>
      <c r="U817" s="60">
        <f t="shared" si="194"/>
        <v>1390.65</v>
      </c>
    </row>
    <row r="818" spans="1:21" x14ac:dyDescent="0.2">
      <c r="A818" s="115"/>
      <c r="B818" s="139" t="s">
        <v>306</v>
      </c>
      <c r="C818" s="140" t="s">
        <v>261</v>
      </c>
      <c r="D818" s="141">
        <v>45306</v>
      </c>
      <c r="E818" s="141">
        <v>48928</v>
      </c>
      <c r="F818" s="57">
        <v>1390.65</v>
      </c>
      <c r="G818" s="58">
        <f t="shared" si="180"/>
        <v>2906</v>
      </c>
      <c r="H818" s="142">
        <f t="shared" si="181"/>
        <v>0</v>
      </c>
      <c r="I818" s="142">
        <f t="shared" si="182"/>
        <v>0</v>
      </c>
      <c r="J818" s="143">
        <f t="shared" si="183"/>
        <v>0</v>
      </c>
      <c r="K818" s="143">
        <f t="shared" si="184"/>
        <v>0</v>
      </c>
      <c r="L818" s="142">
        <f t="shared" si="185"/>
        <v>0</v>
      </c>
      <c r="M818" s="142">
        <f t="shared" si="186"/>
        <v>0</v>
      </c>
      <c r="N818" s="142">
        <f t="shared" si="187"/>
        <v>0</v>
      </c>
      <c r="O818" s="59">
        <f t="shared" si="188"/>
        <v>0</v>
      </c>
      <c r="P818" s="142">
        <f t="shared" si="189"/>
        <v>0</v>
      </c>
      <c r="Q818" s="142">
        <f t="shared" si="190"/>
        <v>0</v>
      </c>
      <c r="R818" s="142">
        <f t="shared" si="191"/>
        <v>0</v>
      </c>
      <c r="S818" s="142">
        <f t="shared" si="192"/>
        <v>0</v>
      </c>
      <c r="T818" s="142">
        <f t="shared" si="193"/>
        <v>1390.65</v>
      </c>
      <c r="U818" s="60">
        <f t="shared" si="194"/>
        <v>1390.65</v>
      </c>
    </row>
    <row r="819" spans="1:21" x14ac:dyDescent="0.2">
      <c r="A819" s="115"/>
      <c r="B819" s="139" t="s">
        <v>306</v>
      </c>
      <c r="C819" s="140" t="s">
        <v>261</v>
      </c>
      <c r="D819" s="141">
        <v>45306</v>
      </c>
      <c r="E819" s="141">
        <v>48959</v>
      </c>
      <c r="F819" s="57">
        <v>1390.65</v>
      </c>
      <c r="G819" s="58">
        <f t="shared" si="180"/>
        <v>2937</v>
      </c>
      <c r="H819" s="142">
        <f t="shared" si="181"/>
        <v>0</v>
      </c>
      <c r="I819" s="142">
        <f t="shared" si="182"/>
        <v>0</v>
      </c>
      <c r="J819" s="143">
        <f t="shared" si="183"/>
        <v>0</v>
      </c>
      <c r="K819" s="143">
        <f t="shared" si="184"/>
        <v>0</v>
      </c>
      <c r="L819" s="142">
        <f t="shared" si="185"/>
        <v>0</v>
      </c>
      <c r="M819" s="142">
        <f t="shared" si="186"/>
        <v>0</v>
      </c>
      <c r="N819" s="142">
        <f t="shared" si="187"/>
        <v>0</v>
      </c>
      <c r="O819" s="59">
        <f t="shared" si="188"/>
        <v>0</v>
      </c>
      <c r="P819" s="142">
        <f t="shared" si="189"/>
        <v>0</v>
      </c>
      <c r="Q819" s="142">
        <f t="shared" si="190"/>
        <v>0</v>
      </c>
      <c r="R819" s="142">
        <f t="shared" si="191"/>
        <v>0</v>
      </c>
      <c r="S819" s="142">
        <f t="shared" si="192"/>
        <v>0</v>
      </c>
      <c r="T819" s="142">
        <f t="shared" si="193"/>
        <v>1390.65</v>
      </c>
      <c r="U819" s="60">
        <f t="shared" si="194"/>
        <v>1390.65</v>
      </c>
    </row>
    <row r="820" spans="1:21" x14ac:dyDescent="0.2">
      <c r="A820" s="115"/>
      <c r="B820" s="139" t="s">
        <v>306</v>
      </c>
      <c r="C820" s="140" t="s">
        <v>261</v>
      </c>
      <c r="D820" s="141">
        <v>45306</v>
      </c>
      <c r="E820" s="141">
        <v>48990</v>
      </c>
      <c r="F820" s="57">
        <v>1390.65</v>
      </c>
      <c r="G820" s="58">
        <f t="shared" si="180"/>
        <v>2968</v>
      </c>
      <c r="H820" s="142">
        <f t="shared" si="181"/>
        <v>0</v>
      </c>
      <c r="I820" s="142">
        <f t="shared" si="182"/>
        <v>0</v>
      </c>
      <c r="J820" s="143">
        <f t="shared" si="183"/>
        <v>0</v>
      </c>
      <c r="K820" s="143">
        <f t="shared" si="184"/>
        <v>0</v>
      </c>
      <c r="L820" s="142">
        <f t="shared" si="185"/>
        <v>0</v>
      </c>
      <c r="M820" s="142">
        <f t="shared" si="186"/>
        <v>0</v>
      </c>
      <c r="N820" s="142">
        <f t="shared" si="187"/>
        <v>0</v>
      </c>
      <c r="O820" s="59">
        <f t="shared" si="188"/>
        <v>0</v>
      </c>
      <c r="P820" s="142">
        <f t="shared" si="189"/>
        <v>0</v>
      </c>
      <c r="Q820" s="142">
        <f t="shared" si="190"/>
        <v>0</v>
      </c>
      <c r="R820" s="142">
        <f t="shared" si="191"/>
        <v>0</v>
      </c>
      <c r="S820" s="142">
        <f t="shared" si="192"/>
        <v>0</v>
      </c>
      <c r="T820" s="142">
        <f t="shared" si="193"/>
        <v>1390.65</v>
      </c>
      <c r="U820" s="60">
        <f t="shared" si="194"/>
        <v>1390.65</v>
      </c>
    </row>
    <row r="821" spans="1:21" x14ac:dyDescent="0.2">
      <c r="A821" s="115"/>
      <c r="B821" s="139" t="s">
        <v>306</v>
      </c>
      <c r="C821" s="140" t="s">
        <v>261</v>
      </c>
      <c r="D821" s="141">
        <v>45306</v>
      </c>
      <c r="E821" s="141">
        <v>49018</v>
      </c>
      <c r="F821" s="57">
        <v>1390.65</v>
      </c>
      <c r="G821" s="58">
        <f t="shared" si="180"/>
        <v>2996</v>
      </c>
      <c r="H821" s="142">
        <f t="shared" si="181"/>
        <v>0</v>
      </c>
      <c r="I821" s="142">
        <f t="shared" si="182"/>
        <v>0</v>
      </c>
      <c r="J821" s="143">
        <f t="shared" si="183"/>
        <v>0</v>
      </c>
      <c r="K821" s="143">
        <f t="shared" si="184"/>
        <v>0</v>
      </c>
      <c r="L821" s="142">
        <f t="shared" si="185"/>
        <v>0</v>
      </c>
      <c r="M821" s="142">
        <f t="shared" si="186"/>
        <v>0</v>
      </c>
      <c r="N821" s="142">
        <f t="shared" si="187"/>
        <v>0</v>
      </c>
      <c r="O821" s="59">
        <f t="shared" si="188"/>
        <v>0</v>
      </c>
      <c r="P821" s="142">
        <f t="shared" si="189"/>
        <v>0</v>
      </c>
      <c r="Q821" s="142">
        <f t="shared" si="190"/>
        <v>0</v>
      </c>
      <c r="R821" s="142">
        <f t="shared" si="191"/>
        <v>0</v>
      </c>
      <c r="S821" s="142">
        <f t="shared" si="192"/>
        <v>0</v>
      </c>
      <c r="T821" s="142">
        <f t="shared" si="193"/>
        <v>1390.65</v>
      </c>
      <c r="U821" s="60">
        <f t="shared" si="194"/>
        <v>1390.65</v>
      </c>
    </row>
    <row r="822" spans="1:21" x14ac:dyDescent="0.2">
      <c r="A822" s="115"/>
      <c r="B822" s="139" t="s">
        <v>306</v>
      </c>
      <c r="C822" s="140" t="s">
        <v>261</v>
      </c>
      <c r="D822" s="141">
        <v>45306</v>
      </c>
      <c r="E822" s="141">
        <v>49049</v>
      </c>
      <c r="F822" s="57">
        <v>1390.65</v>
      </c>
      <c r="G822" s="58">
        <f t="shared" si="180"/>
        <v>3027</v>
      </c>
      <c r="H822" s="142">
        <f t="shared" si="181"/>
        <v>0</v>
      </c>
      <c r="I822" s="142">
        <f t="shared" si="182"/>
        <v>0</v>
      </c>
      <c r="J822" s="143">
        <f t="shared" si="183"/>
        <v>0</v>
      </c>
      <c r="K822" s="143">
        <f t="shared" si="184"/>
        <v>0</v>
      </c>
      <c r="L822" s="142">
        <f t="shared" si="185"/>
        <v>0</v>
      </c>
      <c r="M822" s="142">
        <f t="shared" si="186"/>
        <v>0</v>
      </c>
      <c r="N822" s="142">
        <f t="shared" si="187"/>
        <v>0</v>
      </c>
      <c r="O822" s="59">
        <f t="shared" si="188"/>
        <v>0</v>
      </c>
      <c r="P822" s="142">
        <f t="shared" si="189"/>
        <v>0</v>
      </c>
      <c r="Q822" s="142">
        <f t="shared" si="190"/>
        <v>0</v>
      </c>
      <c r="R822" s="142">
        <f t="shared" si="191"/>
        <v>0</v>
      </c>
      <c r="S822" s="142">
        <f t="shared" si="192"/>
        <v>0</v>
      </c>
      <c r="T822" s="142">
        <f t="shared" si="193"/>
        <v>1390.65</v>
      </c>
      <c r="U822" s="60">
        <f t="shared" si="194"/>
        <v>1390.65</v>
      </c>
    </row>
    <row r="823" spans="1:21" x14ac:dyDescent="0.2">
      <c r="A823" s="115"/>
      <c r="B823" s="139" t="s">
        <v>306</v>
      </c>
      <c r="C823" s="140" t="s">
        <v>261</v>
      </c>
      <c r="D823" s="141">
        <v>45306</v>
      </c>
      <c r="E823" s="141">
        <v>49079</v>
      </c>
      <c r="F823" s="57">
        <v>1390.65</v>
      </c>
      <c r="G823" s="58">
        <f t="shared" si="180"/>
        <v>3057</v>
      </c>
      <c r="H823" s="142">
        <f t="shared" si="181"/>
        <v>0</v>
      </c>
      <c r="I823" s="142">
        <f t="shared" si="182"/>
        <v>0</v>
      </c>
      <c r="J823" s="143">
        <f t="shared" si="183"/>
        <v>0</v>
      </c>
      <c r="K823" s="143">
        <f t="shared" si="184"/>
        <v>0</v>
      </c>
      <c r="L823" s="142">
        <f t="shared" si="185"/>
        <v>0</v>
      </c>
      <c r="M823" s="142">
        <f t="shared" si="186"/>
        <v>0</v>
      </c>
      <c r="N823" s="142">
        <f t="shared" si="187"/>
        <v>0</v>
      </c>
      <c r="O823" s="59">
        <f t="shared" si="188"/>
        <v>0</v>
      </c>
      <c r="P823" s="142">
        <f t="shared" si="189"/>
        <v>0</v>
      </c>
      <c r="Q823" s="142">
        <f t="shared" si="190"/>
        <v>0</v>
      </c>
      <c r="R823" s="142">
        <f t="shared" si="191"/>
        <v>0</v>
      </c>
      <c r="S823" s="142">
        <f t="shared" si="192"/>
        <v>0</v>
      </c>
      <c r="T823" s="142">
        <f t="shared" si="193"/>
        <v>1390.65</v>
      </c>
      <c r="U823" s="60">
        <f t="shared" si="194"/>
        <v>1390.65</v>
      </c>
    </row>
    <row r="824" spans="1:21" x14ac:dyDescent="0.2">
      <c r="A824" s="115"/>
      <c r="B824" s="139" t="s">
        <v>306</v>
      </c>
      <c r="C824" s="140" t="s">
        <v>261</v>
      </c>
      <c r="D824" s="141">
        <v>45306</v>
      </c>
      <c r="E824" s="141">
        <v>49110</v>
      </c>
      <c r="F824" s="57">
        <v>1390.65</v>
      </c>
      <c r="G824" s="58">
        <f t="shared" si="180"/>
        <v>3088</v>
      </c>
      <c r="H824" s="142">
        <f t="shared" si="181"/>
        <v>0</v>
      </c>
      <c r="I824" s="142">
        <f t="shared" si="182"/>
        <v>0</v>
      </c>
      <c r="J824" s="143">
        <f t="shared" si="183"/>
        <v>0</v>
      </c>
      <c r="K824" s="143">
        <f t="shared" si="184"/>
        <v>0</v>
      </c>
      <c r="L824" s="142">
        <f t="shared" si="185"/>
        <v>0</v>
      </c>
      <c r="M824" s="142">
        <f t="shared" si="186"/>
        <v>0</v>
      </c>
      <c r="N824" s="142">
        <f t="shared" si="187"/>
        <v>0</v>
      </c>
      <c r="O824" s="59">
        <f t="shared" si="188"/>
        <v>0</v>
      </c>
      <c r="P824" s="142">
        <f t="shared" si="189"/>
        <v>0</v>
      </c>
      <c r="Q824" s="142">
        <f t="shared" si="190"/>
        <v>0</v>
      </c>
      <c r="R824" s="142">
        <f t="shared" si="191"/>
        <v>0</v>
      </c>
      <c r="S824" s="142">
        <f t="shared" si="192"/>
        <v>0</v>
      </c>
      <c r="T824" s="142">
        <f t="shared" si="193"/>
        <v>1390.65</v>
      </c>
      <c r="U824" s="60">
        <f t="shared" si="194"/>
        <v>1390.65</v>
      </c>
    </row>
    <row r="825" spans="1:21" x14ac:dyDescent="0.2">
      <c r="A825" s="115"/>
      <c r="B825" s="139" t="s">
        <v>306</v>
      </c>
      <c r="C825" s="140" t="s">
        <v>261</v>
      </c>
      <c r="D825" s="141">
        <v>45306</v>
      </c>
      <c r="E825" s="141">
        <v>49140</v>
      </c>
      <c r="F825" s="57">
        <v>1390.65</v>
      </c>
      <c r="G825" s="58">
        <f t="shared" si="180"/>
        <v>3118</v>
      </c>
      <c r="H825" s="142">
        <f t="shared" si="181"/>
        <v>0</v>
      </c>
      <c r="I825" s="142">
        <f t="shared" si="182"/>
        <v>0</v>
      </c>
      <c r="J825" s="143">
        <f t="shared" si="183"/>
        <v>0</v>
      </c>
      <c r="K825" s="143">
        <f t="shared" si="184"/>
        <v>0</v>
      </c>
      <c r="L825" s="142">
        <f t="shared" si="185"/>
        <v>0</v>
      </c>
      <c r="M825" s="142">
        <f t="shared" si="186"/>
        <v>0</v>
      </c>
      <c r="N825" s="142">
        <f t="shared" si="187"/>
        <v>0</v>
      </c>
      <c r="O825" s="59">
        <f t="shared" si="188"/>
        <v>0</v>
      </c>
      <c r="P825" s="142">
        <f t="shared" si="189"/>
        <v>0</v>
      </c>
      <c r="Q825" s="142">
        <f t="shared" si="190"/>
        <v>0</v>
      </c>
      <c r="R825" s="142">
        <f t="shared" si="191"/>
        <v>0</v>
      </c>
      <c r="S825" s="142">
        <f t="shared" si="192"/>
        <v>0</v>
      </c>
      <c r="T825" s="142">
        <f t="shared" si="193"/>
        <v>1390.65</v>
      </c>
      <c r="U825" s="60">
        <f t="shared" si="194"/>
        <v>1390.65</v>
      </c>
    </row>
    <row r="826" spans="1:21" x14ac:dyDescent="0.2">
      <c r="A826" s="115"/>
      <c r="B826" s="139" t="s">
        <v>306</v>
      </c>
      <c r="C826" s="140" t="s">
        <v>261</v>
      </c>
      <c r="D826" s="141">
        <v>45306</v>
      </c>
      <c r="E826" s="141">
        <v>49171</v>
      </c>
      <c r="F826" s="57">
        <v>1390.65</v>
      </c>
      <c r="G826" s="58">
        <f t="shared" si="180"/>
        <v>3149</v>
      </c>
      <c r="H826" s="142">
        <f t="shared" si="181"/>
        <v>0</v>
      </c>
      <c r="I826" s="142">
        <f t="shared" si="182"/>
        <v>0</v>
      </c>
      <c r="J826" s="143">
        <f t="shared" si="183"/>
        <v>0</v>
      </c>
      <c r="K826" s="143">
        <f t="shared" si="184"/>
        <v>0</v>
      </c>
      <c r="L826" s="142">
        <f t="shared" si="185"/>
        <v>0</v>
      </c>
      <c r="M826" s="142">
        <f t="shared" si="186"/>
        <v>0</v>
      </c>
      <c r="N826" s="142">
        <f t="shared" si="187"/>
        <v>0</v>
      </c>
      <c r="O826" s="59">
        <f t="shared" si="188"/>
        <v>0</v>
      </c>
      <c r="P826" s="142">
        <f t="shared" si="189"/>
        <v>0</v>
      </c>
      <c r="Q826" s="142">
        <f t="shared" si="190"/>
        <v>0</v>
      </c>
      <c r="R826" s="142">
        <f t="shared" si="191"/>
        <v>0</v>
      </c>
      <c r="S826" s="142">
        <f t="shared" si="192"/>
        <v>0</v>
      </c>
      <c r="T826" s="142">
        <f t="shared" si="193"/>
        <v>1390.65</v>
      </c>
      <c r="U826" s="60">
        <f t="shared" si="194"/>
        <v>1390.65</v>
      </c>
    </row>
    <row r="827" spans="1:21" x14ac:dyDescent="0.2">
      <c r="A827" s="115"/>
      <c r="B827" s="139" t="s">
        <v>306</v>
      </c>
      <c r="C827" s="140" t="s">
        <v>261</v>
      </c>
      <c r="D827" s="141">
        <v>45306</v>
      </c>
      <c r="E827" s="141">
        <v>49202</v>
      </c>
      <c r="F827" s="57">
        <v>1390.65</v>
      </c>
      <c r="G827" s="58">
        <f t="shared" si="180"/>
        <v>3180</v>
      </c>
      <c r="H827" s="142">
        <f t="shared" si="181"/>
        <v>0</v>
      </c>
      <c r="I827" s="142">
        <f t="shared" si="182"/>
        <v>0</v>
      </c>
      <c r="J827" s="143">
        <f t="shared" si="183"/>
        <v>0</v>
      </c>
      <c r="K827" s="143">
        <f t="shared" si="184"/>
        <v>0</v>
      </c>
      <c r="L827" s="142">
        <f t="shared" si="185"/>
        <v>0</v>
      </c>
      <c r="M827" s="142">
        <f t="shared" si="186"/>
        <v>0</v>
      </c>
      <c r="N827" s="142">
        <f t="shared" si="187"/>
        <v>0</v>
      </c>
      <c r="O827" s="59">
        <f t="shared" si="188"/>
        <v>0</v>
      </c>
      <c r="P827" s="142">
        <f t="shared" si="189"/>
        <v>0</v>
      </c>
      <c r="Q827" s="142">
        <f t="shared" si="190"/>
        <v>0</v>
      </c>
      <c r="R827" s="142">
        <f t="shared" si="191"/>
        <v>0</v>
      </c>
      <c r="S827" s="142">
        <f t="shared" si="192"/>
        <v>0</v>
      </c>
      <c r="T827" s="142">
        <f t="shared" si="193"/>
        <v>1390.65</v>
      </c>
      <c r="U827" s="60">
        <f t="shared" si="194"/>
        <v>1390.65</v>
      </c>
    </row>
    <row r="828" spans="1:21" x14ac:dyDescent="0.2">
      <c r="A828" s="115"/>
      <c r="B828" s="139" t="s">
        <v>306</v>
      </c>
      <c r="C828" s="140" t="s">
        <v>261</v>
      </c>
      <c r="D828" s="141">
        <v>45306</v>
      </c>
      <c r="E828" s="141">
        <v>49232</v>
      </c>
      <c r="F828" s="57">
        <v>1390.65</v>
      </c>
      <c r="G828" s="58">
        <f t="shared" si="180"/>
        <v>3210</v>
      </c>
      <c r="H828" s="142">
        <f t="shared" si="181"/>
        <v>0</v>
      </c>
      <c r="I828" s="142">
        <f t="shared" si="182"/>
        <v>0</v>
      </c>
      <c r="J828" s="143">
        <f t="shared" si="183"/>
        <v>0</v>
      </c>
      <c r="K828" s="143">
        <f t="shared" si="184"/>
        <v>0</v>
      </c>
      <c r="L828" s="142">
        <f t="shared" si="185"/>
        <v>0</v>
      </c>
      <c r="M828" s="142">
        <f t="shared" si="186"/>
        <v>0</v>
      </c>
      <c r="N828" s="142">
        <f t="shared" si="187"/>
        <v>0</v>
      </c>
      <c r="O828" s="59">
        <f t="shared" si="188"/>
        <v>0</v>
      </c>
      <c r="P828" s="142">
        <f t="shared" si="189"/>
        <v>0</v>
      </c>
      <c r="Q828" s="142">
        <f t="shared" si="190"/>
        <v>0</v>
      </c>
      <c r="R828" s="142">
        <f t="shared" si="191"/>
        <v>0</v>
      </c>
      <c r="S828" s="142">
        <f t="shared" si="192"/>
        <v>0</v>
      </c>
      <c r="T828" s="142">
        <f t="shared" si="193"/>
        <v>1390.65</v>
      </c>
      <c r="U828" s="60">
        <f t="shared" si="194"/>
        <v>1390.65</v>
      </c>
    </row>
    <row r="829" spans="1:21" x14ac:dyDescent="0.2">
      <c r="A829" s="115"/>
      <c r="B829" s="139" t="s">
        <v>306</v>
      </c>
      <c r="C829" s="140" t="s">
        <v>261</v>
      </c>
      <c r="D829" s="141">
        <v>45306</v>
      </c>
      <c r="E829" s="141">
        <v>49263</v>
      </c>
      <c r="F829" s="57">
        <v>1390.65</v>
      </c>
      <c r="G829" s="58">
        <f t="shared" si="180"/>
        <v>3241</v>
      </c>
      <c r="H829" s="142">
        <f t="shared" si="181"/>
        <v>0</v>
      </c>
      <c r="I829" s="142">
        <f t="shared" si="182"/>
        <v>0</v>
      </c>
      <c r="J829" s="143">
        <f t="shared" si="183"/>
        <v>0</v>
      </c>
      <c r="K829" s="143">
        <f t="shared" si="184"/>
        <v>0</v>
      </c>
      <c r="L829" s="142">
        <f t="shared" si="185"/>
        <v>0</v>
      </c>
      <c r="M829" s="142">
        <f t="shared" si="186"/>
        <v>0</v>
      </c>
      <c r="N829" s="142">
        <f t="shared" si="187"/>
        <v>0</v>
      </c>
      <c r="O829" s="59">
        <f t="shared" si="188"/>
        <v>0</v>
      </c>
      <c r="P829" s="142">
        <f t="shared" si="189"/>
        <v>0</v>
      </c>
      <c r="Q829" s="142">
        <f t="shared" si="190"/>
        <v>0</v>
      </c>
      <c r="R829" s="142">
        <f t="shared" si="191"/>
        <v>0</v>
      </c>
      <c r="S829" s="142">
        <f t="shared" si="192"/>
        <v>0</v>
      </c>
      <c r="T829" s="142">
        <f t="shared" si="193"/>
        <v>1390.65</v>
      </c>
      <c r="U829" s="60">
        <f t="shared" si="194"/>
        <v>1390.65</v>
      </c>
    </row>
    <row r="830" spans="1:21" x14ac:dyDescent="0.2">
      <c r="A830" s="115"/>
      <c r="B830" s="139" t="s">
        <v>306</v>
      </c>
      <c r="C830" s="140" t="s">
        <v>261</v>
      </c>
      <c r="D830" s="141">
        <v>45306</v>
      </c>
      <c r="E830" s="141">
        <v>49293</v>
      </c>
      <c r="F830" s="57">
        <v>1390.65</v>
      </c>
      <c r="G830" s="58">
        <f t="shared" si="180"/>
        <v>3271</v>
      </c>
      <c r="H830" s="142">
        <f t="shared" si="181"/>
        <v>0</v>
      </c>
      <c r="I830" s="142">
        <f t="shared" si="182"/>
        <v>0</v>
      </c>
      <c r="J830" s="143">
        <f t="shared" si="183"/>
        <v>0</v>
      </c>
      <c r="K830" s="143">
        <f t="shared" si="184"/>
        <v>0</v>
      </c>
      <c r="L830" s="142">
        <f t="shared" si="185"/>
        <v>0</v>
      </c>
      <c r="M830" s="142">
        <f t="shared" si="186"/>
        <v>0</v>
      </c>
      <c r="N830" s="142">
        <f t="shared" si="187"/>
        <v>0</v>
      </c>
      <c r="O830" s="59">
        <f t="shared" si="188"/>
        <v>0</v>
      </c>
      <c r="P830" s="142">
        <f t="shared" si="189"/>
        <v>0</v>
      </c>
      <c r="Q830" s="142">
        <f t="shared" si="190"/>
        <v>0</v>
      </c>
      <c r="R830" s="142">
        <f t="shared" si="191"/>
        <v>0</v>
      </c>
      <c r="S830" s="142">
        <f t="shared" si="192"/>
        <v>0</v>
      </c>
      <c r="T830" s="142">
        <f t="shared" si="193"/>
        <v>1390.65</v>
      </c>
      <c r="U830" s="60">
        <f t="shared" si="194"/>
        <v>1390.65</v>
      </c>
    </row>
    <row r="831" spans="1:21" x14ac:dyDescent="0.2">
      <c r="A831" s="115"/>
      <c r="B831" s="139" t="s">
        <v>306</v>
      </c>
      <c r="C831" s="140" t="s">
        <v>261</v>
      </c>
      <c r="D831" s="141">
        <v>45306</v>
      </c>
      <c r="E831" s="141">
        <v>49324</v>
      </c>
      <c r="F831" s="57">
        <v>1390.65</v>
      </c>
      <c r="G831" s="58">
        <f t="shared" si="180"/>
        <v>3302</v>
      </c>
      <c r="H831" s="142">
        <f t="shared" si="181"/>
        <v>0</v>
      </c>
      <c r="I831" s="142">
        <f t="shared" si="182"/>
        <v>0</v>
      </c>
      <c r="J831" s="143">
        <f t="shared" si="183"/>
        <v>0</v>
      </c>
      <c r="K831" s="143">
        <f t="shared" si="184"/>
        <v>0</v>
      </c>
      <c r="L831" s="142">
        <f t="shared" si="185"/>
        <v>0</v>
      </c>
      <c r="M831" s="142">
        <f t="shared" si="186"/>
        <v>0</v>
      </c>
      <c r="N831" s="142">
        <f t="shared" si="187"/>
        <v>0</v>
      </c>
      <c r="O831" s="59">
        <f t="shared" si="188"/>
        <v>0</v>
      </c>
      <c r="P831" s="142">
        <f t="shared" si="189"/>
        <v>0</v>
      </c>
      <c r="Q831" s="142">
        <f t="shared" si="190"/>
        <v>0</v>
      </c>
      <c r="R831" s="142">
        <f t="shared" si="191"/>
        <v>0</v>
      </c>
      <c r="S831" s="142">
        <f t="shared" si="192"/>
        <v>0</v>
      </c>
      <c r="T831" s="142">
        <f t="shared" si="193"/>
        <v>1390.65</v>
      </c>
      <c r="U831" s="60">
        <f t="shared" si="194"/>
        <v>1390.65</v>
      </c>
    </row>
    <row r="832" spans="1:21" x14ac:dyDescent="0.2">
      <c r="A832" s="115"/>
      <c r="B832" s="139" t="s">
        <v>306</v>
      </c>
      <c r="C832" s="140" t="s">
        <v>261</v>
      </c>
      <c r="D832" s="141">
        <v>45306</v>
      </c>
      <c r="E832" s="141">
        <v>49355</v>
      </c>
      <c r="F832" s="57">
        <v>1390.65</v>
      </c>
      <c r="G832" s="58">
        <f t="shared" si="180"/>
        <v>3333</v>
      </c>
      <c r="H832" s="142">
        <f t="shared" si="181"/>
        <v>0</v>
      </c>
      <c r="I832" s="142">
        <f t="shared" si="182"/>
        <v>0</v>
      </c>
      <c r="J832" s="143">
        <f t="shared" si="183"/>
        <v>0</v>
      </c>
      <c r="K832" s="143">
        <f t="shared" si="184"/>
        <v>0</v>
      </c>
      <c r="L832" s="142">
        <f t="shared" si="185"/>
        <v>0</v>
      </c>
      <c r="M832" s="142">
        <f t="shared" si="186"/>
        <v>0</v>
      </c>
      <c r="N832" s="142">
        <f t="shared" si="187"/>
        <v>0</v>
      </c>
      <c r="O832" s="59">
        <f t="shared" si="188"/>
        <v>0</v>
      </c>
      <c r="P832" s="142">
        <f t="shared" si="189"/>
        <v>0</v>
      </c>
      <c r="Q832" s="142">
        <f t="shared" si="190"/>
        <v>0</v>
      </c>
      <c r="R832" s="142">
        <f t="shared" si="191"/>
        <v>0</v>
      </c>
      <c r="S832" s="142">
        <f t="shared" si="192"/>
        <v>0</v>
      </c>
      <c r="T832" s="142">
        <f t="shared" si="193"/>
        <v>1390.65</v>
      </c>
      <c r="U832" s="60">
        <f t="shared" si="194"/>
        <v>1390.65</v>
      </c>
    </row>
    <row r="833" spans="1:21" x14ac:dyDescent="0.2">
      <c r="A833" s="115"/>
      <c r="B833" s="139" t="s">
        <v>306</v>
      </c>
      <c r="C833" s="140" t="s">
        <v>261</v>
      </c>
      <c r="D833" s="141">
        <v>45306</v>
      </c>
      <c r="E833" s="141">
        <v>49383</v>
      </c>
      <c r="F833" s="57">
        <v>1390.65</v>
      </c>
      <c r="G833" s="58">
        <f t="shared" si="180"/>
        <v>3361</v>
      </c>
      <c r="H833" s="142">
        <f t="shared" si="181"/>
        <v>0</v>
      </c>
      <c r="I833" s="142">
        <f t="shared" si="182"/>
        <v>0</v>
      </c>
      <c r="J833" s="143">
        <f t="shared" si="183"/>
        <v>0</v>
      </c>
      <c r="K833" s="143">
        <f t="shared" si="184"/>
        <v>0</v>
      </c>
      <c r="L833" s="142">
        <f t="shared" si="185"/>
        <v>0</v>
      </c>
      <c r="M833" s="142">
        <f t="shared" si="186"/>
        <v>0</v>
      </c>
      <c r="N833" s="142">
        <f t="shared" si="187"/>
        <v>0</v>
      </c>
      <c r="O833" s="59">
        <f t="shared" si="188"/>
        <v>0</v>
      </c>
      <c r="P833" s="142">
        <f t="shared" si="189"/>
        <v>0</v>
      </c>
      <c r="Q833" s="142">
        <f t="shared" si="190"/>
        <v>0</v>
      </c>
      <c r="R833" s="142">
        <f t="shared" si="191"/>
        <v>0</v>
      </c>
      <c r="S833" s="142">
        <f t="shared" si="192"/>
        <v>0</v>
      </c>
      <c r="T833" s="142">
        <f t="shared" si="193"/>
        <v>1390.65</v>
      </c>
      <c r="U833" s="60">
        <f t="shared" si="194"/>
        <v>1390.65</v>
      </c>
    </row>
    <row r="834" spans="1:21" x14ac:dyDescent="0.2">
      <c r="A834" s="115"/>
      <c r="B834" s="139" t="s">
        <v>306</v>
      </c>
      <c r="C834" s="140" t="s">
        <v>261</v>
      </c>
      <c r="D834" s="141">
        <v>45306</v>
      </c>
      <c r="E834" s="141">
        <v>49414</v>
      </c>
      <c r="F834" s="57">
        <v>1390.65</v>
      </c>
      <c r="G834" s="58">
        <f t="shared" si="180"/>
        <v>3392</v>
      </c>
      <c r="H834" s="142">
        <f t="shared" si="181"/>
        <v>0</v>
      </c>
      <c r="I834" s="142">
        <f t="shared" si="182"/>
        <v>0</v>
      </c>
      <c r="J834" s="143">
        <f t="shared" si="183"/>
        <v>0</v>
      </c>
      <c r="K834" s="143">
        <f t="shared" si="184"/>
        <v>0</v>
      </c>
      <c r="L834" s="142">
        <f t="shared" si="185"/>
        <v>0</v>
      </c>
      <c r="M834" s="142">
        <f t="shared" si="186"/>
        <v>0</v>
      </c>
      <c r="N834" s="142">
        <f t="shared" si="187"/>
        <v>0</v>
      </c>
      <c r="O834" s="59">
        <f t="shared" si="188"/>
        <v>0</v>
      </c>
      <c r="P834" s="142">
        <f t="shared" si="189"/>
        <v>0</v>
      </c>
      <c r="Q834" s="142">
        <f t="shared" si="190"/>
        <v>0</v>
      </c>
      <c r="R834" s="142">
        <f t="shared" si="191"/>
        <v>0</v>
      </c>
      <c r="S834" s="142">
        <f t="shared" si="192"/>
        <v>0</v>
      </c>
      <c r="T834" s="142">
        <f t="shared" si="193"/>
        <v>1390.65</v>
      </c>
      <c r="U834" s="60">
        <f t="shared" si="194"/>
        <v>1390.65</v>
      </c>
    </row>
    <row r="835" spans="1:21" x14ac:dyDescent="0.2">
      <c r="A835" s="115"/>
      <c r="B835" s="139" t="s">
        <v>306</v>
      </c>
      <c r="C835" s="140" t="s">
        <v>261</v>
      </c>
      <c r="D835" s="141">
        <v>45306</v>
      </c>
      <c r="E835" s="141">
        <v>49444</v>
      </c>
      <c r="F835" s="57">
        <v>1390.65</v>
      </c>
      <c r="G835" s="58">
        <f t="shared" si="180"/>
        <v>3422</v>
      </c>
      <c r="H835" s="142">
        <f t="shared" si="181"/>
        <v>0</v>
      </c>
      <c r="I835" s="142">
        <f t="shared" si="182"/>
        <v>0</v>
      </c>
      <c r="J835" s="143">
        <f t="shared" si="183"/>
        <v>0</v>
      </c>
      <c r="K835" s="143">
        <f t="shared" si="184"/>
        <v>0</v>
      </c>
      <c r="L835" s="142">
        <f t="shared" si="185"/>
        <v>0</v>
      </c>
      <c r="M835" s="142">
        <f t="shared" si="186"/>
        <v>0</v>
      </c>
      <c r="N835" s="142">
        <f t="shared" si="187"/>
        <v>0</v>
      </c>
      <c r="O835" s="59">
        <f t="shared" si="188"/>
        <v>0</v>
      </c>
      <c r="P835" s="142">
        <f t="shared" si="189"/>
        <v>0</v>
      </c>
      <c r="Q835" s="142">
        <f t="shared" si="190"/>
        <v>0</v>
      </c>
      <c r="R835" s="142">
        <f t="shared" si="191"/>
        <v>0</v>
      </c>
      <c r="S835" s="142">
        <f t="shared" si="192"/>
        <v>0</v>
      </c>
      <c r="T835" s="142">
        <f t="shared" si="193"/>
        <v>1390.65</v>
      </c>
      <c r="U835" s="60">
        <f t="shared" si="194"/>
        <v>1390.65</v>
      </c>
    </row>
    <row r="836" spans="1:21" x14ac:dyDescent="0.2">
      <c r="A836" s="115"/>
      <c r="B836" s="139" t="s">
        <v>306</v>
      </c>
      <c r="C836" s="140" t="s">
        <v>261</v>
      </c>
      <c r="D836" s="141">
        <v>45306</v>
      </c>
      <c r="E836" s="141">
        <v>49475</v>
      </c>
      <c r="F836" s="57">
        <v>1390.65</v>
      </c>
      <c r="G836" s="58">
        <f t="shared" si="180"/>
        <v>3453</v>
      </c>
      <c r="H836" s="142">
        <f t="shared" si="181"/>
        <v>0</v>
      </c>
      <c r="I836" s="142">
        <f t="shared" si="182"/>
        <v>0</v>
      </c>
      <c r="J836" s="143">
        <f t="shared" si="183"/>
        <v>0</v>
      </c>
      <c r="K836" s="143">
        <f t="shared" si="184"/>
        <v>0</v>
      </c>
      <c r="L836" s="142">
        <f t="shared" si="185"/>
        <v>0</v>
      </c>
      <c r="M836" s="142">
        <f t="shared" si="186"/>
        <v>0</v>
      </c>
      <c r="N836" s="142">
        <f t="shared" si="187"/>
        <v>0</v>
      </c>
      <c r="O836" s="59">
        <f t="shared" si="188"/>
        <v>0</v>
      </c>
      <c r="P836" s="142">
        <f t="shared" si="189"/>
        <v>0</v>
      </c>
      <c r="Q836" s="142">
        <f t="shared" si="190"/>
        <v>0</v>
      </c>
      <c r="R836" s="142">
        <f t="shared" si="191"/>
        <v>0</v>
      </c>
      <c r="S836" s="142">
        <f t="shared" si="192"/>
        <v>0</v>
      </c>
      <c r="T836" s="142">
        <f t="shared" si="193"/>
        <v>1390.65</v>
      </c>
      <c r="U836" s="60">
        <f t="shared" si="194"/>
        <v>1390.65</v>
      </c>
    </row>
    <row r="837" spans="1:21" x14ac:dyDescent="0.2">
      <c r="A837" s="115"/>
      <c r="B837" s="139" t="s">
        <v>306</v>
      </c>
      <c r="C837" s="140" t="s">
        <v>261</v>
      </c>
      <c r="D837" s="141">
        <v>45306</v>
      </c>
      <c r="E837" s="141">
        <v>49505</v>
      </c>
      <c r="F837" s="57">
        <v>1390.65</v>
      </c>
      <c r="G837" s="58">
        <f t="shared" si="180"/>
        <v>3483</v>
      </c>
      <c r="H837" s="142">
        <f t="shared" si="181"/>
        <v>0</v>
      </c>
      <c r="I837" s="142">
        <f t="shared" si="182"/>
        <v>0</v>
      </c>
      <c r="J837" s="143">
        <f t="shared" si="183"/>
        <v>0</v>
      </c>
      <c r="K837" s="143">
        <f t="shared" si="184"/>
        <v>0</v>
      </c>
      <c r="L837" s="142">
        <f t="shared" si="185"/>
        <v>0</v>
      </c>
      <c r="M837" s="142">
        <f t="shared" si="186"/>
        <v>0</v>
      </c>
      <c r="N837" s="142">
        <f t="shared" si="187"/>
        <v>0</v>
      </c>
      <c r="O837" s="59">
        <f t="shared" si="188"/>
        <v>0</v>
      </c>
      <c r="P837" s="142">
        <f t="shared" si="189"/>
        <v>0</v>
      </c>
      <c r="Q837" s="142">
        <f t="shared" si="190"/>
        <v>0</v>
      </c>
      <c r="R837" s="142">
        <f t="shared" si="191"/>
        <v>0</v>
      </c>
      <c r="S837" s="142">
        <f t="shared" si="192"/>
        <v>0</v>
      </c>
      <c r="T837" s="142">
        <f t="shared" si="193"/>
        <v>1390.65</v>
      </c>
      <c r="U837" s="60">
        <f t="shared" si="194"/>
        <v>1390.65</v>
      </c>
    </row>
    <row r="838" spans="1:21" x14ac:dyDescent="0.2">
      <c r="A838" s="115"/>
      <c r="B838" s="139" t="s">
        <v>306</v>
      </c>
      <c r="C838" s="140" t="s">
        <v>261</v>
      </c>
      <c r="D838" s="141">
        <v>45306</v>
      </c>
      <c r="E838" s="141">
        <v>49536</v>
      </c>
      <c r="F838" s="57">
        <v>1390.65</v>
      </c>
      <c r="G838" s="58">
        <f t="shared" si="180"/>
        <v>3514</v>
      </c>
      <c r="H838" s="142">
        <f t="shared" si="181"/>
        <v>0</v>
      </c>
      <c r="I838" s="142">
        <f t="shared" si="182"/>
        <v>0</v>
      </c>
      <c r="J838" s="143">
        <f t="shared" si="183"/>
        <v>0</v>
      </c>
      <c r="K838" s="143">
        <f t="shared" si="184"/>
        <v>0</v>
      </c>
      <c r="L838" s="142">
        <f t="shared" si="185"/>
        <v>0</v>
      </c>
      <c r="M838" s="142">
        <f t="shared" si="186"/>
        <v>0</v>
      </c>
      <c r="N838" s="142">
        <f t="shared" si="187"/>
        <v>0</v>
      </c>
      <c r="O838" s="59">
        <f t="shared" si="188"/>
        <v>0</v>
      </c>
      <c r="P838" s="142">
        <f t="shared" si="189"/>
        <v>0</v>
      </c>
      <c r="Q838" s="142">
        <f t="shared" si="190"/>
        <v>0</v>
      </c>
      <c r="R838" s="142">
        <f t="shared" si="191"/>
        <v>0</v>
      </c>
      <c r="S838" s="142">
        <f t="shared" si="192"/>
        <v>0</v>
      </c>
      <c r="T838" s="142">
        <f t="shared" si="193"/>
        <v>1390.65</v>
      </c>
      <c r="U838" s="60">
        <f t="shared" si="194"/>
        <v>1390.65</v>
      </c>
    </row>
    <row r="839" spans="1:21" x14ac:dyDescent="0.2">
      <c r="A839" s="115"/>
      <c r="B839" s="139" t="s">
        <v>306</v>
      </c>
      <c r="C839" s="140" t="s">
        <v>261</v>
      </c>
      <c r="D839" s="141">
        <v>45306</v>
      </c>
      <c r="E839" s="141">
        <v>49567</v>
      </c>
      <c r="F839" s="57">
        <v>1390.65</v>
      </c>
      <c r="G839" s="58">
        <f t="shared" ref="G839:G902" si="195">E839-$H$3</f>
        <v>3545</v>
      </c>
      <c r="H839" s="142">
        <f t="shared" ref="H839:H902" si="196">IF(AND($G839&gt;=-8000,$G839&lt;=-181),$F839,0)</f>
        <v>0</v>
      </c>
      <c r="I839" s="142">
        <f t="shared" ref="I839:I902" si="197">IF(AND($G839&gt;=-180,$G839&lt;=-151),$F839,0)</f>
        <v>0</v>
      </c>
      <c r="J839" s="143">
        <f t="shared" ref="J839:J902" si="198">IF(AND($G839&gt;=-150,$G839&lt;=-121),$F839,0)</f>
        <v>0</v>
      </c>
      <c r="K839" s="143">
        <f t="shared" ref="K839:K902" si="199">IF(AND($G839&gt;=-120,$G839&lt;=-91),$F839,0)</f>
        <v>0</v>
      </c>
      <c r="L839" s="142">
        <f t="shared" ref="L839:L902" si="200">IF(AND($G839&gt;=-90,$G839&lt;=-61),$F839,0)</f>
        <v>0</v>
      </c>
      <c r="M839" s="142">
        <f t="shared" ref="M839:M902" si="201">IF(AND($G839&gt;=-60,$G839&lt;=-31),$F839,0)</f>
        <v>0</v>
      </c>
      <c r="N839" s="142">
        <f t="shared" ref="N839:N902" si="202">IF(AND($G839&gt;=-30,$G839&lt;=-1),$F839,0)</f>
        <v>0</v>
      </c>
      <c r="O839" s="59">
        <f t="shared" ref="O839:O902" si="203">SUM(H839:N839)</f>
        <v>0</v>
      </c>
      <c r="P839" s="142">
        <f t="shared" ref="P839:P902" si="204">IF(AND($G839&lt;=30,$G839&gt;=0),$F839,0)</f>
        <v>0</v>
      </c>
      <c r="Q839" s="142">
        <f t="shared" ref="Q839:Q902" si="205">IF(AND($G839&lt;=60,$G839&gt;=31),$F839,0)</f>
        <v>0</v>
      </c>
      <c r="R839" s="142">
        <f t="shared" ref="R839:R902" si="206">IF(AND($G839&lt;=90,$G839&gt;=61),$F839,0)</f>
        <v>0</v>
      </c>
      <c r="S839" s="142">
        <f t="shared" ref="S839:S902" si="207">IF(AND($G839&lt;=120,$G839&gt;=91),$F839,0)</f>
        <v>0</v>
      </c>
      <c r="T839" s="142">
        <f t="shared" ref="T839:T902" si="208">IF(G839&gt;=121,F839,0)</f>
        <v>1390.65</v>
      </c>
      <c r="U839" s="60">
        <f t="shared" ref="U839:U902" si="209">SUM(P839:T839)</f>
        <v>1390.65</v>
      </c>
    </row>
    <row r="840" spans="1:21" x14ac:dyDescent="0.2">
      <c r="A840" s="115"/>
      <c r="B840" s="139" t="s">
        <v>306</v>
      </c>
      <c r="C840" s="140" t="s">
        <v>261</v>
      </c>
      <c r="D840" s="141">
        <v>45306</v>
      </c>
      <c r="E840" s="141">
        <v>49597</v>
      </c>
      <c r="F840" s="57">
        <v>1390.65</v>
      </c>
      <c r="G840" s="58">
        <f t="shared" si="195"/>
        <v>3575</v>
      </c>
      <c r="H840" s="142">
        <f t="shared" si="196"/>
        <v>0</v>
      </c>
      <c r="I840" s="142">
        <f t="shared" si="197"/>
        <v>0</v>
      </c>
      <c r="J840" s="143">
        <f t="shared" si="198"/>
        <v>0</v>
      </c>
      <c r="K840" s="143">
        <f t="shared" si="199"/>
        <v>0</v>
      </c>
      <c r="L840" s="142">
        <f t="shared" si="200"/>
        <v>0</v>
      </c>
      <c r="M840" s="142">
        <f t="shared" si="201"/>
        <v>0</v>
      </c>
      <c r="N840" s="142">
        <f t="shared" si="202"/>
        <v>0</v>
      </c>
      <c r="O840" s="59">
        <f t="shared" si="203"/>
        <v>0</v>
      </c>
      <c r="P840" s="142">
        <f t="shared" si="204"/>
        <v>0</v>
      </c>
      <c r="Q840" s="142">
        <f t="shared" si="205"/>
        <v>0</v>
      </c>
      <c r="R840" s="142">
        <f t="shared" si="206"/>
        <v>0</v>
      </c>
      <c r="S840" s="142">
        <f t="shared" si="207"/>
        <v>0</v>
      </c>
      <c r="T840" s="142">
        <f t="shared" si="208"/>
        <v>1390.65</v>
      </c>
      <c r="U840" s="60">
        <f t="shared" si="209"/>
        <v>1390.65</v>
      </c>
    </row>
    <row r="841" spans="1:21" x14ac:dyDescent="0.2">
      <c r="A841" s="115"/>
      <c r="B841" s="139" t="s">
        <v>306</v>
      </c>
      <c r="C841" s="140" t="s">
        <v>261</v>
      </c>
      <c r="D841" s="141">
        <v>45306</v>
      </c>
      <c r="E841" s="141">
        <v>49628</v>
      </c>
      <c r="F841" s="57">
        <v>1390.65</v>
      </c>
      <c r="G841" s="58">
        <f t="shared" si="195"/>
        <v>3606</v>
      </c>
      <c r="H841" s="142">
        <f t="shared" si="196"/>
        <v>0</v>
      </c>
      <c r="I841" s="142">
        <f t="shared" si="197"/>
        <v>0</v>
      </c>
      <c r="J841" s="143">
        <f t="shared" si="198"/>
        <v>0</v>
      </c>
      <c r="K841" s="143">
        <f t="shared" si="199"/>
        <v>0</v>
      </c>
      <c r="L841" s="142">
        <f t="shared" si="200"/>
        <v>0</v>
      </c>
      <c r="M841" s="142">
        <f t="shared" si="201"/>
        <v>0</v>
      </c>
      <c r="N841" s="142">
        <f t="shared" si="202"/>
        <v>0</v>
      </c>
      <c r="O841" s="59">
        <f t="shared" si="203"/>
        <v>0</v>
      </c>
      <c r="P841" s="142">
        <f t="shared" si="204"/>
        <v>0</v>
      </c>
      <c r="Q841" s="142">
        <f t="shared" si="205"/>
        <v>0</v>
      </c>
      <c r="R841" s="142">
        <f t="shared" si="206"/>
        <v>0</v>
      </c>
      <c r="S841" s="142">
        <f t="shared" si="207"/>
        <v>0</v>
      </c>
      <c r="T841" s="142">
        <f t="shared" si="208"/>
        <v>1390.65</v>
      </c>
      <c r="U841" s="60">
        <f t="shared" si="209"/>
        <v>1390.65</v>
      </c>
    </row>
    <row r="842" spans="1:21" x14ac:dyDescent="0.2">
      <c r="A842" s="115"/>
      <c r="B842" s="139" t="s">
        <v>306</v>
      </c>
      <c r="C842" s="140" t="s">
        <v>261</v>
      </c>
      <c r="D842" s="141">
        <v>45306</v>
      </c>
      <c r="E842" s="141">
        <v>49658</v>
      </c>
      <c r="F842" s="57">
        <v>1390.65</v>
      </c>
      <c r="G842" s="58">
        <f t="shared" si="195"/>
        <v>3636</v>
      </c>
      <c r="H842" s="142">
        <f t="shared" si="196"/>
        <v>0</v>
      </c>
      <c r="I842" s="142">
        <f t="shared" si="197"/>
        <v>0</v>
      </c>
      <c r="J842" s="143">
        <f t="shared" si="198"/>
        <v>0</v>
      </c>
      <c r="K842" s="143">
        <f t="shared" si="199"/>
        <v>0</v>
      </c>
      <c r="L842" s="142">
        <f t="shared" si="200"/>
        <v>0</v>
      </c>
      <c r="M842" s="142">
        <f t="shared" si="201"/>
        <v>0</v>
      </c>
      <c r="N842" s="142">
        <f t="shared" si="202"/>
        <v>0</v>
      </c>
      <c r="O842" s="59">
        <f t="shared" si="203"/>
        <v>0</v>
      </c>
      <c r="P842" s="142">
        <f t="shared" si="204"/>
        <v>0</v>
      </c>
      <c r="Q842" s="142">
        <f t="shared" si="205"/>
        <v>0</v>
      </c>
      <c r="R842" s="142">
        <f t="shared" si="206"/>
        <v>0</v>
      </c>
      <c r="S842" s="142">
        <f t="shared" si="207"/>
        <v>0</v>
      </c>
      <c r="T842" s="142">
        <f t="shared" si="208"/>
        <v>1390.65</v>
      </c>
      <c r="U842" s="60">
        <f t="shared" si="209"/>
        <v>1390.65</v>
      </c>
    </row>
    <row r="843" spans="1:21" x14ac:dyDescent="0.2">
      <c r="A843" s="115"/>
      <c r="B843" s="139" t="s">
        <v>306</v>
      </c>
      <c r="C843" s="140" t="s">
        <v>261</v>
      </c>
      <c r="D843" s="141">
        <v>45306</v>
      </c>
      <c r="E843" s="141">
        <v>49689</v>
      </c>
      <c r="F843" s="57">
        <v>1390.65</v>
      </c>
      <c r="G843" s="58">
        <f t="shared" si="195"/>
        <v>3667</v>
      </c>
      <c r="H843" s="142">
        <f t="shared" si="196"/>
        <v>0</v>
      </c>
      <c r="I843" s="142">
        <f t="shared" si="197"/>
        <v>0</v>
      </c>
      <c r="J843" s="143">
        <f t="shared" si="198"/>
        <v>0</v>
      </c>
      <c r="K843" s="143">
        <f t="shared" si="199"/>
        <v>0</v>
      </c>
      <c r="L843" s="142">
        <f t="shared" si="200"/>
        <v>0</v>
      </c>
      <c r="M843" s="142">
        <f t="shared" si="201"/>
        <v>0</v>
      </c>
      <c r="N843" s="142">
        <f t="shared" si="202"/>
        <v>0</v>
      </c>
      <c r="O843" s="59">
        <f t="shared" si="203"/>
        <v>0</v>
      </c>
      <c r="P843" s="142">
        <f t="shared" si="204"/>
        <v>0</v>
      </c>
      <c r="Q843" s="142">
        <f t="shared" si="205"/>
        <v>0</v>
      </c>
      <c r="R843" s="142">
        <f t="shared" si="206"/>
        <v>0</v>
      </c>
      <c r="S843" s="142">
        <f t="shared" si="207"/>
        <v>0</v>
      </c>
      <c r="T843" s="142">
        <f t="shared" si="208"/>
        <v>1390.65</v>
      </c>
      <c r="U843" s="60">
        <f t="shared" si="209"/>
        <v>1390.65</v>
      </c>
    </row>
    <row r="844" spans="1:21" x14ac:dyDescent="0.2">
      <c r="A844" s="115"/>
      <c r="B844" s="139" t="s">
        <v>306</v>
      </c>
      <c r="C844" s="140" t="s">
        <v>261</v>
      </c>
      <c r="D844" s="141">
        <v>45306</v>
      </c>
      <c r="E844" s="141">
        <v>49720</v>
      </c>
      <c r="F844" s="57">
        <v>1390.65</v>
      </c>
      <c r="G844" s="58">
        <f t="shared" si="195"/>
        <v>3698</v>
      </c>
      <c r="H844" s="142">
        <f t="shared" si="196"/>
        <v>0</v>
      </c>
      <c r="I844" s="142">
        <f t="shared" si="197"/>
        <v>0</v>
      </c>
      <c r="J844" s="143">
        <f t="shared" si="198"/>
        <v>0</v>
      </c>
      <c r="K844" s="143">
        <f t="shared" si="199"/>
        <v>0</v>
      </c>
      <c r="L844" s="142">
        <f t="shared" si="200"/>
        <v>0</v>
      </c>
      <c r="M844" s="142">
        <f t="shared" si="201"/>
        <v>0</v>
      </c>
      <c r="N844" s="142">
        <f t="shared" si="202"/>
        <v>0</v>
      </c>
      <c r="O844" s="59">
        <f t="shared" si="203"/>
        <v>0</v>
      </c>
      <c r="P844" s="142">
        <f t="shared" si="204"/>
        <v>0</v>
      </c>
      <c r="Q844" s="142">
        <f t="shared" si="205"/>
        <v>0</v>
      </c>
      <c r="R844" s="142">
        <f t="shared" si="206"/>
        <v>0</v>
      </c>
      <c r="S844" s="142">
        <f t="shared" si="207"/>
        <v>0</v>
      </c>
      <c r="T844" s="142">
        <f t="shared" si="208"/>
        <v>1390.65</v>
      </c>
      <c r="U844" s="60">
        <f t="shared" si="209"/>
        <v>1390.65</v>
      </c>
    </row>
    <row r="845" spans="1:21" x14ac:dyDescent="0.2">
      <c r="A845" s="115"/>
      <c r="B845" s="139" t="s">
        <v>306</v>
      </c>
      <c r="C845" s="140" t="s">
        <v>261</v>
      </c>
      <c r="D845" s="141">
        <v>45306</v>
      </c>
      <c r="E845" s="141">
        <v>49749</v>
      </c>
      <c r="F845" s="57">
        <v>1390.65</v>
      </c>
      <c r="G845" s="58">
        <f t="shared" si="195"/>
        <v>3727</v>
      </c>
      <c r="H845" s="142">
        <f t="shared" si="196"/>
        <v>0</v>
      </c>
      <c r="I845" s="142">
        <f t="shared" si="197"/>
        <v>0</v>
      </c>
      <c r="J845" s="143">
        <f t="shared" si="198"/>
        <v>0</v>
      </c>
      <c r="K845" s="143">
        <f t="shared" si="199"/>
        <v>0</v>
      </c>
      <c r="L845" s="142">
        <f t="shared" si="200"/>
        <v>0</v>
      </c>
      <c r="M845" s="142">
        <f t="shared" si="201"/>
        <v>0</v>
      </c>
      <c r="N845" s="142">
        <f t="shared" si="202"/>
        <v>0</v>
      </c>
      <c r="O845" s="59">
        <f t="shared" si="203"/>
        <v>0</v>
      </c>
      <c r="P845" s="142">
        <f t="shared" si="204"/>
        <v>0</v>
      </c>
      <c r="Q845" s="142">
        <f t="shared" si="205"/>
        <v>0</v>
      </c>
      <c r="R845" s="142">
        <f t="shared" si="206"/>
        <v>0</v>
      </c>
      <c r="S845" s="142">
        <f t="shared" si="207"/>
        <v>0</v>
      </c>
      <c r="T845" s="142">
        <f t="shared" si="208"/>
        <v>1390.65</v>
      </c>
      <c r="U845" s="60">
        <f t="shared" si="209"/>
        <v>1390.65</v>
      </c>
    </row>
    <row r="846" spans="1:21" x14ac:dyDescent="0.2">
      <c r="A846" s="115"/>
      <c r="B846" s="139" t="s">
        <v>306</v>
      </c>
      <c r="C846" s="140" t="s">
        <v>261</v>
      </c>
      <c r="D846" s="141">
        <v>45306</v>
      </c>
      <c r="E846" s="141">
        <v>49780</v>
      </c>
      <c r="F846" s="57">
        <v>1390.65</v>
      </c>
      <c r="G846" s="58">
        <f t="shared" si="195"/>
        <v>3758</v>
      </c>
      <c r="H846" s="142">
        <f t="shared" si="196"/>
        <v>0</v>
      </c>
      <c r="I846" s="142">
        <f t="shared" si="197"/>
        <v>0</v>
      </c>
      <c r="J846" s="143">
        <f t="shared" si="198"/>
        <v>0</v>
      </c>
      <c r="K846" s="143">
        <f t="shared" si="199"/>
        <v>0</v>
      </c>
      <c r="L846" s="142">
        <f t="shared" si="200"/>
        <v>0</v>
      </c>
      <c r="M846" s="142">
        <f t="shared" si="201"/>
        <v>0</v>
      </c>
      <c r="N846" s="142">
        <f t="shared" si="202"/>
        <v>0</v>
      </c>
      <c r="O846" s="59">
        <f t="shared" si="203"/>
        <v>0</v>
      </c>
      <c r="P846" s="142">
        <f t="shared" si="204"/>
        <v>0</v>
      </c>
      <c r="Q846" s="142">
        <f t="shared" si="205"/>
        <v>0</v>
      </c>
      <c r="R846" s="142">
        <f t="shared" si="206"/>
        <v>0</v>
      </c>
      <c r="S846" s="142">
        <f t="shared" si="207"/>
        <v>0</v>
      </c>
      <c r="T846" s="142">
        <f t="shared" si="208"/>
        <v>1390.65</v>
      </c>
      <c r="U846" s="60">
        <f t="shared" si="209"/>
        <v>1390.65</v>
      </c>
    </row>
    <row r="847" spans="1:21" x14ac:dyDescent="0.2">
      <c r="A847" s="115"/>
      <c r="B847" s="139" t="s">
        <v>306</v>
      </c>
      <c r="C847" s="140" t="s">
        <v>261</v>
      </c>
      <c r="D847" s="141">
        <v>45306</v>
      </c>
      <c r="E847" s="141">
        <v>49810</v>
      </c>
      <c r="F847" s="57">
        <v>1390.65</v>
      </c>
      <c r="G847" s="58">
        <f t="shared" si="195"/>
        <v>3788</v>
      </c>
      <c r="H847" s="142">
        <f t="shared" si="196"/>
        <v>0</v>
      </c>
      <c r="I847" s="142">
        <f t="shared" si="197"/>
        <v>0</v>
      </c>
      <c r="J847" s="143">
        <f t="shared" si="198"/>
        <v>0</v>
      </c>
      <c r="K847" s="143">
        <f t="shared" si="199"/>
        <v>0</v>
      </c>
      <c r="L847" s="142">
        <f t="shared" si="200"/>
        <v>0</v>
      </c>
      <c r="M847" s="142">
        <f t="shared" si="201"/>
        <v>0</v>
      </c>
      <c r="N847" s="142">
        <f t="shared" si="202"/>
        <v>0</v>
      </c>
      <c r="O847" s="59">
        <f t="shared" si="203"/>
        <v>0</v>
      </c>
      <c r="P847" s="142">
        <f t="shared" si="204"/>
        <v>0</v>
      </c>
      <c r="Q847" s="142">
        <f t="shared" si="205"/>
        <v>0</v>
      </c>
      <c r="R847" s="142">
        <f t="shared" si="206"/>
        <v>0</v>
      </c>
      <c r="S847" s="142">
        <f t="shared" si="207"/>
        <v>0</v>
      </c>
      <c r="T847" s="142">
        <f t="shared" si="208"/>
        <v>1390.65</v>
      </c>
      <c r="U847" s="60">
        <f t="shared" si="209"/>
        <v>1390.65</v>
      </c>
    </row>
    <row r="848" spans="1:21" x14ac:dyDescent="0.2">
      <c r="A848" s="115"/>
      <c r="B848" s="139" t="s">
        <v>306</v>
      </c>
      <c r="C848" s="140" t="s">
        <v>261</v>
      </c>
      <c r="D848" s="141">
        <v>45306</v>
      </c>
      <c r="E848" s="141">
        <v>49841</v>
      </c>
      <c r="F848" s="57">
        <v>1390.65</v>
      </c>
      <c r="G848" s="58">
        <f t="shared" si="195"/>
        <v>3819</v>
      </c>
      <c r="H848" s="142">
        <f t="shared" si="196"/>
        <v>0</v>
      </c>
      <c r="I848" s="142">
        <f t="shared" si="197"/>
        <v>0</v>
      </c>
      <c r="J848" s="143">
        <f t="shared" si="198"/>
        <v>0</v>
      </c>
      <c r="K848" s="143">
        <f t="shared" si="199"/>
        <v>0</v>
      </c>
      <c r="L848" s="142">
        <f t="shared" si="200"/>
        <v>0</v>
      </c>
      <c r="M848" s="142">
        <f t="shared" si="201"/>
        <v>0</v>
      </c>
      <c r="N848" s="142">
        <f t="shared" si="202"/>
        <v>0</v>
      </c>
      <c r="O848" s="59">
        <f t="shared" si="203"/>
        <v>0</v>
      </c>
      <c r="P848" s="142">
        <f t="shared" si="204"/>
        <v>0</v>
      </c>
      <c r="Q848" s="142">
        <f t="shared" si="205"/>
        <v>0</v>
      </c>
      <c r="R848" s="142">
        <f t="shared" si="206"/>
        <v>0</v>
      </c>
      <c r="S848" s="142">
        <f t="shared" si="207"/>
        <v>0</v>
      </c>
      <c r="T848" s="142">
        <f t="shared" si="208"/>
        <v>1390.65</v>
      </c>
      <c r="U848" s="60">
        <f t="shared" si="209"/>
        <v>1390.65</v>
      </c>
    </row>
    <row r="849" spans="1:21" x14ac:dyDescent="0.2">
      <c r="A849" s="115"/>
      <c r="B849" s="139" t="s">
        <v>306</v>
      </c>
      <c r="C849" s="140" t="s">
        <v>261</v>
      </c>
      <c r="D849" s="141">
        <v>45306</v>
      </c>
      <c r="E849" s="141">
        <v>49871</v>
      </c>
      <c r="F849" s="57">
        <v>1390.65</v>
      </c>
      <c r="G849" s="58">
        <f t="shared" si="195"/>
        <v>3849</v>
      </c>
      <c r="H849" s="142">
        <f t="shared" si="196"/>
        <v>0</v>
      </c>
      <c r="I849" s="142">
        <f t="shared" si="197"/>
        <v>0</v>
      </c>
      <c r="J849" s="143">
        <f t="shared" si="198"/>
        <v>0</v>
      </c>
      <c r="K849" s="143">
        <f t="shared" si="199"/>
        <v>0</v>
      </c>
      <c r="L849" s="142">
        <f t="shared" si="200"/>
        <v>0</v>
      </c>
      <c r="M849" s="142">
        <f t="shared" si="201"/>
        <v>0</v>
      </c>
      <c r="N849" s="142">
        <f t="shared" si="202"/>
        <v>0</v>
      </c>
      <c r="O849" s="59">
        <f t="shared" si="203"/>
        <v>0</v>
      </c>
      <c r="P849" s="142">
        <f t="shared" si="204"/>
        <v>0</v>
      </c>
      <c r="Q849" s="142">
        <f t="shared" si="205"/>
        <v>0</v>
      </c>
      <c r="R849" s="142">
        <f t="shared" si="206"/>
        <v>0</v>
      </c>
      <c r="S849" s="142">
        <f t="shared" si="207"/>
        <v>0</v>
      </c>
      <c r="T849" s="142">
        <f t="shared" si="208"/>
        <v>1390.65</v>
      </c>
      <c r="U849" s="60">
        <f t="shared" si="209"/>
        <v>1390.65</v>
      </c>
    </row>
    <row r="850" spans="1:21" x14ac:dyDescent="0.2">
      <c r="A850" s="115"/>
      <c r="B850" s="139" t="s">
        <v>306</v>
      </c>
      <c r="C850" s="140" t="s">
        <v>261</v>
      </c>
      <c r="D850" s="141">
        <v>45306</v>
      </c>
      <c r="E850" s="141">
        <v>49902</v>
      </c>
      <c r="F850" s="57">
        <v>1390.65</v>
      </c>
      <c r="G850" s="58">
        <f t="shared" si="195"/>
        <v>3880</v>
      </c>
      <c r="H850" s="142">
        <f t="shared" si="196"/>
        <v>0</v>
      </c>
      <c r="I850" s="142">
        <f t="shared" si="197"/>
        <v>0</v>
      </c>
      <c r="J850" s="143">
        <f t="shared" si="198"/>
        <v>0</v>
      </c>
      <c r="K850" s="143">
        <f t="shared" si="199"/>
        <v>0</v>
      </c>
      <c r="L850" s="142">
        <f t="shared" si="200"/>
        <v>0</v>
      </c>
      <c r="M850" s="142">
        <f t="shared" si="201"/>
        <v>0</v>
      </c>
      <c r="N850" s="142">
        <f t="shared" si="202"/>
        <v>0</v>
      </c>
      <c r="O850" s="59">
        <f t="shared" si="203"/>
        <v>0</v>
      </c>
      <c r="P850" s="142">
        <f t="shared" si="204"/>
        <v>0</v>
      </c>
      <c r="Q850" s="142">
        <f t="shared" si="205"/>
        <v>0</v>
      </c>
      <c r="R850" s="142">
        <f t="shared" si="206"/>
        <v>0</v>
      </c>
      <c r="S850" s="142">
        <f t="shared" si="207"/>
        <v>0</v>
      </c>
      <c r="T850" s="142">
        <f t="shared" si="208"/>
        <v>1390.65</v>
      </c>
      <c r="U850" s="60">
        <f t="shared" si="209"/>
        <v>1390.65</v>
      </c>
    </row>
    <row r="851" spans="1:21" x14ac:dyDescent="0.2">
      <c r="A851" s="115"/>
      <c r="B851" s="139" t="s">
        <v>306</v>
      </c>
      <c r="C851" s="140" t="s">
        <v>261</v>
      </c>
      <c r="D851" s="141">
        <v>45306</v>
      </c>
      <c r="E851" s="141">
        <v>49933</v>
      </c>
      <c r="F851" s="57">
        <v>1390.65</v>
      </c>
      <c r="G851" s="58">
        <f t="shared" si="195"/>
        <v>3911</v>
      </c>
      <c r="H851" s="142">
        <f t="shared" si="196"/>
        <v>0</v>
      </c>
      <c r="I851" s="142">
        <f t="shared" si="197"/>
        <v>0</v>
      </c>
      <c r="J851" s="143">
        <f t="shared" si="198"/>
        <v>0</v>
      </c>
      <c r="K851" s="143">
        <f t="shared" si="199"/>
        <v>0</v>
      </c>
      <c r="L851" s="142">
        <f t="shared" si="200"/>
        <v>0</v>
      </c>
      <c r="M851" s="142">
        <f t="shared" si="201"/>
        <v>0</v>
      </c>
      <c r="N851" s="142">
        <f t="shared" si="202"/>
        <v>0</v>
      </c>
      <c r="O851" s="59">
        <f t="shared" si="203"/>
        <v>0</v>
      </c>
      <c r="P851" s="142">
        <f t="shared" si="204"/>
        <v>0</v>
      </c>
      <c r="Q851" s="142">
        <f t="shared" si="205"/>
        <v>0</v>
      </c>
      <c r="R851" s="142">
        <f t="shared" si="206"/>
        <v>0</v>
      </c>
      <c r="S851" s="142">
        <f t="shared" si="207"/>
        <v>0</v>
      </c>
      <c r="T851" s="142">
        <f t="shared" si="208"/>
        <v>1390.65</v>
      </c>
      <c r="U851" s="60">
        <f t="shared" si="209"/>
        <v>1390.65</v>
      </c>
    </row>
    <row r="852" spans="1:21" x14ac:dyDescent="0.2">
      <c r="A852" s="115"/>
      <c r="B852" s="139" t="s">
        <v>306</v>
      </c>
      <c r="C852" s="140" t="s">
        <v>261</v>
      </c>
      <c r="D852" s="141">
        <v>45306</v>
      </c>
      <c r="E852" s="141">
        <v>49963</v>
      </c>
      <c r="F852" s="57">
        <v>1390.65</v>
      </c>
      <c r="G852" s="58">
        <f t="shared" si="195"/>
        <v>3941</v>
      </c>
      <c r="H852" s="142">
        <f t="shared" si="196"/>
        <v>0</v>
      </c>
      <c r="I852" s="142">
        <f t="shared" si="197"/>
        <v>0</v>
      </c>
      <c r="J852" s="143">
        <f t="shared" si="198"/>
        <v>0</v>
      </c>
      <c r="K852" s="143">
        <f t="shared" si="199"/>
        <v>0</v>
      </c>
      <c r="L852" s="142">
        <f t="shared" si="200"/>
        <v>0</v>
      </c>
      <c r="M852" s="142">
        <f t="shared" si="201"/>
        <v>0</v>
      </c>
      <c r="N852" s="142">
        <f t="shared" si="202"/>
        <v>0</v>
      </c>
      <c r="O852" s="59">
        <f t="shared" si="203"/>
        <v>0</v>
      </c>
      <c r="P852" s="142">
        <f t="shared" si="204"/>
        <v>0</v>
      </c>
      <c r="Q852" s="142">
        <f t="shared" si="205"/>
        <v>0</v>
      </c>
      <c r="R852" s="142">
        <f t="shared" si="206"/>
        <v>0</v>
      </c>
      <c r="S852" s="142">
        <f t="shared" si="207"/>
        <v>0</v>
      </c>
      <c r="T852" s="142">
        <f t="shared" si="208"/>
        <v>1390.65</v>
      </c>
      <c r="U852" s="60">
        <f t="shared" si="209"/>
        <v>1390.65</v>
      </c>
    </row>
    <row r="853" spans="1:21" x14ac:dyDescent="0.2">
      <c r="A853" s="115"/>
      <c r="B853" s="139" t="s">
        <v>306</v>
      </c>
      <c r="C853" s="140" t="s">
        <v>261</v>
      </c>
      <c r="D853" s="141">
        <v>45306</v>
      </c>
      <c r="E853" s="141">
        <v>49994</v>
      </c>
      <c r="F853" s="57">
        <v>1390.65</v>
      </c>
      <c r="G853" s="58">
        <f t="shared" si="195"/>
        <v>3972</v>
      </c>
      <c r="H853" s="142">
        <f t="shared" si="196"/>
        <v>0</v>
      </c>
      <c r="I853" s="142">
        <f t="shared" si="197"/>
        <v>0</v>
      </c>
      <c r="J853" s="143">
        <f t="shared" si="198"/>
        <v>0</v>
      </c>
      <c r="K853" s="143">
        <f t="shared" si="199"/>
        <v>0</v>
      </c>
      <c r="L853" s="142">
        <f t="shared" si="200"/>
        <v>0</v>
      </c>
      <c r="M853" s="142">
        <f t="shared" si="201"/>
        <v>0</v>
      </c>
      <c r="N853" s="142">
        <f t="shared" si="202"/>
        <v>0</v>
      </c>
      <c r="O853" s="59">
        <f t="shared" si="203"/>
        <v>0</v>
      </c>
      <c r="P853" s="142">
        <f t="shared" si="204"/>
        <v>0</v>
      </c>
      <c r="Q853" s="142">
        <f t="shared" si="205"/>
        <v>0</v>
      </c>
      <c r="R853" s="142">
        <f t="shared" si="206"/>
        <v>0</v>
      </c>
      <c r="S853" s="142">
        <f t="shared" si="207"/>
        <v>0</v>
      </c>
      <c r="T853" s="142">
        <f t="shared" si="208"/>
        <v>1390.65</v>
      </c>
      <c r="U853" s="60">
        <f t="shared" si="209"/>
        <v>1390.65</v>
      </c>
    </row>
    <row r="854" spans="1:21" x14ac:dyDescent="0.2">
      <c r="A854" s="115"/>
      <c r="B854" s="139" t="s">
        <v>306</v>
      </c>
      <c r="C854" s="140" t="s">
        <v>261</v>
      </c>
      <c r="D854" s="141">
        <v>45306</v>
      </c>
      <c r="E854" s="141">
        <v>50024</v>
      </c>
      <c r="F854" s="57">
        <v>1390.65</v>
      </c>
      <c r="G854" s="58">
        <f t="shared" si="195"/>
        <v>4002</v>
      </c>
      <c r="H854" s="142">
        <f t="shared" si="196"/>
        <v>0</v>
      </c>
      <c r="I854" s="142">
        <f t="shared" si="197"/>
        <v>0</v>
      </c>
      <c r="J854" s="143">
        <f t="shared" si="198"/>
        <v>0</v>
      </c>
      <c r="K854" s="143">
        <f t="shared" si="199"/>
        <v>0</v>
      </c>
      <c r="L854" s="142">
        <f t="shared" si="200"/>
        <v>0</v>
      </c>
      <c r="M854" s="142">
        <f t="shared" si="201"/>
        <v>0</v>
      </c>
      <c r="N854" s="142">
        <f t="shared" si="202"/>
        <v>0</v>
      </c>
      <c r="O854" s="59">
        <f t="shared" si="203"/>
        <v>0</v>
      </c>
      <c r="P854" s="142">
        <f t="shared" si="204"/>
        <v>0</v>
      </c>
      <c r="Q854" s="142">
        <f t="shared" si="205"/>
        <v>0</v>
      </c>
      <c r="R854" s="142">
        <f t="shared" si="206"/>
        <v>0</v>
      </c>
      <c r="S854" s="142">
        <f t="shared" si="207"/>
        <v>0</v>
      </c>
      <c r="T854" s="142">
        <f t="shared" si="208"/>
        <v>1390.65</v>
      </c>
      <c r="U854" s="60">
        <f t="shared" si="209"/>
        <v>1390.65</v>
      </c>
    </row>
    <row r="855" spans="1:21" x14ac:dyDescent="0.2">
      <c r="A855" s="115"/>
      <c r="B855" s="139" t="s">
        <v>306</v>
      </c>
      <c r="C855" s="140" t="s">
        <v>261</v>
      </c>
      <c r="D855" s="141">
        <v>45306</v>
      </c>
      <c r="E855" s="141">
        <v>50055</v>
      </c>
      <c r="F855" s="57">
        <v>1390.65</v>
      </c>
      <c r="G855" s="58">
        <f t="shared" si="195"/>
        <v>4033</v>
      </c>
      <c r="H855" s="142">
        <f t="shared" si="196"/>
        <v>0</v>
      </c>
      <c r="I855" s="142">
        <f t="shared" si="197"/>
        <v>0</v>
      </c>
      <c r="J855" s="143">
        <f t="shared" si="198"/>
        <v>0</v>
      </c>
      <c r="K855" s="143">
        <f t="shared" si="199"/>
        <v>0</v>
      </c>
      <c r="L855" s="142">
        <f t="shared" si="200"/>
        <v>0</v>
      </c>
      <c r="M855" s="142">
        <f t="shared" si="201"/>
        <v>0</v>
      </c>
      <c r="N855" s="142">
        <f t="shared" si="202"/>
        <v>0</v>
      </c>
      <c r="O855" s="59">
        <f t="shared" si="203"/>
        <v>0</v>
      </c>
      <c r="P855" s="142">
        <f t="shared" si="204"/>
        <v>0</v>
      </c>
      <c r="Q855" s="142">
        <f t="shared" si="205"/>
        <v>0</v>
      </c>
      <c r="R855" s="142">
        <f t="shared" si="206"/>
        <v>0</v>
      </c>
      <c r="S855" s="142">
        <f t="shared" si="207"/>
        <v>0</v>
      </c>
      <c r="T855" s="142">
        <f t="shared" si="208"/>
        <v>1390.65</v>
      </c>
      <c r="U855" s="60">
        <f t="shared" si="209"/>
        <v>1390.65</v>
      </c>
    </row>
    <row r="856" spans="1:21" x14ac:dyDescent="0.2">
      <c r="A856" s="115"/>
      <c r="B856" s="139" t="s">
        <v>306</v>
      </c>
      <c r="C856" s="140" t="s">
        <v>261</v>
      </c>
      <c r="D856" s="141">
        <v>45306</v>
      </c>
      <c r="E856" s="141">
        <v>50086</v>
      </c>
      <c r="F856" s="57">
        <v>1390.65</v>
      </c>
      <c r="G856" s="58">
        <f t="shared" si="195"/>
        <v>4064</v>
      </c>
      <c r="H856" s="142">
        <f t="shared" si="196"/>
        <v>0</v>
      </c>
      <c r="I856" s="142">
        <f t="shared" si="197"/>
        <v>0</v>
      </c>
      <c r="J856" s="143">
        <f t="shared" si="198"/>
        <v>0</v>
      </c>
      <c r="K856" s="143">
        <f t="shared" si="199"/>
        <v>0</v>
      </c>
      <c r="L856" s="142">
        <f t="shared" si="200"/>
        <v>0</v>
      </c>
      <c r="M856" s="142">
        <f t="shared" si="201"/>
        <v>0</v>
      </c>
      <c r="N856" s="142">
        <f t="shared" si="202"/>
        <v>0</v>
      </c>
      <c r="O856" s="59">
        <f t="shared" si="203"/>
        <v>0</v>
      </c>
      <c r="P856" s="142">
        <f t="shared" si="204"/>
        <v>0</v>
      </c>
      <c r="Q856" s="142">
        <f t="shared" si="205"/>
        <v>0</v>
      </c>
      <c r="R856" s="142">
        <f t="shared" si="206"/>
        <v>0</v>
      </c>
      <c r="S856" s="142">
        <f t="shared" si="207"/>
        <v>0</v>
      </c>
      <c r="T856" s="142">
        <f t="shared" si="208"/>
        <v>1390.65</v>
      </c>
      <c r="U856" s="60">
        <f t="shared" si="209"/>
        <v>1390.65</v>
      </c>
    </row>
    <row r="857" spans="1:21" x14ac:dyDescent="0.2">
      <c r="A857" s="115"/>
      <c r="B857" s="139" t="s">
        <v>306</v>
      </c>
      <c r="C857" s="140" t="s">
        <v>261</v>
      </c>
      <c r="D857" s="141">
        <v>45306</v>
      </c>
      <c r="E857" s="141">
        <v>50114</v>
      </c>
      <c r="F857" s="57">
        <v>1390.65</v>
      </c>
      <c r="G857" s="58">
        <f t="shared" si="195"/>
        <v>4092</v>
      </c>
      <c r="H857" s="142">
        <f t="shared" si="196"/>
        <v>0</v>
      </c>
      <c r="I857" s="142">
        <f t="shared" si="197"/>
        <v>0</v>
      </c>
      <c r="J857" s="143">
        <f t="shared" si="198"/>
        <v>0</v>
      </c>
      <c r="K857" s="143">
        <f t="shared" si="199"/>
        <v>0</v>
      </c>
      <c r="L857" s="142">
        <f t="shared" si="200"/>
        <v>0</v>
      </c>
      <c r="M857" s="142">
        <f t="shared" si="201"/>
        <v>0</v>
      </c>
      <c r="N857" s="142">
        <f t="shared" si="202"/>
        <v>0</v>
      </c>
      <c r="O857" s="59">
        <f t="shared" si="203"/>
        <v>0</v>
      </c>
      <c r="P857" s="142">
        <f t="shared" si="204"/>
        <v>0</v>
      </c>
      <c r="Q857" s="142">
        <f t="shared" si="205"/>
        <v>0</v>
      </c>
      <c r="R857" s="142">
        <f t="shared" si="206"/>
        <v>0</v>
      </c>
      <c r="S857" s="142">
        <f t="shared" si="207"/>
        <v>0</v>
      </c>
      <c r="T857" s="142">
        <f t="shared" si="208"/>
        <v>1390.65</v>
      </c>
      <c r="U857" s="60">
        <f t="shared" si="209"/>
        <v>1390.65</v>
      </c>
    </row>
    <row r="858" spans="1:21" x14ac:dyDescent="0.2">
      <c r="A858" s="115"/>
      <c r="B858" s="139" t="s">
        <v>306</v>
      </c>
      <c r="C858" s="140" t="s">
        <v>261</v>
      </c>
      <c r="D858" s="141">
        <v>45306</v>
      </c>
      <c r="E858" s="141">
        <v>50145</v>
      </c>
      <c r="F858" s="57">
        <v>1390.65</v>
      </c>
      <c r="G858" s="58">
        <f t="shared" si="195"/>
        <v>4123</v>
      </c>
      <c r="H858" s="142">
        <f t="shared" si="196"/>
        <v>0</v>
      </c>
      <c r="I858" s="142">
        <f t="shared" si="197"/>
        <v>0</v>
      </c>
      <c r="J858" s="143">
        <f t="shared" si="198"/>
        <v>0</v>
      </c>
      <c r="K858" s="143">
        <f t="shared" si="199"/>
        <v>0</v>
      </c>
      <c r="L858" s="142">
        <f t="shared" si="200"/>
        <v>0</v>
      </c>
      <c r="M858" s="142">
        <f t="shared" si="201"/>
        <v>0</v>
      </c>
      <c r="N858" s="142">
        <f t="shared" si="202"/>
        <v>0</v>
      </c>
      <c r="O858" s="59">
        <f t="shared" si="203"/>
        <v>0</v>
      </c>
      <c r="P858" s="142">
        <f t="shared" si="204"/>
        <v>0</v>
      </c>
      <c r="Q858" s="142">
        <f t="shared" si="205"/>
        <v>0</v>
      </c>
      <c r="R858" s="142">
        <f t="shared" si="206"/>
        <v>0</v>
      </c>
      <c r="S858" s="142">
        <f t="shared" si="207"/>
        <v>0</v>
      </c>
      <c r="T858" s="142">
        <f t="shared" si="208"/>
        <v>1390.65</v>
      </c>
      <c r="U858" s="60">
        <f t="shared" si="209"/>
        <v>1390.65</v>
      </c>
    </row>
    <row r="859" spans="1:21" x14ac:dyDescent="0.2">
      <c r="A859" s="115"/>
      <c r="B859" s="139" t="s">
        <v>306</v>
      </c>
      <c r="C859" s="140" t="s">
        <v>261</v>
      </c>
      <c r="D859" s="141">
        <v>45306</v>
      </c>
      <c r="E859" s="141">
        <v>50175</v>
      </c>
      <c r="F859" s="57">
        <v>1390.65</v>
      </c>
      <c r="G859" s="58">
        <f t="shared" si="195"/>
        <v>4153</v>
      </c>
      <c r="H859" s="142">
        <f t="shared" si="196"/>
        <v>0</v>
      </c>
      <c r="I859" s="142">
        <f t="shared" si="197"/>
        <v>0</v>
      </c>
      <c r="J859" s="143">
        <f t="shared" si="198"/>
        <v>0</v>
      </c>
      <c r="K859" s="143">
        <f t="shared" si="199"/>
        <v>0</v>
      </c>
      <c r="L859" s="142">
        <f t="shared" si="200"/>
        <v>0</v>
      </c>
      <c r="M859" s="142">
        <f t="shared" si="201"/>
        <v>0</v>
      </c>
      <c r="N859" s="142">
        <f t="shared" si="202"/>
        <v>0</v>
      </c>
      <c r="O859" s="59">
        <f t="shared" si="203"/>
        <v>0</v>
      </c>
      <c r="P859" s="142">
        <f t="shared" si="204"/>
        <v>0</v>
      </c>
      <c r="Q859" s="142">
        <f t="shared" si="205"/>
        <v>0</v>
      </c>
      <c r="R859" s="142">
        <f t="shared" si="206"/>
        <v>0</v>
      </c>
      <c r="S859" s="142">
        <f t="shared" si="207"/>
        <v>0</v>
      </c>
      <c r="T859" s="142">
        <f t="shared" si="208"/>
        <v>1390.65</v>
      </c>
      <c r="U859" s="60">
        <f t="shared" si="209"/>
        <v>1390.65</v>
      </c>
    </row>
    <row r="860" spans="1:21" x14ac:dyDescent="0.2">
      <c r="A860" s="115"/>
      <c r="B860" s="139" t="s">
        <v>306</v>
      </c>
      <c r="C860" s="140" t="s">
        <v>261</v>
      </c>
      <c r="D860" s="141">
        <v>45306</v>
      </c>
      <c r="E860" s="141">
        <v>50206</v>
      </c>
      <c r="F860" s="57">
        <v>1390.65</v>
      </c>
      <c r="G860" s="58">
        <f t="shared" si="195"/>
        <v>4184</v>
      </c>
      <c r="H860" s="142">
        <f t="shared" si="196"/>
        <v>0</v>
      </c>
      <c r="I860" s="142">
        <f t="shared" si="197"/>
        <v>0</v>
      </c>
      <c r="J860" s="143">
        <f t="shared" si="198"/>
        <v>0</v>
      </c>
      <c r="K860" s="143">
        <f t="shared" si="199"/>
        <v>0</v>
      </c>
      <c r="L860" s="142">
        <f t="shared" si="200"/>
        <v>0</v>
      </c>
      <c r="M860" s="142">
        <f t="shared" si="201"/>
        <v>0</v>
      </c>
      <c r="N860" s="142">
        <f t="shared" si="202"/>
        <v>0</v>
      </c>
      <c r="O860" s="59">
        <f t="shared" si="203"/>
        <v>0</v>
      </c>
      <c r="P860" s="142">
        <f t="shared" si="204"/>
        <v>0</v>
      </c>
      <c r="Q860" s="142">
        <f t="shared" si="205"/>
        <v>0</v>
      </c>
      <c r="R860" s="142">
        <f t="shared" si="206"/>
        <v>0</v>
      </c>
      <c r="S860" s="142">
        <f t="shared" si="207"/>
        <v>0</v>
      </c>
      <c r="T860" s="142">
        <f t="shared" si="208"/>
        <v>1390.65</v>
      </c>
      <c r="U860" s="60">
        <f t="shared" si="209"/>
        <v>1390.65</v>
      </c>
    </row>
    <row r="861" spans="1:21" x14ac:dyDescent="0.2">
      <c r="A861" s="115"/>
      <c r="B861" s="139" t="s">
        <v>306</v>
      </c>
      <c r="C861" s="140" t="s">
        <v>261</v>
      </c>
      <c r="D861" s="141">
        <v>45306</v>
      </c>
      <c r="E861" s="141">
        <v>50236</v>
      </c>
      <c r="F861" s="57">
        <v>1390.65</v>
      </c>
      <c r="G861" s="58">
        <f t="shared" si="195"/>
        <v>4214</v>
      </c>
      <c r="H861" s="142">
        <f t="shared" si="196"/>
        <v>0</v>
      </c>
      <c r="I861" s="142">
        <f t="shared" si="197"/>
        <v>0</v>
      </c>
      <c r="J861" s="143">
        <f t="shared" si="198"/>
        <v>0</v>
      </c>
      <c r="K861" s="143">
        <f t="shared" si="199"/>
        <v>0</v>
      </c>
      <c r="L861" s="142">
        <f t="shared" si="200"/>
        <v>0</v>
      </c>
      <c r="M861" s="142">
        <f t="shared" si="201"/>
        <v>0</v>
      </c>
      <c r="N861" s="142">
        <f t="shared" si="202"/>
        <v>0</v>
      </c>
      <c r="O861" s="59">
        <f t="shared" si="203"/>
        <v>0</v>
      </c>
      <c r="P861" s="142">
        <f t="shared" si="204"/>
        <v>0</v>
      </c>
      <c r="Q861" s="142">
        <f t="shared" si="205"/>
        <v>0</v>
      </c>
      <c r="R861" s="142">
        <f t="shared" si="206"/>
        <v>0</v>
      </c>
      <c r="S861" s="142">
        <f t="shared" si="207"/>
        <v>0</v>
      </c>
      <c r="T861" s="142">
        <f t="shared" si="208"/>
        <v>1390.65</v>
      </c>
      <c r="U861" s="60">
        <f t="shared" si="209"/>
        <v>1390.65</v>
      </c>
    </row>
    <row r="862" spans="1:21" x14ac:dyDescent="0.2">
      <c r="A862" s="115"/>
      <c r="B862" s="139" t="s">
        <v>306</v>
      </c>
      <c r="C862" s="140" t="s">
        <v>261</v>
      </c>
      <c r="D862" s="141">
        <v>45306</v>
      </c>
      <c r="E862" s="141">
        <v>50267</v>
      </c>
      <c r="F862" s="57">
        <v>1390.65</v>
      </c>
      <c r="G862" s="58">
        <f t="shared" si="195"/>
        <v>4245</v>
      </c>
      <c r="H862" s="142">
        <f t="shared" si="196"/>
        <v>0</v>
      </c>
      <c r="I862" s="142">
        <f t="shared" si="197"/>
        <v>0</v>
      </c>
      <c r="J862" s="143">
        <f t="shared" si="198"/>
        <v>0</v>
      </c>
      <c r="K862" s="143">
        <f t="shared" si="199"/>
        <v>0</v>
      </c>
      <c r="L862" s="142">
        <f t="shared" si="200"/>
        <v>0</v>
      </c>
      <c r="M862" s="142">
        <f t="shared" si="201"/>
        <v>0</v>
      </c>
      <c r="N862" s="142">
        <f t="shared" si="202"/>
        <v>0</v>
      </c>
      <c r="O862" s="59">
        <f t="shared" si="203"/>
        <v>0</v>
      </c>
      <c r="P862" s="142">
        <f t="shared" si="204"/>
        <v>0</v>
      </c>
      <c r="Q862" s="142">
        <f t="shared" si="205"/>
        <v>0</v>
      </c>
      <c r="R862" s="142">
        <f t="shared" si="206"/>
        <v>0</v>
      </c>
      <c r="S862" s="142">
        <f t="shared" si="207"/>
        <v>0</v>
      </c>
      <c r="T862" s="142">
        <f t="shared" si="208"/>
        <v>1390.65</v>
      </c>
      <c r="U862" s="60">
        <f t="shared" si="209"/>
        <v>1390.65</v>
      </c>
    </row>
    <row r="863" spans="1:21" x14ac:dyDescent="0.2">
      <c r="A863" s="115"/>
      <c r="B863" s="139" t="s">
        <v>306</v>
      </c>
      <c r="C863" s="140" t="s">
        <v>261</v>
      </c>
      <c r="D863" s="141">
        <v>45306</v>
      </c>
      <c r="E863" s="141">
        <v>50298</v>
      </c>
      <c r="F863" s="57">
        <v>1390.65</v>
      </c>
      <c r="G863" s="58">
        <f t="shared" si="195"/>
        <v>4276</v>
      </c>
      <c r="H863" s="142">
        <f t="shared" si="196"/>
        <v>0</v>
      </c>
      <c r="I863" s="142">
        <f t="shared" si="197"/>
        <v>0</v>
      </c>
      <c r="J863" s="143">
        <f t="shared" si="198"/>
        <v>0</v>
      </c>
      <c r="K863" s="143">
        <f t="shared" si="199"/>
        <v>0</v>
      </c>
      <c r="L863" s="142">
        <f t="shared" si="200"/>
        <v>0</v>
      </c>
      <c r="M863" s="142">
        <f t="shared" si="201"/>
        <v>0</v>
      </c>
      <c r="N863" s="142">
        <f t="shared" si="202"/>
        <v>0</v>
      </c>
      <c r="O863" s="59">
        <f t="shared" si="203"/>
        <v>0</v>
      </c>
      <c r="P863" s="142">
        <f t="shared" si="204"/>
        <v>0</v>
      </c>
      <c r="Q863" s="142">
        <f t="shared" si="205"/>
        <v>0</v>
      </c>
      <c r="R863" s="142">
        <f t="shared" si="206"/>
        <v>0</v>
      </c>
      <c r="S863" s="142">
        <f t="shared" si="207"/>
        <v>0</v>
      </c>
      <c r="T863" s="142">
        <f t="shared" si="208"/>
        <v>1390.65</v>
      </c>
      <c r="U863" s="60">
        <f t="shared" si="209"/>
        <v>1390.65</v>
      </c>
    </row>
    <row r="864" spans="1:21" x14ac:dyDescent="0.2">
      <c r="A864" s="115"/>
      <c r="B864" s="139" t="s">
        <v>306</v>
      </c>
      <c r="C864" s="140" t="s">
        <v>261</v>
      </c>
      <c r="D864" s="141">
        <v>45306</v>
      </c>
      <c r="E864" s="141">
        <v>50328</v>
      </c>
      <c r="F864" s="57">
        <v>1390.65</v>
      </c>
      <c r="G864" s="58">
        <f t="shared" si="195"/>
        <v>4306</v>
      </c>
      <c r="H864" s="142">
        <f t="shared" si="196"/>
        <v>0</v>
      </c>
      <c r="I864" s="142">
        <f t="shared" si="197"/>
        <v>0</v>
      </c>
      <c r="J864" s="143">
        <f t="shared" si="198"/>
        <v>0</v>
      </c>
      <c r="K864" s="143">
        <f t="shared" si="199"/>
        <v>0</v>
      </c>
      <c r="L864" s="142">
        <f t="shared" si="200"/>
        <v>0</v>
      </c>
      <c r="M864" s="142">
        <f t="shared" si="201"/>
        <v>0</v>
      </c>
      <c r="N864" s="142">
        <f t="shared" si="202"/>
        <v>0</v>
      </c>
      <c r="O864" s="59">
        <f t="shared" si="203"/>
        <v>0</v>
      </c>
      <c r="P864" s="142">
        <f t="shared" si="204"/>
        <v>0</v>
      </c>
      <c r="Q864" s="142">
        <f t="shared" si="205"/>
        <v>0</v>
      </c>
      <c r="R864" s="142">
        <f t="shared" si="206"/>
        <v>0</v>
      </c>
      <c r="S864" s="142">
        <f t="shared" si="207"/>
        <v>0</v>
      </c>
      <c r="T864" s="142">
        <f t="shared" si="208"/>
        <v>1390.65</v>
      </c>
      <c r="U864" s="60">
        <f t="shared" si="209"/>
        <v>1390.65</v>
      </c>
    </row>
    <row r="865" spans="1:21" x14ac:dyDescent="0.2">
      <c r="A865" s="115"/>
      <c r="B865" s="139" t="s">
        <v>306</v>
      </c>
      <c r="C865" s="140" t="s">
        <v>261</v>
      </c>
      <c r="D865" s="141">
        <v>45306</v>
      </c>
      <c r="E865" s="141">
        <v>50359</v>
      </c>
      <c r="F865" s="57">
        <v>1390.65</v>
      </c>
      <c r="G865" s="58">
        <f t="shared" si="195"/>
        <v>4337</v>
      </c>
      <c r="H865" s="142">
        <f t="shared" si="196"/>
        <v>0</v>
      </c>
      <c r="I865" s="142">
        <f t="shared" si="197"/>
        <v>0</v>
      </c>
      <c r="J865" s="143">
        <f t="shared" si="198"/>
        <v>0</v>
      </c>
      <c r="K865" s="143">
        <f t="shared" si="199"/>
        <v>0</v>
      </c>
      <c r="L865" s="142">
        <f t="shared" si="200"/>
        <v>0</v>
      </c>
      <c r="M865" s="142">
        <f t="shared" si="201"/>
        <v>0</v>
      </c>
      <c r="N865" s="142">
        <f t="shared" si="202"/>
        <v>0</v>
      </c>
      <c r="O865" s="59">
        <f t="shared" si="203"/>
        <v>0</v>
      </c>
      <c r="P865" s="142">
        <f t="shared" si="204"/>
        <v>0</v>
      </c>
      <c r="Q865" s="142">
        <f t="shared" si="205"/>
        <v>0</v>
      </c>
      <c r="R865" s="142">
        <f t="shared" si="206"/>
        <v>0</v>
      </c>
      <c r="S865" s="142">
        <f t="shared" si="207"/>
        <v>0</v>
      </c>
      <c r="T865" s="142">
        <f t="shared" si="208"/>
        <v>1390.65</v>
      </c>
      <c r="U865" s="60">
        <f t="shared" si="209"/>
        <v>1390.65</v>
      </c>
    </row>
    <row r="866" spans="1:21" x14ac:dyDescent="0.2">
      <c r="A866" s="115"/>
      <c r="B866" s="139" t="s">
        <v>306</v>
      </c>
      <c r="C866" s="140" t="s">
        <v>261</v>
      </c>
      <c r="D866" s="141">
        <v>45306</v>
      </c>
      <c r="E866" s="141">
        <v>50389</v>
      </c>
      <c r="F866" s="57">
        <v>1390.65</v>
      </c>
      <c r="G866" s="58">
        <f t="shared" si="195"/>
        <v>4367</v>
      </c>
      <c r="H866" s="142">
        <f t="shared" si="196"/>
        <v>0</v>
      </c>
      <c r="I866" s="142">
        <f t="shared" si="197"/>
        <v>0</v>
      </c>
      <c r="J866" s="143">
        <f t="shared" si="198"/>
        <v>0</v>
      </c>
      <c r="K866" s="143">
        <f t="shared" si="199"/>
        <v>0</v>
      </c>
      <c r="L866" s="142">
        <f t="shared" si="200"/>
        <v>0</v>
      </c>
      <c r="M866" s="142">
        <f t="shared" si="201"/>
        <v>0</v>
      </c>
      <c r="N866" s="142">
        <f t="shared" si="202"/>
        <v>0</v>
      </c>
      <c r="O866" s="59">
        <f t="shared" si="203"/>
        <v>0</v>
      </c>
      <c r="P866" s="142">
        <f t="shared" si="204"/>
        <v>0</v>
      </c>
      <c r="Q866" s="142">
        <f t="shared" si="205"/>
        <v>0</v>
      </c>
      <c r="R866" s="142">
        <f t="shared" si="206"/>
        <v>0</v>
      </c>
      <c r="S866" s="142">
        <f t="shared" si="207"/>
        <v>0</v>
      </c>
      <c r="T866" s="142">
        <f t="shared" si="208"/>
        <v>1390.65</v>
      </c>
      <c r="U866" s="60">
        <f t="shared" si="209"/>
        <v>1390.65</v>
      </c>
    </row>
    <row r="867" spans="1:21" x14ac:dyDescent="0.2">
      <c r="A867" s="115"/>
      <c r="B867" s="139" t="s">
        <v>306</v>
      </c>
      <c r="C867" s="140" t="s">
        <v>261</v>
      </c>
      <c r="D867" s="141">
        <v>45306</v>
      </c>
      <c r="E867" s="141">
        <v>50420</v>
      </c>
      <c r="F867" s="57">
        <v>1390.65</v>
      </c>
      <c r="G867" s="58">
        <f t="shared" si="195"/>
        <v>4398</v>
      </c>
      <c r="H867" s="142">
        <f t="shared" si="196"/>
        <v>0</v>
      </c>
      <c r="I867" s="142">
        <f t="shared" si="197"/>
        <v>0</v>
      </c>
      <c r="J867" s="143">
        <f t="shared" si="198"/>
        <v>0</v>
      </c>
      <c r="K867" s="143">
        <f t="shared" si="199"/>
        <v>0</v>
      </c>
      <c r="L867" s="142">
        <f t="shared" si="200"/>
        <v>0</v>
      </c>
      <c r="M867" s="142">
        <f t="shared" si="201"/>
        <v>0</v>
      </c>
      <c r="N867" s="142">
        <f t="shared" si="202"/>
        <v>0</v>
      </c>
      <c r="O867" s="59">
        <f t="shared" si="203"/>
        <v>0</v>
      </c>
      <c r="P867" s="142">
        <f t="shared" si="204"/>
        <v>0</v>
      </c>
      <c r="Q867" s="142">
        <f t="shared" si="205"/>
        <v>0</v>
      </c>
      <c r="R867" s="142">
        <f t="shared" si="206"/>
        <v>0</v>
      </c>
      <c r="S867" s="142">
        <f t="shared" si="207"/>
        <v>0</v>
      </c>
      <c r="T867" s="142">
        <f t="shared" si="208"/>
        <v>1390.65</v>
      </c>
      <c r="U867" s="60">
        <f t="shared" si="209"/>
        <v>1390.65</v>
      </c>
    </row>
    <row r="868" spans="1:21" x14ac:dyDescent="0.2">
      <c r="A868" s="115"/>
      <c r="B868" s="139" t="s">
        <v>306</v>
      </c>
      <c r="C868" s="140" t="s">
        <v>261</v>
      </c>
      <c r="D868" s="141">
        <v>45306</v>
      </c>
      <c r="E868" s="141">
        <v>50451</v>
      </c>
      <c r="F868" s="57">
        <v>1390.65</v>
      </c>
      <c r="G868" s="58">
        <f t="shared" si="195"/>
        <v>4429</v>
      </c>
      <c r="H868" s="142">
        <f t="shared" si="196"/>
        <v>0</v>
      </c>
      <c r="I868" s="142">
        <f t="shared" si="197"/>
        <v>0</v>
      </c>
      <c r="J868" s="143">
        <f t="shared" si="198"/>
        <v>0</v>
      </c>
      <c r="K868" s="143">
        <f t="shared" si="199"/>
        <v>0</v>
      </c>
      <c r="L868" s="142">
        <f t="shared" si="200"/>
        <v>0</v>
      </c>
      <c r="M868" s="142">
        <f t="shared" si="201"/>
        <v>0</v>
      </c>
      <c r="N868" s="142">
        <f t="shared" si="202"/>
        <v>0</v>
      </c>
      <c r="O868" s="59">
        <f t="shared" si="203"/>
        <v>0</v>
      </c>
      <c r="P868" s="142">
        <f t="shared" si="204"/>
        <v>0</v>
      </c>
      <c r="Q868" s="142">
        <f t="shared" si="205"/>
        <v>0</v>
      </c>
      <c r="R868" s="142">
        <f t="shared" si="206"/>
        <v>0</v>
      </c>
      <c r="S868" s="142">
        <f t="shared" si="207"/>
        <v>0</v>
      </c>
      <c r="T868" s="142">
        <f t="shared" si="208"/>
        <v>1390.65</v>
      </c>
      <c r="U868" s="60">
        <f t="shared" si="209"/>
        <v>1390.65</v>
      </c>
    </row>
    <row r="869" spans="1:21" x14ac:dyDescent="0.2">
      <c r="A869" s="115"/>
      <c r="B869" s="139" t="s">
        <v>306</v>
      </c>
      <c r="C869" s="140" t="s">
        <v>261</v>
      </c>
      <c r="D869" s="141">
        <v>45306</v>
      </c>
      <c r="E869" s="141">
        <v>50479</v>
      </c>
      <c r="F869" s="57">
        <v>1390.65</v>
      </c>
      <c r="G869" s="58">
        <f t="shared" si="195"/>
        <v>4457</v>
      </c>
      <c r="H869" s="142">
        <f t="shared" si="196"/>
        <v>0</v>
      </c>
      <c r="I869" s="142">
        <f t="shared" si="197"/>
        <v>0</v>
      </c>
      <c r="J869" s="143">
        <f t="shared" si="198"/>
        <v>0</v>
      </c>
      <c r="K869" s="143">
        <f t="shared" si="199"/>
        <v>0</v>
      </c>
      <c r="L869" s="142">
        <f t="shared" si="200"/>
        <v>0</v>
      </c>
      <c r="M869" s="142">
        <f t="shared" si="201"/>
        <v>0</v>
      </c>
      <c r="N869" s="142">
        <f t="shared" si="202"/>
        <v>0</v>
      </c>
      <c r="O869" s="59">
        <f t="shared" si="203"/>
        <v>0</v>
      </c>
      <c r="P869" s="142">
        <f t="shared" si="204"/>
        <v>0</v>
      </c>
      <c r="Q869" s="142">
        <f t="shared" si="205"/>
        <v>0</v>
      </c>
      <c r="R869" s="142">
        <f t="shared" si="206"/>
        <v>0</v>
      </c>
      <c r="S869" s="142">
        <f t="shared" si="207"/>
        <v>0</v>
      </c>
      <c r="T869" s="142">
        <f t="shared" si="208"/>
        <v>1390.65</v>
      </c>
      <c r="U869" s="60">
        <f t="shared" si="209"/>
        <v>1390.65</v>
      </c>
    </row>
    <row r="870" spans="1:21" x14ac:dyDescent="0.2">
      <c r="A870" s="115"/>
      <c r="B870" s="139" t="s">
        <v>306</v>
      </c>
      <c r="C870" s="140" t="s">
        <v>261</v>
      </c>
      <c r="D870" s="141">
        <v>45306</v>
      </c>
      <c r="E870" s="141">
        <v>50510</v>
      </c>
      <c r="F870" s="57">
        <v>1390.65</v>
      </c>
      <c r="G870" s="58">
        <f t="shared" si="195"/>
        <v>4488</v>
      </c>
      <c r="H870" s="142">
        <f t="shared" si="196"/>
        <v>0</v>
      </c>
      <c r="I870" s="142">
        <f t="shared" si="197"/>
        <v>0</v>
      </c>
      <c r="J870" s="143">
        <f t="shared" si="198"/>
        <v>0</v>
      </c>
      <c r="K870" s="143">
        <f t="shared" si="199"/>
        <v>0</v>
      </c>
      <c r="L870" s="142">
        <f t="shared" si="200"/>
        <v>0</v>
      </c>
      <c r="M870" s="142">
        <f t="shared" si="201"/>
        <v>0</v>
      </c>
      <c r="N870" s="142">
        <f t="shared" si="202"/>
        <v>0</v>
      </c>
      <c r="O870" s="59">
        <f t="shared" si="203"/>
        <v>0</v>
      </c>
      <c r="P870" s="142">
        <f t="shared" si="204"/>
        <v>0</v>
      </c>
      <c r="Q870" s="142">
        <f t="shared" si="205"/>
        <v>0</v>
      </c>
      <c r="R870" s="142">
        <f t="shared" si="206"/>
        <v>0</v>
      </c>
      <c r="S870" s="142">
        <f t="shared" si="207"/>
        <v>0</v>
      </c>
      <c r="T870" s="142">
        <f t="shared" si="208"/>
        <v>1390.65</v>
      </c>
      <c r="U870" s="60">
        <f t="shared" si="209"/>
        <v>1390.65</v>
      </c>
    </row>
    <row r="871" spans="1:21" x14ac:dyDescent="0.2">
      <c r="A871" s="115"/>
      <c r="B871" s="139" t="s">
        <v>60</v>
      </c>
      <c r="C871" s="140" t="s">
        <v>262</v>
      </c>
      <c r="D871" s="141">
        <v>45138</v>
      </c>
      <c r="E871" s="141">
        <v>45198</v>
      </c>
      <c r="F871" s="57">
        <v>25900</v>
      </c>
      <c r="G871" s="58">
        <f t="shared" si="195"/>
        <v>-824</v>
      </c>
      <c r="H871" s="142">
        <f t="shared" si="196"/>
        <v>25900</v>
      </c>
      <c r="I871" s="142">
        <f t="shared" si="197"/>
        <v>0</v>
      </c>
      <c r="J871" s="143">
        <f t="shared" si="198"/>
        <v>0</v>
      </c>
      <c r="K871" s="143">
        <f t="shared" si="199"/>
        <v>0</v>
      </c>
      <c r="L871" s="142">
        <f t="shared" si="200"/>
        <v>0</v>
      </c>
      <c r="M871" s="142">
        <f t="shared" si="201"/>
        <v>0</v>
      </c>
      <c r="N871" s="142">
        <f t="shared" si="202"/>
        <v>0</v>
      </c>
      <c r="O871" s="59">
        <f t="shared" si="203"/>
        <v>25900</v>
      </c>
      <c r="P871" s="142">
        <f t="shared" si="204"/>
        <v>0</v>
      </c>
      <c r="Q871" s="142">
        <f t="shared" si="205"/>
        <v>0</v>
      </c>
      <c r="R871" s="142">
        <f t="shared" si="206"/>
        <v>0</v>
      </c>
      <c r="S871" s="142">
        <f t="shared" si="207"/>
        <v>0</v>
      </c>
      <c r="T871" s="142">
        <f t="shared" si="208"/>
        <v>0</v>
      </c>
      <c r="U871" s="60">
        <f t="shared" si="209"/>
        <v>0</v>
      </c>
    </row>
    <row r="872" spans="1:21" x14ac:dyDescent="0.2">
      <c r="A872" s="115"/>
      <c r="B872" s="139" t="s">
        <v>60</v>
      </c>
      <c r="C872" s="140" t="s">
        <v>263</v>
      </c>
      <c r="D872" s="141">
        <v>45142</v>
      </c>
      <c r="E872" s="141">
        <v>45202</v>
      </c>
      <c r="F872" s="57">
        <v>23990.03</v>
      </c>
      <c r="G872" s="58">
        <f t="shared" si="195"/>
        <v>-820</v>
      </c>
      <c r="H872" s="142">
        <f t="shared" si="196"/>
        <v>23990.03</v>
      </c>
      <c r="I872" s="142">
        <f t="shared" si="197"/>
        <v>0</v>
      </c>
      <c r="J872" s="143">
        <f t="shared" si="198"/>
        <v>0</v>
      </c>
      <c r="K872" s="143">
        <f t="shared" si="199"/>
        <v>0</v>
      </c>
      <c r="L872" s="142">
        <f t="shared" si="200"/>
        <v>0</v>
      </c>
      <c r="M872" s="142">
        <f t="shared" si="201"/>
        <v>0</v>
      </c>
      <c r="N872" s="142">
        <f t="shared" si="202"/>
        <v>0</v>
      </c>
      <c r="O872" s="59">
        <f t="shared" si="203"/>
        <v>23990.03</v>
      </c>
      <c r="P872" s="142">
        <f t="shared" si="204"/>
        <v>0</v>
      </c>
      <c r="Q872" s="142">
        <f t="shared" si="205"/>
        <v>0</v>
      </c>
      <c r="R872" s="142">
        <f t="shared" si="206"/>
        <v>0</v>
      </c>
      <c r="S872" s="142">
        <f t="shared" si="207"/>
        <v>0</v>
      </c>
      <c r="T872" s="142">
        <f t="shared" si="208"/>
        <v>0</v>
      </c>
      <c r="U872" s="60">
        <f t="shared" si="209"/>
        <v>0</v>
      </c>
    </row>
    <row r="873" spans="1:21" x14ac:dyDescent="0.2">
      <c r="A873" s="115"/>
      <c r="B873" s="139" t="s">
        <v>60</v>
      </c>
      <c r="C873" s="140" t="s">
        <v>264</v>
      </c>
      <c r="D873" s="141">
        <v>45155</v>
      </c>
      <c r="E873" s="141">
        <v>45215</v>
      </c>
      <c r="F873" s="57">
        <v>73000</v>
      </c>
      <c r="G873" s="58">
        <f t="shared" si="195"/>
        <v>-807</v>
      </c>
      <c r="H873" s="142">
        <f t="shared" si="196"/>
        <v>73000</v>
      </c>
      <c r="I873" s="142">
        <f t="shared" si="197"/>
        <v>0</v>
      </c>
      <c r="J873" s="143">
        <f t="shared" si="198"/>
        <v>0</v>
      </c>
      <c r="K873" s="143">
        <f t="shared" si="199"/>
        <v>0</v>
      </c>
      <c r="L873" s="142">
        <f t="shared" si="200"/>
        <v>0</v>
      </c>
      <c r="M873" s="142">
        <f t="shared" si="201"/>
        <v>0</v>
      </c>
      <c r="N873" s="142">
        <f t="shared" si="202"/>
        <v>0</v>
      </c>
      <c r="O873" s="59">
        <f t="shared" si="203"/>
        <v>73000</v>
      </c>
      <c r="P873" s="142">
        <f t="shared" si="204"/>
        <v>0</v>
      </c>
      <c r="Q873" s="142">
        <f t="shared" si="205"/>
        <v>0</v>
      </c>
      <c r="R873" s="142">
        <f t="shared" si="206"/>
        <v>0</v>
      </c>
      <c r="S873" s="142">
        <f t="shared" si="207"/>
        <v>0</v>
      </c>
      <c r="T873" s="142">
        <f t="shared" si="208"/>
        <v>0</v>
      </c>
      <c r="U873" s="60">
        <f t="shared" si="209"/>
        <v>0</v>
      </c>
    </row>
    <row r="874" spans="1:21" x14ac:dyDescent="0.2">
      <c r="A874" s="115"/>
      <c r="B874" s="139" t="s">
        <v>60</v>
      </c>
      <c r="C874" s="140" t="s">
        <v>265</v>
      </c>
      <c r="D874" s="141">
        <v>45166</v>
      </c>
      <c r="E874" s="141">
        <v>45226</v>
      </c>
      <c r="F874" s="57">
        <v>20761</v>
      </c>
      <c r="G874" s="58">
        <f t="shared" si="195"/>
        <v>-796</v>
      </c>
      <c r="H874" s="142">
        <f t="shared" si="196"/>
        <v>20761</v>
      </c>
      <c r="I874" s="142">
        <f t="shared" si="197"/>
        <v>0</v>
      </c>
      <c r="J874" s="143">
        <f t="shared" si="198"/>
        <v>0</v>
      </c>
      <c r="K874" s="143">
        <f t="shared" si="199"/>
        <v>0</v>
      </c>
      <c r="L874" s="142">
        <f t="shared" si="200"/>
        <v>0</v>
      </c>
      <c r="M874" s="142">
        <f t="shared" si="201"/>
        <v>0</v>
      </c>
      <c r="N874" s="142">
        <f t="shared" si="202"/>
        <v>0</v>
      </c>
      <c r="O874" s="59">
        <f t="shared" si="203"/>
        <v>20761</v>
      </c>
      <c r="P874" s="142">
        <f t="shared" si="204"/>
        <v>0</v>
      </c>
      <c r="Q874" s="142">
        <f t="shared" si="205"/>
        <v>0</v>
      </c>
      <c r="R874" s="142">
        <f t="shared" si="206"/>
        <v>0</v>
      </c>
      <c r="S874" s="142">
        <f t="shared" si="207"/>
        <v>0</v>
      </c>
      <c r="T874" s="142">
        <f t="shared" si="208"/>
        <v>0</v>
      </c>
      <c r="U874" s="60">
        <f t="shared" si="209"/>
        <v>0</v>
      </c>
    </row>
    <row r="875" spans="1:21" x14ac:dyDescent="0.2">
      <c r="A875" s="115"/>
      <c r="B875" s="139" t="s">
        <v>60</v>
      </c>
      <c r="C875" s="140" t="s">
        <v>266</v>
      </c>
      <c r="D875" s="141">
        <v>45166</v>
      </c>
      <c r="E875" s="141">
        <v>45226</v>
      </c>
      <c r="F875" s="57">
        <v>20761</v>
      </c>
      <c r="G875" s="58">
        <f t="shared" si="195"/>
        <v>-796</v>
      </c>
      <c r="H875" s="142">
        <f t="shared" si="196"/>
        <v>20761</v>
      </c>
      <c r="I875" s="142">
        <f t="shared" si="197"/>
        <v>0</v>
      </c>
      <c r="J875" s="143">
        <f t="shared" si="198"/>
        <v>0</v>
      </c>
      <c r="K875" s="143">
        <f t="shared" si="199"/>
        <v>0</v>
      </c>
      <c r="L875" s="142">
        <f t="shared" si="200"/>
        <v>0</v>
      </c>
      <c r="M875" s="142">
        <f t="shared" si="201"/>
        <v>0</v>
      </c>
      <c r="N875" s="142">
        <f t="shared" si="202"/>
        <v>0</v>
      </c>
      <c r="O875" s="59">
        <f t="shared" si="203"/>
        <v>20761</v>
      </c>
      <c r="P875" s="142">
        <f t="shared" si="204"/>
        <v>0</v>
      </c>
      <c r="Q875" s="142">
        <f t="shared" si="205"/>
        <v>0</v>
      </c>
      <c r="R875" s="142">
        <f t="shared" si="206"/>
        <v>0</v>
      </c>
      <c r="S875" s="142">
        <f t="shared" si="207"/>
        <v>0</v>
      </c>
      <c r="T875" s="142">
        <f t="shared" si="208"/>
        <v>0</v>
      </c>
      <c r="U875" s="60">
        <f t="shared" si="209"/>
        <v>0</v>
      </c>
    </row>
    <row r="876" spans="1:21" x14ac:dyDescent="0.2">
      <c r="A876" s="115"/>
      <c r="B876" s="139" t="s">
        <v>60</v>
      </c>
      <c r="C876" s="140" t="s">
        <v>267</v>
      </c>
      <c r="D876" s="141">
        <v>45180</v>
      </c>
      <c r="E876" s="141">
        <v>45240</v>
      </c>
      <c r="F876" s="57">
        <v>24173</v>
      </c>
      <c r="G876" s="58">
        <f t="shared" si="195"/>
        <v>-782</v>
      </c>
      <c r="H876" s="142">
        <f t="shared" si="196"/>
        <v>24173</v>
      </c>
      <c r="I876" s="142">
        <f t="shared" si="197"/>
        <v>0</v>
      </c>
      <c r="J876" s="143">
        <f t="shared" si="198"/>
        <v>0</v>
      </c>
      <c r="K876" s="143">
        <f t="shared" si="199"/>
        <v>0</v>
      </c>
      <c r="L876" s="142">
        <f t="shared" si="200"/>
        <v>0</v>
      </c>
      <c r="M876" s="142">
        <f t="shared" si="201"/>
        <v>0</v>
      </c>
      <c r="N876" s="142">
        <f t="shared" si="202"/>
        <v>0</v>
      </c>
      <c r="O876" s="59">
        <f t="shared" si="203"/>
        <v>24173</v>
      </c>
      <c r="P876" s="142">
        <f t="shared" si="204"/>
        <v>0</v>
      </c>
      <c r="Q876" s="142">
        <f t="shared" si="205"/>
        <v>0</v>
      </c>
      <c r="R876" s="142">
        <f t="shared" si="206"/>
        <v>0</v>
      </c>
      <c r="S876" s="142">
        <f t="shared" si="207"/>
        <v>0</v>
      </c>
      <c r="T876" s="142">
        <f t="shared" si="208"/>
        <v>0</v>
      </c>
      <c r="U876" s="60">
        <f t="shared" si="209"/>
        <v>0</v>
      </c>
    </row>
    <row r="877" spans="1:21" x14ac:dyDescent="0.2">
      <c r="A877" s="115"/>
      <c r="B877" s="139" t="s">
        <v>60</v>
      </c>
      <c r="C877" s="140" t="s">
        <v>268</v>
      </c>
      <c r="D877" s="141">
        <v>45191</v>
      </c>
      <c r="E877" s="141">
        <v>45251</v>
      </c>
      <c r="F877" s="57">
        <v>24050</v>
      </c>
      <c r="G877" s="58">
        <f t="shared" si="195"/>
        <v>-771</v>
      </c>
      <c r="H877" s="142">
        <f t="shared" si="196"/>
        <v>24050</v>
      </c>
      <c r="I877" s="142">
        <f t="shared" si="197"/>
        <v>0</v>
      </c>
      <c r="J877" s="143">
        <f t="shared" si="198"/>
        <v>0</v>
      </c>
      <c r="K877" s="143">
        <f t="shared" si="199"/>
        <v>0</v>
      </c>
      <c r="L877" s="142">
        <f t="shared" si="200"/>
        <v>0</v>
      </c>
      <c r="M877" s="142">
        <f t="shared" si="201"/>
        <v>0</v>
      </c>
      <c r="N877" s="142">
        <f t="shared" si="202"/>
        <v>0</v>
      </c>
      <c r="O877" s="59">
        <f t="shared" si="203"/>
        <v>24050</v>
      </c>
      <c r="P877" s="142">
        <f t="shared" si="204"/>
        <v>0</v>
      </c>
      <c r="Q877" s="142">
        <f t="shared" si="205"/>
        <v>0</v>
      </c>
      <c r="R877" s="142">
        <f t="shared" si="206"/>
        <v>0</v>
      </c>
      <c r="S877" s="142">
        <f t="shared" si="207"/>
        <v>0</v>
      </c>
      <c r="T877" s="142">
        <f t="shared" si="208"/>
        <v>0</v>
      </c>
      <c r="U877" s="60">
        <f t="shared" si="209"/>
        <v>0</v>
      </c>
    </row>
    <row r="878" spans="1:21" x14ac:dyDescent="0.2">
      <c r="A878" s="115"/>
      <c r="B878" s="139" t="s">
        <v>60</v>
      </c>
      <c r="C878" s="140" t="s">
        <v>269</v>
      </c>
      <c r="D878" s="141">
        <v>45195</v>
      </c>
      <c r="E878" s="141">
        <v>45255</v>
      </c>
      <c r="F878" s="57">
        <v>24816</v>
      </c>
      <c r="G878" s="58">
        <f t="shared" si="195"/>
        <v>-767</v>
      </c>
      <c r="H878" s="142">
        <f t="shared" si="196"/>
        <v>24816</v>
      </c>
      <c r="I878" s="142">
        <f t="shared" si="197"/>
        <v>0</v>
      </c>
      <c r="J878" s="143">
        <f t="shared" si="198"/>
        <v>0</v>
      </c>
      <c r="K878" s="143">
        <f t="shared" si="199"/>
        <v>0</v>
      </c>
      <c r="L878" s="142">
        <f t="shared" si="200"/>
        <v>0</v>
      </c>
      <c r="M878" s="142">
        <f t="shared" si="201"/>
        <v>0</v>
      </c>
      <c r="N878" s="142">
        <f t="shared" si="202"/>
        <v>0</v>
      </c>
      <c r="O878" s="59">
        <f t="shared" si="203"/>
        <v>24816</v>
      </c>
      <c r="P878" s="142">
        <f t="shared" si="204"/>
        <v>0</v>
      </c>
      <c r="Q878" s="142">
        <f t="shared" si="205"/>
        <v>0</v>
      </c>
      <c r="R878" s="142">
        <f t="shared" si="206"/>
        <v>0</v>
      </c>
      <c r="S878" s="142">
        <f t="shared" si="207"/>
        <v>0</v>
      </c>
      <c r="T878" s="142">
        <f t="shared" si="208"/>
        <v>0</v>
      </c>
      <c r="U878" s="60">
        <f t="shared" si="209"/>
        <v>0</v>
      </c>
    </row>
    <row r="879" spans="1:21" x14ac:dyDescent="0.2">
      <c r="A879" s="115"/>
      <c r="B879" s="139" t="s">
        <v>60</v>
      </c>
      <c r="C879" s="140" t="s">
        <v>270</v>
      </c>
      <c r="D879" s="141">
        <v>45195</v>
      </c>
      <c r="E879" s="141">
        <v>45255</v>
      </c>
      <c r="F879" s="57">
        <v>29073</v>
      </c>
      <c r="G879" s="58">
        <f t="shared" si="195"/>
        <v>-767</v>
      </c>
      <c r="H879" s="142">
        <f t="shared" si="196"/>
        <v>29073</v>
      </c>
      <c r="I879" s="142">
        <f t="shared" si="197"/>
        <v>0</v>
      </c>
      <c r="J879" s="143">
        <f t="shared" si="198"/>
        <v>0</v>
      </c>
      <c r="K879" s="143">
        <f t="shared" si="199"/>
        <v>0</v>
      </c>
      <c r="L879" s="142">
        <f t="shared" si="200"/>
        <v>0</v>
      </c>
      <c r="M879" s="142">
        <f t="shared" si="201"/>
        <v>0</v>
      </c>
      <c r="N879" s="142">
        <f t="shared" si="202"/>
        <v>0</v>
      </c>
      <c r="O879" s="59">
        <f t="shared" si="203"/>
        <v>29073</v>
      </c>
      <c r="P879" s="142">
        <f t="shared" si="204"/>
        <v>0</v>
      </c>
      <c r="Q879" s="142">
        <f t="shared" si="205"/>
        <v>0</v>
      </c>
      <c r="R879" s="142">
        <f t="shared" si="206"/>
        <v>0</v>
      </c>
      <c r="S879" s="142">
        <f t="shared" si="207"/>
        <v>0</v>
      </c>
      <c r="T879" s="142">
        <f t="shared" si="208"/>
        <v>0</v>
      </c>
      <c r="U879" s="60">
        <f t="shared" si="209"/>
        <v>0</v>
      </c>
    </row>
    <row r="880" spans="1:21" x14ac:dyDescent="0.2">
      <c r="A880" s="115"/>
      <c r="B880" s="139" t="s">
        <v>60</v>
      </c>
      <c r="C880" s="140" t="s">
        <v>271</v>
      </c>
      <c r="D880" s="141">
        <v>45205</v>
      </c>
      <c r="E880" s="141">
        <v>45265</v>
      </c>
      <c r="F880" s="57">
        <v>24050</v>
      </c>
      <c r="G880" s="58">
        <f t="shared" si="195"/>
        <v>-757</v>
      </c>
      <c r="H880" s="142">
        <f t="shared" si="196"/>
        <v>24050</v>
      </c>
      <c r="I880" s="142">
        <f t="shared" si="197"/>
        <v>0</v>
      </c>
      <c r="J880" s="143">
        <f t="shared" si="198"/>
        <v>0</v>
      </c>
      <c r="K880" s="143">
        <f t="shared" si="199"/>
        <v>0</v>
      </c>
      <c r="L880" s="142">
        <f t="shared" si="200"/>
        <v>0</v>
      </c>
      <c r="M880" s="142">
        <f t="shared" si="201"/>
        <v>0</v>
      </c>
      <c r="N880" s="142">
        <f t="shared" si="202"/>
        <v>0</v>
      </c>
      <c r="O880" s="59">
        <f t="shared" si="203"/>
        <v>24050</v>
      </c>
      <c r="P880" s="142">
        <f t="shared" si="204"/>
        <v>0</v>
      </c>
      <c r="Q880" s="142">
        <f t="shared" si="205"/>
        <v>0</v>
      </c>
      <c r="R880" s="142">
        <f t="shared" si="206"/>
        <v>0</v>
      </c>
      <c r="S880" s="142">
        <f t="shared" si="207"/>
        <v>0</v>
      </c>
      <c r="T880" s="142">
        <f t="shared" si="208"/>
        <v>0</v>
      </c>
      <c r="U880" s="60">
        <f t="shared" si="209"/>
        <v>0</v>
      </c>
    </row>
    <row r="881" spans="1:21" x14ac:dyDescent="0.2">
      <c r="A881" s="115"/>
      <c r="B881" s="139" t="s">
        <v>60</v>
      </c>
      <c r="C881" s="140" t="s">
        <v>272</v>
      </c>
      <c r="D881" s="141">
        <v>45215</v>
      </c>
      <c r="E881" s="141">
        <v>45275</v>
      </c>
      <c r="F881" s="57">
        <v>22920</v>
      </c>
      <c r="G881" s="58">
        <f t="shared" si="195"/>
        <v>-747</v>
      </c>
      <c r="H881" s="142">
        <f t="shared" si="196"/>
        <v>22920</v>
      </c>
      <c r="I881" s="142">
        <f t="shared" si="197"/>
        <v>0</v>
      </c>
      <c r="J881" s="143">
        <f t="shared" si="198"/>
        <v>0</v>
      </c>
      <c r="K881" s="143">
        <f t="shared" si="199"/>
        <v>0</v>
      </c>
      <c r="L881" s="142">
        <f t="shared" si="200"/>
        <v>0</v>
      </c>
      <c r="M881" s="142">
        <f t="shared" si="201"/>
        <v>0</v>
      </c>
      <c r="N881" s="142">
        <f t="shared" si="202"/>
        <v>0</v>
      </c>
      <c r="O881" s="59">
        <f t="shared" si="203"/>
        <v>22920</v>
      </c>
      <c r="P881" s="142">
        <f t="shared" si="204"/>
        <v>0</v>
      </c>
      <c r="Q881" s="142">
        <f t="shared" si="205"/>
        <v>0</v>
      </c>
      <c r="R881" s="142">
        <f t="shared" si="206"/>
        <v>0</v>
      </c>
      <c r="S881" s="142">
        <f t="shared" si="207"/>
        <v>0</v>
      </c>
      <c r="T881" s="142">
        <f t="shared" si="208"/>
        <v>0</v>
      </c>
      <c r="U881" s="60">
        <f t="shared" si="209"/>
        <v>0</v>
      </c>
    </row>
    <row r="882" spans="1:21" x14ac:dyDescent="0.2">
      <c r="A882" s="115"/>
      <c r="B882" s="139" t="s">
        <v>60</v>
      </c>
      <c r="C882" s="140" t="s">
        <v>273</v>
      </c>
      <c r="D882" s="141">
        <v>45215</v>
      </c>
      <c r="E882" s="141">
        <v>45275</v>
      </c>
      <c r="F882" s="57">
        <v>22920</v>
      </c>
      <c r="G882" s="58">
        <f t="shared" si="195"/>
        <v>-747</v>
      </c>
      <c r="H882" s="142">
        <f t="shared" si="196"/>
        <v>22920</v>
      </c>
      <c r="I882" s="142">
        <f t="shared" si="197"/>
        <v>0</v>
      </c>
      <c r="J882" s="143">
        <f t="shared" si="198"/>
        <v>0</v>
      </c>
      <c r="K882" s="143">
        <f t="shared" si="199"/>
        <v>0</v>
      </c>
      <c r="L882" s="142">
        <f t="shared" si="200"/>
        <v>0</v>
      </c>
      <c r="M882" s="142">
        <f t="shared" si="201"/>
        <v>0</v>
      </c>
      <c r="N882" s="142">
        <f t="shared" si="202"/>
        <v>0</v>
      </c>
      <c r="O882" s="59">
        <f t="shared" si="203"/>
        <v>22920</v>
      </c>
      <c r="P882" s="142">
        <f t="shared" si="204"/>
        <v>0</v>
      </c>
      <c r="Q882" s="142">
        <f t="shared" si="205"/>
        <v>0</v>
      </c>
      <c r="R882" s="142">
        <f t="shared" si="206"/>
        <v>0</v>
      </c>
      <c r="S882" s="142">
        <f t="shared" si="207"/>
        <v>0</v>
      </c>
      <c r="T882" s="142">
        <f t="shared" si="208"/>
        <v>0</v>
      </c>
      <c r="U882" s="60">
        <f t="shared" si="209"/>
        <v>0</v>
      </c>
    </row>
    <row r="883" spans="1:21" x14ac:dyDescent="0.2">
      <c r="A883" s="115"/>
      <c r="B883" s="139" t="s">
        <v>60</v>
      </c>
      <c r="C883" s="140" t="s">
        <v>274</v>
      </c>
      <c r="D883" s="141">
        <v>45215</v>
      </c>
      <c r="E883" s="141">
        <v>45275</v>
      </c>
      <c r="F883" s="57">
        <v>9959</v>
      </c>
      <c r="G883" s="58">
        <f t="shared" si="195"/>
        <v>-747</v>
      </c>
      <c r="H883" s="142">
        <f t="shared" si="196"/>
        <v>9959</v>
      </c>
      <c r="I883" s="142">
        <f t="shared" si="197"/>
        <v>0</v>
      </c>
      <c r="J883" s="143">
        <f t="shared" si="198"/>
        <v>0</v>
      </c>
      <c r="K883" s="143">
        <f t="shared" si="199"/>
        <v>0</v>
      </c>
      <c r="L883" s="142">
        <f t="shared" si="200"/>
        <v>0</v>
      </c>
      <c r="M883" s="142">
        <f t="shared" si="201"/>
        <v>0</v>
      </c>
      <c r="N883" s="142">
        <f t="shared" si="202"/>
        <v>0</v>
      </c>
      <c r="O883" s="59">
        <f t="shared" si="203"/>
        <v>9959</v>
      </c>
      <c r="P883" s="142">
        <f t="shared" si="204"/>
        <v>0</v>
      </c>
      <c r="Q883" s="142">
        <f t="shared" si="205"/>
        <v>0</v>
      </c>
      <c r="R883" s="142">
        <f t="shared" si="206"/>
        <v>0</v>
      </c>
      <c r="S883" s="142">
        <f t="shared" si="207"/>
        <v>0</v>
      </c>
      <c r="T883" s="142">
        <f t="shared" si="208"/>
        <v>0</v>
      </c>
      <c r="U883" s="60">
        <f t="shared" si="209"/>
        <v>0</v>
      </c>
    </row>
    <row r="884" spans="1:21" x14ac:dyDescent="0.2">
      <c r="A884" s="115"/>
      <c r="B884" s="139" t="s">
        <v>60</v>
      </c>
      <c r="C884" s="140" t="s">
        <v>275</v>
      </c>
      <c r="D884" s="141">
        <v>45215</v>
      </c>
      <c r="E884" s="141">
        <v>45275</v>
      </c>
      <c r="F884" s="57">
        <v>3140</v>
      </c>
      <c r="G884" s="58">
        <f t="shared" si="195"/>
        <v>-747</v>
      </c>
      <c r="H884" s="142">
        <f t="shared" si="196"/>
        <v>3140</v>
      </c>
      <c r="I884" s="142">
        <f t="shared" si="197"/>
        <v>0</v>
      </c>
      <c r="J884" s="143">
        <f t="shared" si="198"/>
        <v>0</v>
      </c>
      <c r="K884" s="143">
        <f t="shared" si="199"/>
        <v>0</v>
      </c>
      <c r="L884" s="142">
        <f t="shared" si="200"/>
        <v>0</v>
      </c>
      <c r="M884" s="142">
        <f t="shared" si="201"/>
        <v>0</v>
      </c>
      <c r="N884" s="142">
        <f t="shared" si="202"/>
        <v>0</v>
      </c>
      <c r="O884" s="59">
        <f t="shared" si="203"/>
        <v>3140</v>
      </c>
      <c r="P884" s="142">
        <f t="shared" si="204"/>
        <v>0</v>
      </c>
      <c r="Q884" s="142">
        <f t="shared" si="205"/>
        <v>0</v>
      </c>
      <c r="R884" s="142">
        <f t="shared" si="206"/>
        <v>0</v>
      </c>
      <c r="S884" s="142">
        <f t="shared" si="207"/>
        <v>0</v>
      </c>
      <c r="T884" s="142">
        <f t="shared" si="208"/>
        <v>0</v>
      </c>
      <c r="U884" s="60">
        <f t="shared" si="209"/>
        <v>0</v>
      </c>
    </row>
    <row r="885" spans="1:21" x14ac:dyDescent="0.2">
      <c r="A885" s="115"/>
      <c r="B885" s="139" t="s">
        <v>60</v>
      </c>
      <c r="C885" s="140" t="s">
        <v>276</v>
      </c>
      <c r="D885" s="141">
        <v>45216</v>
      </c>
      <c r="E885" s="141">
        <v>45276</v>
      </c>
      <c r="F885" s="57">
        <v>35260</v>
      </c>
      <c r="G885" s="58">
        <f t="shared" si="195"/>
        <v>-746</v>
      </c>
      <c r="H885" s="142">
        <f t="shared" si="196"/>
        <v>35260</v>
      </c>
      <c r="I885" s="142">
        <f t="shared" si="197"/>
        <v>0</v>
      </c>
      <c r="J885" s="143">
        <f t="shared" si="198"/>
        <v>0</v>
      </c>
      <c r="K885" s="143">
        <f t="shared" si="199"/>
        <v>0</v>
      </c>
      <c r="L885" s="142">
        <f t="shared" si="200"/>
        <v>0</v>
      </c>
      <c r="M885" s="142">
        <f t="shared" si="201"/>
        <v>0</v>
      </c>
      <c r="N885" s="142">
        <f t="shared" si="202"/>
        <v>0</v>
      </c>
      <c r="O885" s="59">
        <f t="shared" si="203"/>
        <v>35260</v>
      </c>
      <c r="P885" s="142">
        <f t="shared" si="204"/>
        <v>0</v>
      </c>
      <c r="Q885" s="142">
        <f t="shared" si="205"/>
        <v>0</v>
      </c>
      <c r="R885" s="142">
        <f t="shared" si="206"/>
        <v>0</v>
      </c>
      <c r="S885" s="142">
        <f t="shared" si="207"/>
        <v>0</v>
      </c>
      <c r="T885" s="142">
        <f t="shared" si="208"/>
        <v>0</v>
      </c>
      <c r="U885" s="60">
        <f t="shared" si="209"/>
        <v>0</v>
      </c>
    </row>
    <row r="886" spans="1:21" x14ac:dyDescent="0.2">
      <c r="A886" s="115"/>
      <c r="B886" s="139" t="s">
        <v>60</v>
      </c>
      <c r="C886" s="140" t="s">
        <v>277</v>
      </c>
      <c r="D886" s="141">
        <v>45229</v>
      </c>
      <c r="E886" s="141">
        <v>45289</v>
      </c>
      <c r="F886" s="57">
        <v>24050</v>
      </c>
      <c r="G886" s="58">
        <f t="shared" si="195"/>
        <v>-733</v>
      </c>
      <c r="H886" s="142">
        <f t="shared" si="196"/>
        <v>24050</v>
      </c>
      <c r="I886" s="142">
        <f t="shared" si="197"/>
        <v>0</v>
      </c>
      <c r="J886" s="143">
        <f t="shared" si="198"/>
        <v>0</v>
      </c>
      <c r="K886" s="143">
        <f t="shared" si="199"/>
        <v>0</v>
      </c>
      <c r="L886" s="142">
        <f t="shared" si="200"/>
        <v>0</v>
      </c>
      <c r="M886" s="142">
        <f t="shared" si="201"/>
        <v>0</v>
      </c>
      <c r="N886" s="142">
        <f t="shared" si="202"/>
        <v>0</v>
      </c>
      <c r="O886" s="59">
        <f t="shared" si="203"/>
        <v>24050</v>
      </c>
      <c r="P886" s="142">
        <f t="shared" si="204"/>
        <v>0</v>
      </c>
      <c r="Q886" s="142">
        <f t="shared" si="205"/>
        <v>0</v>
      </c>
      <c r="R886" s="142">
        <f t="shared" si="206"/>
        <v>0</v>
      </c>
      <c r="S886" s="142">
        <f t="shared" si="207"/>
        <v>0</v>
      </c>
      <c r="T886" s="142">
        <f t="shared" si="208"/>
        <v>0</v>
      </c>
      <c r="U886" s="60">
        <f t="shared" si="209"/>
        <v>0</v>
      </c>
    </row>
    <row r="887" spans="1:21" x14ac:dyDescent="0.2">
      <c r="A887" s="115"/>
      <c r="B887" s="139" t="s">
        <v>60</v>
      </c>
      <c r="C887" s="140" t="s">
        <v>278</v>
      </c>
      <c r="D887" s="141">
        <v>45356</v>
      </c>
      <c r="E887" s="141">
        <v>45416</v>
      </c>
      <c r="F887" s="57">
        <v>8164</v>
      </c>
      <c r="G887" s="58">
        <f t="shared" si="195"/>
        <v>-606</v>
      </c>
      <c r="H887" s="142">
        <f t="shared" si="196"/>
        <v>8164</v>
      </c>
      <c r="I887" s="142">
        <f t="shared" si="197"/>
        <v>0</v>
      </c>
      <c r="J887" s="143">
        <f t="shared" si="198"/>
        <v>0</v>
      </c>
      <c r="K887" s="143">
        <f t="shared" si="199"/>
        <v>0</v>
      </c>
      <c r="L887" s="142">
        <f t="shared" si="200"/>
        <v>0</v>
      </c>
      <c r="M887" s="142">
        <f t="shared" si="201"/>
        <v>0</v>
      </c>
      <c r="N887" s="142">
        <f t="shared" si="202"/>
        <v>0</v>
      </c>
      <c r="O887" s="59">
        <f t="shared" si="203"/>
        <v>8164</v>
      </c>
      <c r="P887" s="142">
        <f t="shared" si="204"/>
        <v>0</v>
      </c>
      <c r="Q887" s="142">
        <f t="shared" si="205"/>
        <v>0</v>
      </c>
      <c r="R887" s="142">
        <f t="shared" si="206"/>
        <v>0</v>
      </c>
      <c r="S887" s="142">
        <f t="shared" si="207"/>
        <v>0</v>
      </c>
      <c r="T887" s="142">
        <f t="shared" si="208"/>
        <v>0</v>
      </c>
      <c r="U887" s="60">
        <f t="shared" si="209"/>
        <v>0</v>
      </c>
    </row>
    <row r="888" spans="1:21" x14ac:dyDescent="0.2">
      <c r="A888" s="115"/>
      <c r="B888" s="139" t="s">
        <v>60</v>
      </c>
      <c r="C888" s="140" t="s">
        <v>279</v>
      </c>
      <c r="D888" s="141">
        <v>45356</v>
      </c>
      <c r="E888" s="141">
        <v>45416</v>
      </c>
      <c r="F888" s="57">
        <v>27250</v>
      </c>
      <c r="G888" s="58">
        <f t="shared" si="195"/>
        <v>-606</v>
      </c>
      <c r="H888" s="142">
        <f t="shared" si="196"/>
        <v>27250</v>
      </c>
      <c r="I888" s="142">
        <f t="shared" si="197"/>
        <v>0</v>
      </c>
      <c r="J888" s="143">
        <f t="shared" si="198"/>
        <v>0</v>
      </c>
      <c r="K888" s="143">
        <f t="shared" si="199"/>
        <v>0</v>
      </c>
      <c r="L888" s="142">
        <f t="shared" si="200"/>
        <v>0</v>
      </c>
      <c r="M888" s="142">
        <f t="shared" si="201"/>
        <v>0</v>
      </c>
      <c r="N888" s="142">
        <f t="shared" si="202"/>
        <v>0</v>
      </c>
      <c r="O888" s="59">
        <f t="shared" si="203"/>
        <v>27250</v>
      </c>
      <c r="P888" s="142">
        <f t="shared" si="204"/>
        <v>0</v>
      </c>
      <c r="Q888" s="142">
        <f t="shared" si="205"/>
        <v>0</v>
      </c>
      <c r="R888" s="142">
        <f t="shared" si="206"/>
        <v>0</v>
      </c>
      <c r="S888" s="142">
        <f t="shared" si="207"/>
        <v>0</v>
      </c>
      <c r="T888" s="142">
        <f t="shared" si="208"/>
        <v>0</v>
      </c>
      <c r="U888" s="60">
        <f t="shared" si="209"/>
        <v>0</v>
      </c>
    </row>
    <row r="889" spans="1:21" x14ac:dyDescent="0.2">
      <c r="A889" s="115"/>
      <c r="B889" s="139" t="s">
        <v>60</v>
      </c>
      <c r="C889" s="140" t="s">
        <v>280</v>
      </c>
      <c r="D889" s="141">
        <v>45356</v>
      </c>
      <c r="E889" s="141">
        <v>45416</v>
      </c>
      <c r="F889" s="57">
        <v>27250</v>
      </c>
      <c r="G889" s="58">
        <f t="shared" si="195"/>
        <v>-606</v>
      </c>
      <c r="H889" s="142">
        <f t="shared" si="196"/>
        <v>27250</v>
      </c>
      <c r="I889" s="142">
        <f t="shared" si="197"/>
        <v>0</v>
      </c>
      <c r="J889" s="143">
        <f t="shared" si="198"/>
        <v>0</v>
      </c>
      <c r="K889" s="143">
        <f t="shared" si="199"/>
        <v>0</v>
      </c>
      <c r="L889" s="142">
        <f t="shared" si="200"/>
        <v>0</v>
      </c>
      <c r="M889" s="142">
        <f t="shared" si="201"/>
        <v>0</v>
      </c>
      <c r="N889" s="142">
        <f t="shared" si="202"/>
        <v>0</v>
      </c>
      <c r="O889" s="59">
        <f t="shared" si="203"/>
        <v>27250</v>
      </c>
      <c r="P889" s="142">
        <f t="shared" si="204"/>
        <v>0</v>
      </c>
      <c r="Q889" s="142">
        <f t="shared" si="205"/>
        <v>0</v>
      </c>
      <c r="R889" s="142">
        <f t="shared" si="206"/>
        <v>0</v>
      </c>
      <c r="S889" s="142">
        <f t="shared" si="207"/>
        <v>0</v>
      </c>
      <c r="T889" s="142">
        <f t="shared" si="208"/>
        <v>0</v>
      </c>
      <c r="U889" s="60">
        <f t="shared" si="209"/>
        <v>0</v>
      </c>
    </row>
    <row r="890" spans="1:21" x14ac:dyDescent="0.2">
      <c r="A890" s="115"/>
      <c r="B890" s="139" t="s">
        <v>60</v>
      </c>
      <c r="C890" s="140" t="s">
        <v>281</v>
      </c>
      <c r="D890" s="141">
        <v>45356</v>
      </c>
      <c r="E890" s="141">
        <v>45416</v>
      </c>
      <c r="F890" s="57">
        <v>27250</v>
      </c>
      <c r="G890" s="58">
        <f t="shared" si="195"/>
        <v>-606</v>
      </c>
      <c r="H890" s="142">
        <f t="shared" si="196"/>
        <v>27250</v>
      </c>
      <c r="I890" s="142">
        <f t="shared" si="197"/>
        <v>0</v>
      </c>
      <c r="J890" s="143">
        <f t="shared" si="198"/>
        <v>0</v>
      </c>
      <c r="K890" s="143">
        <f t="shared" si="199"/>
        <v>0</v>
      </c>
      <c r="L890" s="142">
        <f t="shared" si="200"/>
        <v>0</v>
      </c>
      <c r="M890" s="142">
        <f t="shared" si="201"/>
        <v>0</v>
      </c>
      <c r="N890" s="142">
        <f t="shared" si="202"/>
        <v>0</v>
      </c>
      <c r="O890" s="59">
        <f t="shared" si="203"/>
        <v>27250</v>
      </c>
      <c r="P890" s="142">
        <f t="shared" si="204"/>
        <v>0</v>
      </c>
      <c r="Q890" s="142">
        <f t="shared" si="205"/>
        <v>0</v>
      </c>
      <c r="R890" s="142">
        <f t="shared" si="206"/>
        <v>0</v>
      </c>
      <c r="S890" s="142">
        <f t="shared" si="207"/>
        <v>0</v>
      </c>
      <c r="T890" s="142">
        <f t="shared" si="208"/>
        <v>0</v>
      </c>
      <c r="U890" s="60">
        <f t="shared" si="209"/>
        <v>0</v>
      </c>
    </row>
    <row r="891" spans="1:21" x14ac:dyDescent="0.2">
      <c r="A891" s="115"/>
      <c r="B891" s="139" t="s">
        <v>66</v>
      </c>
      <c r="C891" s="140" t="s">
        <v>909</v>
      </c>
      <c r="D891" s="141">
        <v>45986</v>
      </c>
      <c r="E891" s="141">
        <v>46076</v>
      </c>
      <c r="F891" s="57">
        <v>60770</v>
      </c>
      <c r="G891" s="58">
        <f t="shared" si="195"/>
        <v>54</v>
      </c>
      <c r="H891" s="142">
        <f t="shared" si="196"/>
        <v>0</v>
      </c>
      <c r="I891" s="142">
        <f t="shared" si="197"/>
        <v>0</v>
      </c>
      <c r="J891" s="143">
        <f t="shared" si="198"/>
        <v>0</v>
      </c>
      <c r="K891" s="143">
        <f t="shared" si="199"/>
        <v>0</v>
      </c>
      <c r="L891" s="142">
        <f t="shared" si="200"/>
        <v>0</v>
      </c>
      <c r="M891" s="142">
        <f t="shared" si="201"/>
        <v>0</v>
      </c>
      <c r="N891" s="142">
        <f t="shared" si="202"/>
        <v>0</v>
      </c>
      <c r="O891" s="59">
        <f t="shared" si="203"/>
        <v>0</v>
      </c>
      <c r="P891" s="142">
        <f t="shared" si="204"/>
        <v>0</v>
      </c>
      <c r="Q891" s="142">
        <f t="shared" si="205"/>
        <v>60770</v>
      </c>
      <c r="R891" s="142">
        <f t="shared" si="206"/>
        <v>0</v>
      </c>
      <c r="S891" s="142">
        <f t="shared" si="207"/>
        <v>0</v>
      </c>
      <c r="T891" s="142">
        <f t="shared" si="208"/>
        <v>0</v>
      </c>
      <c r="U891" s="60">
        <f t="shared" si="209"/>
        <v>60770</v>
      </c>
    </row>
    <row r="892" spans="1:21" x14ac:dyDescent="0.2">
      <c r="A892" s="115"/>
      <c r="B892" s="139" t="s">
        <v>66</v>
      </c>
      <c r="C892" s="140" t="s">
        <v>992</v>
      </c>
      <c r="D892" s="141">
        <v>46001</v>
      </c>
      <c r="E892" s="141">
        <v>46091</v>
      </c>
      <c r="F892" s="57">
        <v>29070</v>
      </c>
      <c r="G892" s="58">
        <f t="shared" si="195"/>
        <v>69</v>
      </c>
      <c r="H892" s="142">
        <f t="shared" si="196"/>
        <v>0</v>
      </c>
      <c r="I892" s="142">
        <f t="shared" si="197"/>
        <v>0</v>
      </c>
      <c r="J892" s="143">
        <f t="shared" si="198"/>
        <v>0</v>
      </c>
      <c r="K892" s="143">
        <f t="shared" si="199"/>
        <v>0</v>
      </c>
      <c r="L892" s="142">
        <f t="shared" si="200"/>
        <v>0</v>
      </c>
      <c r="M892" s="142">
        <f t="shared" si="201"/>
        <v>0</v>
      </c>
      <c r="N892" s="142">
        <f t="shared" si="202"/>
        <v>0</v>
      </c>
      <c r="O892" s="59">
        <f t="shared" si="203"/>
        <v>0</v>
      </c>
      <c r="P892" s="142">
        <f t="shared" si="204"/>
        <v>0</v>
      </c>
      <c r="Q892" s="142">
        <f t="shared" si="205"/>
        <v>0</v>
      </c>
      <c r="R892" s="142">
        <f t="shared" si="206"/>
        <v>29070</v>
      </c>
      <c r="S892" s="142">
        <f t="shared" si="207"/>
        <v>0</v>
      </c>
      <c r="T892" s="142">
        <f t="shared" si="208"/>
        <v>0</v>
      </c>
      <c r="U892" s="60">
        <f t="shared" si="209"/>
        <v>29070</v>
      </c>
    </row>
    <row r="893" spans="1:21" x14ac:dyDescent="0.2">
      <c r="A893" s="115"/>
      <c r="B893" s="139" t="s">
        <v>66</v>
      </c>
      <c r="C893" s="140" t="s">
        <v>993</v>
      </c>
      <c r="D893" s="141">
        <v>46001</v>
      </c>
      <c r="E893" s="141">
        <v>46091</v>
      </c>
      <c r="F893" s="57">
        <v>300</v>
      </c>
      <c r="G893" s="58">
        <f t="shared" si="195"/>
        <v>69</v>
      </c>
      <c r="H893" s="142">
        <f t="shared" si="196"/>
        <v>0</v>
      </c>
      <c r="I893" s="142">
        <f t="shared" si="197"/>
        <v>0</v>
      </c>
      <c r="J893" s="143">
        <f t="shared" si="198"/>
        <v>0</v>
      </c>
      <c r="K893" s="143">
        <f t="shared" si="199"/>
        <v>0</v>
      </c>
      <c r="L893" s="142">
        <f t="shared" si="200"/>
        <v>0</v>
      </c>
      <c r="M893" s="142">
        <f t="shared" si="201"/>
        <v>0</v>
      </c>
      <c r="N893" s="142">
        <f t="shared" si="202"/>
        <v>0</v>
      </c>
      <c r="O893" s="59">
        <f t="shared" si="203"/>
        <v>0</v>
      </c>
      <c r="P893" s="142">
        <f t="shared" si="204"/>
        <v>0</v>
      </c>
      <c r="Q893" s="142">
        <f t="shared" si="205"/>
        <v>0</v>
      </c>
      <c r="R893" s="142">
        <f t="shared" si="206"/>
        <v>300</v>
      </c>
      <c r="S893" s="142">
        <f t="shared" si="207"/>
        <v>0</v>
      </c>
      <c r="T893" s="142">
        <f t="shared" si="208"/>
        <v>0</v>
      </c>
      <c r="U893" s="60">
        <f t="shared" si="209"/>
        <v>300</v>
      </c>
    </row>
    <row r="894" spans="1:21" x14ac:dyDescent="0.2">
      <c r="A894" s="115"/>
      <c r="B894" s="139" t="s">
        <v>66</v>
      </c>
      <c r="C894" s="140" t="s">
        <v>994</v>
      </c>
      <c r="D894" s="141">
        <v>46020</v>
      </c>
      <c r="E894" s="141">
        <v>46110</v>
      </c>
      <c r="F894" s="57">
        <v>28675</v>
      </c>
      <c r="G894" s="58">
        <f t="shared" si="195"/>
        <v>88</v>
      </c>
      <c r="H894" s="142">
        <f t="shared" si="196"/>
        <v>0</v>
      </c>
      <c r="I894" s="142">
        <f t="shared" si="197"/>
        <v>0</v>
      </c>
      <c r="J894" s="143">
        <f t="shared" si="198"/>
        <v>0</v>
      </c>
      <c r="K894" s="143">
        <f t="shared" si="199"/>
        <v>0</v>
      </c>
      <c r="L894" s="142">
        <f t="shared" si="200"/>
        <v>0</v>
      </c>
      <c r="M894" s="142">
        <f t="shared" si="201"/>
        <v>0</v>
      </c>
      <c r="N894" s="142">
        <f t="shared" si="202"/>
        <v>0</v>
      </c>
      <c r="O894" s="59">
        <f t="shared" si="203"/>
        <v>0</v>
      </c>
      <c r="P894" s="142">
        <f t="shared" si="204"/>
        <v>0</v>
      </c>
      <c r="Q894" s="142">
        <f t="shared" si="205"/>
        <v>0</v>
      </c>
      <c r="R894" s="142">
        <f t="shared" si="206"/>
        <v>28675</v>
      </c>
      <c r="S894" s="142">
        <f t="shared" si="207"/>
        <v>0</v>
      </c>
      <c r="T894" s="142">
        <f t="shared" si="208"/>
        <v>0</v>
      </c>
      <c r="U894" s="60">
        <f t="shared" si="209"/>
        <v>28675</v>
      </c>
    </row>
    <row r="895" spans="1:21" x14ac:dyDescent="0.2">
      <c r="A895" s="115"/>
      <c r="B895" s="139" t="s">
        <v>66</v>
      </c>
      <c r="C895" s="140" t="s">
        <v>995</v>
      </c>
      <c r="D895" s="141">
        <v>46020</v>
      </c>
      <c r="E895" s="141">
        <v>46110</v>
      </c>
      <c r="F895" s="57">
        <v>250</v>
      </c>
      <c r="G895" s="58">
        <f t="shared" si="195"/>
        <v>88</v>
      </c>
      <c r="H895" s="142">
        <f t="shared" si="196"/>
        <v>0</v>
      </c>
      <c r="I895" s="142">
        <f t="shared" si="197"/>
        <v>0</v>
      </c>
      <c r="J895" s="143">
        <f t="shared" si="198"/>
        <v>0</v>
      </c>
      <c r="K895" s="143">
        <f t="shared" si="199"/>
        <v>0</v>
      </c>
      <c r="L895" s="142">
        <f t="shared" si="200"/>
        <v>0</v>
      </c>
      <c r="M895" s="142">
        <f t="shared" si="201"/>
        <v>0</v>
      </c>
      <c r="N895" s="142">
        <f t="shared" si="202"/>
        <v>0</v>
      </c>
      <c r="O895" s="59">
        <f t="shared" si="203"/>
        <v>0</v>
      </c>
      <c r="P895" s="142">
        <f t="shared" si="204"/>
        <v>0</v>
      </c>
      <c r="Q895" s="142">
        <f t="shared" si="205"/>
        <v>0</v>
      </c>
      <c r="R895" s="142">
        <f t="shared" si="206"/>
        <v>250</v>
      </c>
      <c r="S895" s="142">
        <f t="shared" si="207"/>
        <v>0</v>
      </c>
      <c r="T895" s="142">
        <f t="shared" si="208"/>
        <v>0</v>
      </c>
      <c r="U895" s="60">
        <f t="shared" si="209"/>
        <v>250</v>
      </c>
    </row>
    <row r="896" spans="1:21" x14ac:dyDescent="0.2">
      <c r="A896" s="115"/>
      <c r="B896" s="139" t="s">
        <v>304</v>
      </c>
      <c r="C896" s="140" t="s">
        <v>581</v>
      </c>
      <c r="D896" s="141">
        <v>45873</v>
      </c>
      <c r="E896" s="141">
        <v>45993</v>
      </c>
      <c r="F896" s="57">
        <v>115314.53</v>
      </c>
      <c r="G896" s="58">
        <f t="shared" si="195"/>
        <v>-29</v>
      </c>
      <c r="H896" s="142">
        <f t="shared" si="196"/>
        <v>0</v>
      </c>
      <c r="I896" s="142">
        <f t="shared" si="197"/>
        <v>0</v>
      </c>
      <c r="J896" s="143">
        <f t="shared" si="198"/>
        <v>0</v>
      </c>
      <c r="K896" s="143">
        <f t="shared" si="199"/>
        <v>0</v>
      </c>
      <c r="L896" s="142">
        <f t="shared" si="200"/>
        <v>0</v>
      </c>
      <c r="M896" s="142">
        <f t="shared" si="201"/>
        <v>0</v>
      </c>
      <c r="N896" s="145">
        <f t="shared" si="202"/>
        <v>115314.53</v>
      </c>
      <c r="O896" s="59">
        <f t="shared" si="203"/>
        <v>115314.53</v>
      </c>
      <c r="P896" s="142">
        <f t="shared" si="204"/>
        <v>0</v>
      </c>
      <c r="Q896" s="142">
        <f t="shared" si="205"/>
        <v>0</v>
      </c>
      <c r="R896" s="142">
        <f t="shared" si="206"/>
        <v>0</v>
      </c>
      <c r="S896" s="142">
        <f t="shared" si="207"/>
        <v>0</v>
      </c>
      <c r="T896" s="142">
        <f t="shared" si="208"/>
        <v>0</v>
      </c>
      <c r="U896" s="60">
        <f t="shared" si="209"/>
        <v>0</v>
      </c>
    </row>
    <row r="897" spans="1:21" x14ac:dyDescent="0.2">
      <c r="A897" s="115"/>
      <c r="B897" s="139" t="s">
        <v>304</v>
      </c>
      <c r="C897" s="140" t="s">
        <v>582</v>
      </c>
      <c r="D897" s="141">
        <v>45875</v>
      </c>
      <c r="E897" s="141">
        <v>45995</v>
      </c>
      <c r="F897" s="57">
        <v>113314.53</v>
      </c>
      <c r="G897" s="58">
        <f t="shared" si="195"/>
        <v>-27</v>
      </c>
      <c r="H897" s="142">
        <f t="shared" si="196"/>
        <v>0</v>
      </c>
      <c r="I897" s="142">
        <f t="shared" si="197"/>
        <v>0</v>
      </c>
      <c r="J897" s="143">
        <f t="shared" si="198"/>
        <v>0</v>
      </c>
      <c r="K897" s="143">
        <f t="shared" si="199"/>
        <v>0</v>
      </c>
      <c r="L897" s="142">
        <f t="shared" si="200"/>
        <v>0</v>
      </c>
      <c r="M897" s="142">
        <f t="shared" si="201"/>
        <v>0</v>
      </c>
      <c r="N897" s="145">
        <f t="shared" si="202"/>
        <v>113314.53</v>
      </c>
      <c r="O897" s="59">
        <f t="shared" si="203"/>
        <v>113314.53</v>
      </c>
      <c r="P897" s="142">
        <f t="shared" si="204"/>
        <v>0</v>
      </c>
      <c r="Q897" s="142">
        <f t="shared" si="205"/>
        <v>0</v>
      </c>
      <c r="R897" s="142">
        <f t="shared" si="206"/>
        <v>0</v>
      </c>
      <c r="S897" s="142">
        <f t="shared" si="207"/>
        <v>0</v>
      </c>
      <c r="T897" s="142">
        <f t="shared" si="208"/>
        <v>0</v>
      </c>
      <c r="U897" s="60">
        <f t="shared" si="209"/>
        <v>0</v>
      </c>
    </row>
    <row r="898" spans="1:21" x14ac:dyDescent="0.2">
      <c r="A898" s="115"/>
      <c r="B898" s="139" t="s">
        <v>304</v>
      </c>
      <c r="C898" s="140" t="s">
        <v>583</v>
      </c>
      <c r="D898" s="141">
        <v>45875</v>
      </c>
      <c r="E898" s="141">
        <v>45995</v>
      </c>
      <c r="F898" s="57">
        <v>113874.03</v>
      </c>
      <c r="G898" s="58">
        <f t="shared" si="195"/>
        <v>-27</v>
      </c>
      <c r="H898" s="142">
        <f t="shared" si="196"/>
        <v>0</v>
      </c>
      <c r="I898" s="142">
        <f t="shared" si="197"/>
        <v>0</v>
      </c>
      <c r="J898" s="143">
        <f t="shared" si="198"/>
        <v>0</v>
      </c>
      <c r="K898" s="143">
        <f t="shared" si="199"/>
        <v>0</v>
      </c>
      <c r="L898" s="142">
        <f t="shared" si="200"/>
        <v>0</v>
      </c>
      <c r="M898" s="142">
        <f t="shared" si="201"/>
        <v>0</v>
      </c>
      <c r="N898" s="145">
        <f t="shared" si="202"/>
        <v>113874.03</v>
      </c>
      <c r="O898" s="59">
        <f t="shared" si="203"/>
        <v>113874.03</v>
      </c>
      <c r="P898" s="142">
        <f t="shared" si="204"/>
        <v>0</v>
      </c>
      <c r="Q898" s="142">
        <f t="shared" si="205"/>
        <v>0</v>
      </c>
      <c r="R898" s="142">
        <f t="shared" si="206"/>
        <v>0</v>
      </c>
      <c r="S898" s="142">
        <f t="shared" si="207"/>
        <v>0</v>
      </c>
      <c r="T898" s="142">
        <f t="shared" si="208"/>
        <v>0</v>
      </c>
      <c r="U898" s="60">
        <f t="shared" si="209"/>
        <v>0</v>
      </c>
    </row>
    <row r="899" spans="1:21" x14ac:dyDescent="0.2">
      <c r="A899" s="115"/>
      <c r="B899" s="139" t="s">
        <v>304</v>
      </c>
      <c r="C899" s="140" t="s">
        <v>584</v>
      </c>
      <c r="D899" s="141">
        <v>45875</v>
      </c>
      <c r="E899" s="141">
        <v>45995</v>
      </c>
      <c r="F899" s="57">
        <v>107858.53</v>
      </c>
      <c r="G899" s="58">
        <f t="shared" si="195"/>
        <v>-27</v>
      </c>
      <c r="H899" s="142">
        <f t="shared" si="196"/>
        <v>0</v>
      </c>
      <c r="I899" s="142">
        <f t="shared" si="197"/>
        <v>0</v>
      </c>
      <c r="J899" s="143">
        <f t="shared" si="198"/>
        <v>0</v>
      </c>
      <c r="K899" s="143">
        <f t="shared" si="199"/>
        <v>0</v>
      </c>
      <c r="L899" s="142">
        <f t="shared" si="200"/>
        <v>0</v>
      </c>
      <c r="M899" s="142">
        <f t="shared" si="201"/>
        <v>0</v>
      </c>
      <c r="N899" s="145">
        <f t="shared" si="202"/>
        <v>107858.53</v>
      </c>
      <c r="O899" s="59">
        <f t="shared" si="203"/>
        <v>107858.53</v>
      </c>
      <c r="P899" s="142">
        <f t="shared" si="204"/>
        <v>0</v>
      </c>
      <c r="Q899" s="142">
        <f t="shared" si="205"/>
        <v>0</v>
      </c>
      <c r="R899" s="142">
        <f t="shared" si="206"/>
        <v>0</v>
      </c>
      <c r="S899" s="142">
        <f t="shared" si="207"/>
        <v>0</v>
      </c>
      <c r="T899" s="142">
        <f t="shared" si="208"/>
        <v>0</v>
      </c>
      <c r="U899" s="60">
        <f t="shared" si="209"/>
        <v>0</v>
      </c>
    </row>
    <row r="900" spans="1:21" x14ac:dyDescent="0.2">
      <c r="A900" s="115"/>
      <c r="B900" s="139" t="s">
        <v>304</v>
      </c>
      <c r="C900" s="140" t="s">
        <v>576</v>
      </c>
      <c r="D900" s="141">
        <v>45889</v>
      </c>
      <c r="E900" s="141">
        <v>46009</v>
      </c>
      <c r="F900" s="57">
        <v>3100</v>
      </c>
      <c r="G900" s="58">
        <f t="shared" si="195"/>
        <v>-13</v>
      </c>
      <c r="H900" s="142">
        <f t="shared" si="196"/>
        <v>0</v>
      </c>
      <c r="I900" s="142">
        <f t="shared" si="197"/>
        <v>0</v>
      </c>
      <c r="J900" s="143">
        <f t="shared" si="198"/>
        <v>0</v>
      </c>
      <c r="K900" s="143">
        <f t="shared" si="199"/>
        <v>0</v>
      </c>
      <c r="L900" s="142">
        <f t="shared" si="200"/>
        <v>0</v>
      </c>
      <c r="M900" s="142">
        <f t="shared" si="201"/>
        <v>0</v>
      </c>
      <c r="N900" s="142">
        <f t="shared" si="202"/>
        <v>3100</v>
      </c>
      <c r="O900" s="59">
        <f t="shared" si="203"/>
        <v>3100</v>
      </c>
      <c r="P900" s="142">
        <f t="shared" si="204"/>
        <v>0</v>
      </c>
      <c r="Q900" s="142">
        <f t="shared" si="205"/>
        <v>0</v>
      </c>
      <c r="R900" s="142">
        <f t="shared" si="206"/>
        <v>0</v>
      </c>
      <c r="S900" s="142">
        <f t="shared" si="207"/>
        <v>0</v>
      </c>
      <c r="T900" s="142">
        <f t="shared" si="208"/>
        <v>0</v>
      </c>
      <c r="U900" s="60">
        <f t="shared" si="209"/>
        <v>0</v>
      </c>
    </row>
    <row r="901" spans="1:21" x14ac:dyDescent="0.2">
      <c r="A901" s="115"/>
      <c r="B901" s="139" t="s">
        <v>304</v>
      </c>
      <c r="C901" s="140" t="s">
        <v>578</v>
      </c>
      <c r="D901" s="141">
        <v>45889</v>
      </c>
      <c r="E901" s="141">
        <v>46009</v>
      </c>
      <c r="F901" s="57">
        <v>41446.050000000003</v>
      </c>
      <c r="G901" s="58">
        <f t="shared" si="195"/>
        <v>-13</v>
      </c>
      <c r="H901" s="142">
        <f t="shared" si="196"/>
        <v>0</v>
      </c>
      <c r="I901" s="142">
        <f t="shared" si="197"/>
        <v>0</v>
      </c>
      <c r="J901" s="143">
        <f t="shared" si="198"/>
        <v>0</v>
      </c>
      <c r="K901" s="143">
        <f t="shared" si="199"/>
        <v>0</v>
      </c>
      <c r="L901" s="142">
        <f t="shared" si="200"/>
        <v>0</v>
      </c>
      <c r="M901" s="142">
        <f t="shared" si="201"/>
        <v>0</v>
      </c>
      <c r="N901" s="142">
        <f t="shared" si="202"/>
        <v>41446.050000000003</v>
      </c>
      <c r="O901" s="59">
        <f t="shared" si="203"/>
        <v>41446.050000000003</v>
      </c>
      <c r="P901" s="142">
        <f t="shared" si="204"/>
        <v>0</v>
      </c>
      <c r="Q901" s="142">
        <f t="shared" si="205"/>
        <v>0</v>
      </c>
      <c r="R901" s="142">
        <f t="shared" si="206"/>
        <v>0</v>
      </c>
      <c r="S901" s="142">
        <f t="shared" si="207"/>
        <v>0</v>
      </c>
      <c r="T901" s="142">
        <f t="shared" si="208"/>
        <v>0</v>
      </c>
      <c r="U901" s="60">
        <f t="shared" si="209"/>
        <v>0</v>
      </c>
    </row>
    <row r="902" spans="1:21" x14ac:dyDescent="0.2">
      <c r="A902" s="115"/>
      <c r="B902" s="139" t="s">
        <v>304</v>
      </c>
      <c r="C902" s="140" t="s">
        <v>579</v>
      </c>
      <c r="D902" s="141">
        <v>45889</v>
      </c>
      <c r="E902" s="141">
        <v>46009</v>
      </c>
      <c r="F902" s="57">
        <v>31267</v>
      </c>
      <c r="G902" s="58">
        <f t="shared" si="195"/>
        <v>-13</v>
      </c>
      <c r="H902" s="142">
        <f t="shared" si="196"/>
        <v>0</v>
      </c>
      <c r="I902" s="142">
        <f t="shared" si="197"/>
        <v>0</v>
      </c>
      <c r="J902" s="143">
        <f t="shared" si="198"/>
        <v>0</v>
      </c>
      <c r="K902" s="143">
        <f t="shared" si="199"/>
        <v>0</v>
      </c>
      <c r="L902" s="142">
        <f t="shared" si="200"/>
        <v>0</v>
      </c>
      <c r="M902" s="142">
        <f t="shared" si="201"/>
        <v>0</v>
      </c>
      <c r="N902" s="142">
        <f t="shared" si="202"/>
        <v>31267</v>
      </c>
      <c r="O902" s="59">
        <f t="shared" si="203"/>
        <v>31267</v>
      </c>
      <c r="P902" s="142">
        <f t="shared" si="204"/>
        <v>0</v>
      </c>
      <c r="Q902" s="142">
        <f t="shared" si="205"/>
        <v>0</v>
      </c>
      <c r="R902" s="142">
        <f t="shared" si="206"/>
        <v>0</v>
      </c>
      <c r="S902" s="142">
        <f t="shared" si="207"/>
        <v>0</v>
      </c>
      <c r="T902" s="142">
        <f t="shared" si="208"/>
        <v>0</v>
      </c>
      <c r="U902" s="60">
        <f t="shared" si="209"/>
        <v>0</v>
      </c>
    </row>
    <row r="903" spans="1:21" x14ac:dyDescent="0.2">
      <c r="A903" s="115"/>
      <c r="B903" s="139" t="s">
        <v>304</v>
      </c>
      <c r="C903" s="140" t="s">
        <v>580</v>
      </c>
      <c r="D903" s="141">
        <v>45889</v>
      </c>
      <c r="E903" s="141">
        <v>46009</v>
      </c>
      <c r="F903" s="57">
        <v>43988</v>
      </c>
      <c r="G903" s="58">
        <f t="shared" ref="G903:G966" si="210">E903-$H$3</f>
        <v>-13</v>
      </c>
      <c r="H903" s="142">
        <f t="shared" ref="H903:H966" si="211">IF(AND($G903&gt;=-8000,$G903&lt;=-181),$F903,0)</f>
        <v>0</v>
      </c>
      <c r="I903" s="142">
        <f t="shared" ref="I903:I966" si="212">IF(AND($G903&gt;=-180,$G903&lt;=-151),$F903,0)</f>
        <v>0</v>
      </c>
      <c r="J903" s="143">
        <f t="shared" ref="J903:J966" si="213">IF(AND($G903&gt;=-150,$G903&lt;=-121),$F903,0)</f>
        <v>0</v>
      </c>
      <c r="K903" s="143">
        <f t="shared" ref="K903:K966" si="214">IF(AND($G903&gt;=-120,$G903&lt;=-91),$F903,0)</f>
        <v>0</v>
      </c>
      <c r="L903" s="142">
        <f t="shared" ref="L903:L966" si="215">IF(AND($G903&gt;=-90,$G903&lt;=-61),$F903,0)</f>
        <v>0</v>
      </c>
      <c r="M903" s="142">
        <f t="shared" ref="M903:M966" si="216">IF(AND($G903&gt;=-60,$G903&lt;=-31),$F903,0)</f>
        <v>0</v>
      </c>
      <c r="N903" s="142">
        <f t="shared" ref="N903:N966" si="217">IF(AND($G903&gt;=-30,$G903&lt;=-1),$F903,0)</f>
        <v>43988</v>
      </c>
      <c r="O903" s="59">
        <f t="shared" ref="O903:O966" si="218">SUM(H903:N903)</f>
        <v>43988</v>
      </c>
      <c r="P903" s="142">
        <f t="shared" ref="P903:P966" si="219">IF(AND($G903&lt;=30,$G903&gt;=0),$F903,0)</f>
        <v>0</v>
      </c>
      <c r="Q903" s="142">
        <f t="shared" ref="Q903:Q966" si="220">IF(AND($G903&lt;=60,$G903&gt;=31),$F903,0)</f>
        <v>0</v>
      </c>
      <c r="R903" s="142">
        <f t="shared" ref="R903:R966" si="221">IF(AND($G903&lt;=90,$G903&gt;=61),$F903,0)</f>
        <v>0</v>
      </c>
      <c r="S903" s="142">
        <f t="shared" ref="S903:S966" si="222">IF(AND($G903&lt;=120,$G903&gt;=91),$F903,0)</f>
        <v>0</v>
      </c>
      <c r="T903" s="142">
        <f t="shared" ref="T903:T966" si="223">IF(G903&gt;=121,F903,0)</f>
        <v>0</v>
      </c>
      <c r="U903" s="60">
        <f t="shared" ref="U903:U966" si="224">SUM(P903:T903)</f>
        <v>0</v>
      </c>
    </row>
    <row r="904" spans="1:21" x14ac:dyDescent="0.2">
      <c r="A904" s="115"/>
      <c r="B904" s="139" t="s">
        <v>304</v>
      </c>
      <c r="C904" s="140" t="s">
        <v>585</v>
      </c>
      <c r="D904" s="141">
        <v>45889</v>
      </c>
      <c r="E904" s="141">
        <v>46009</v>
      </c>
      <c r="F904" s="57">
        <v>928</v>
      </c>
      <c r="G904" s="58">
        <f t="shared" si="210"/>
        <v>-13</v>
      </c>
      <c r="H904" s="142">
        <f t="shared" si="211"/>
        <v>0</v>
      </c>
      <c r="I904" s="142">
        <f t="shared" si="212"/>
        <v>0</v>
      </c>
      <c r="J904" s="143">
        <f t="shared" si="213"/>
        <v>0</v>
      </c>
      <c r="K904" s="143">
        <f t="shared" si="214"/>
        <v>0</v>
      </c>
      <c r="L904" s="142">
        <f t="shared" si="215"/>
        <v>0</v>
      </c>
      <c r="M904" s="142">
        <f t="shared" si="216"/>
        <v>0</v>
      </c>
      <c r="N904" s="145">
        <f t="shared" si="217"/>
        <v>928</v>
      </c>
      <c r="O904" s="59">
        <f t="shared" si="218"/>
        <v>928</v>
      </c>
      <c r="P904" s="142">
        <f t="shared" si="219"/>
        <v>0</v>
      </c>
      <c r="Q904" s="142">
        <f t="shared" si="220"/>
        <v>0</v>
      </c>
      <c r="R904" s="142">
        <f t="shared" si="221"/>
        <v>0</v>
      </c>
      <c r="S904" s="142">
        <f t="shared" si="222"/>
        <v>0</v>
      </c>
      <c r="T904" s="142">
        <f t="shared" si="223"/>
        <v>0</v>
      </c>
      <c r="U904" s="60">
        <f t="shared" si="224"/>
        <v>0</v>
      </c>
    </row>
    <row r="905" spans="1:21" x14ac:dyDescent="0.2">
      <c r="A905" s="115"/>
      <c r="B905" s="139" t="s">
        <v>304</v>
      </c>
      <c r="C905" s="140" t="s">
        <v>586</v>
      </c>
      <c r="D905" s="141">
        <v>45889</v>
      </c>
      <c r="E905" s="141">
        <v>46009</v>
      </c>
      <c r="F905" s="57">
        <v>142859.13</v>
      </c>
      <c r="G905" s="58">
        <f t="shared" si="210"/>
        <v>-13</v>
      </c>
      <c r="H905" s="142">
        <f t="shared" si="211"/>
        <v>0</v>
      </c>
      <c r="I905" s="142">
        <f t="shared" si="212"/>
        <v>0</v>
      </c>
      <c r="J905" s="143">
        <f t="shared" si="213"/>
        <v>0</v>
      </c>
      <c r="K905" s="143">
        <f t="shared" si="214"/>
        <v>0</v>
      </c>
      <c r="L905" s="142">
        <f t="shared" si="215"/>
        <v>0</v>
      </c>
      <c r="M905" s="142">
        <f t="shared" si="216"/>
        <v>0</v>
      </c>
      <c r="N905" s="145">
        <f t="shared" si="217"/>
        <v>142859.13</v>
      </c>
      <c r="O905" s="59">
        <f t="shared" si="218"/>
        <v>142859.13</v>
      </c>
      <c r="P905" s="142">
        <f t="shared" si="219"/>
        <v>0</v>
      </c>
      <c r="Q905" s="142">
        <f t="shared" si="220"/>
        <v>0</v>
      </c>
      <c r="R905" s="142">
        <f t="shared" si="221"/>
        <v>0</v>
      </c>
      <c r="S905" s="142">
        <f t="shared" si="222"/>
        <v>0</v>
      </c>
      <c r="T905" s="142">
        <f t="shared" si="223"/>
        <v>0</v>
      </c>
      <c r="U905" s="60">
        <f t="shared" si="224"/>
        <v>0</v>
      </c>
    </row>
    <row r="906" spans="1:21" x14ac:dyDescent="0.2">
      <c r="A906" s="115"/>
      <c r="B906" s="139" t="s">
        <v>304</v>
      </c>
      <c r="C906" s="140" t="s">
        <v>587</v>
      </c>
      <c r="D906" s="141">
        <v>45890</v>
      </c>
      <c r="E906" s="141">
        <v>46010</v>
      </c>
      <c r="F906" s="57">
        <v>89466.15</v>
      </c>
      <c r="G906" s="58">
        <f t="shared" si="210"/>
        <v>-12</v>
      </c>
      <c r="H906" s="142">
        <f t="shared" si="211"/>
        <v>0</v>
      </c>
      <c r="I906" s="142">
        <f t="shared" si="212"/>
        <v>0</v>
      </c>
      <c r="J906" s="143">
        <f t="shared" si="213"/>
        <v>0</v>
      </c>
      <c r="K906" s="143">
        <f t="shared" si="214"/>
        <v>0</v>
      </c>
      <c r="L906" s="142">
        <f t="shared" si="215"/>
        <v>0</v>
      </c>
      <c r="M906" s="142">
        <f t="shared" si="216"/>
        <v>0</v>
      </c>
      <c r="N906" s="145">
        <f t="shared" si="217"/>
        <v>89466.15</v>
      </c>
      <c r="O906" s="59">
        <f t="shared" si="218"/>
        <v>89466.15</v>
      </c>
      <c r="P906" s="142">
        <f t="shared" si="219"/>
        <v>0</v>
      </c>
      <c r="Q906" s="142">
        <f t="shared" si="220"/>
        <v>0</v>
      </c>
      <c r="R906" s="142">
        <f t="shared" si="221"/>
        <v>0</v>
      </c>
      <c r="S906" s="142">
        <f t="shared" si="222"/>
        <v>0</v>
      </c>
      <c r="T906" s="142">
        <f t="shared" si="223"/>
        <v>0</v>
      </c>
      <c r="U906" s="60">
        <f t="shared" si="224"/>
        <v>0</v>
      </c>
    </row>
    <row r="907" spans="1:21" x14ac:dyDescent="0.2">
      <c r="A907" s="115"/>
      <c r="B907" s="139" t="s">
        <v>304</v>
      </c>
      <c r="C907" s="140" t="s">
        <v>588</v>
      </c>
      <c r="D907" s="141">
        <v>45895</v>
      </c>
      <c r="E907" s="141">
        <v>46015</v>
      </c>
      <c r="F907" s="57">
        <v>47154.5</v>
      </c>
      <c r="G907" s="58">
        <f t="shared" si="210"/>
        <v>-7</v>
      </c>
      <c r="H907" s="142">
        <f t="shared" si="211"/>
        <v>0</v>
      </c>
      <c r="I907" s="142">
        <f t="shared" si="212"/>
        <v>0</v>
      </c>
      <c r="J907" s="143">
        <f t="shared" si="213"/>
        <v>0</v>
      </c>
      <c r="K907" s="143">
        <f t="shared" si="214"/>
        <v>0</v>
      </c>
      <c r="L907" s="142">
        <f t="shared" si="215"/>
        <v>0</v>
      </c>
      <c r="M907" s="142">
        <f t="shared" si="216"/>
        <v>0</v>
      </c>
      <c r="N907" s="145">
        <f t="shared" si="217"/>
        <v>47154.5</v>
      </c>
      <c r="O907" s="59">
        <f t="shared" si="218"/>
        <v>47154.5</v>
      </c>
      <c r="P907" s="142">
        <f t="shared" si="219"/>
        <v>0</v>
      </c>
      <c r="Q907" s="142">
        <f t="shared" si="220"/>
        <v>0</v>
      </c>
      <c r="R907" s="142">
        <f t="shared" si="221"/>
        <v>0</v>
      </c>
      <c r="S907" s="142">
        <f t="shared" si="222"/>
        <v>0</v>
      </c>
      <c r="T907" s="142">
        <f t="shared" si="223"/>
        <v>0</v>
      </c>
      <c r="U907" s="60">
        <f t="shared" si="224"/>
        <v>0</v>
      </c>
    </row>
    <row r="908" spans="1:21" x14ac:dyDescent="0.2">
      <c r="A908" s="115"/>
      <c r="B908" s="139" t="s">
        <v>304</v>
      </c>
      <c r="C908" s="140" t="s">
        <v>589</v>
      </c>
      <c r="D908" s="141">
        <v>45895</v>
      </c>
      <c r="E908" s="141">
        <v>46015</v>
      </c>
      <c r="F908" s="57">
        <v>44132.3</v>
      </c>
      <c r="G908" s="58">
        <f t="shared" si="210"/>
        <v>-7</v>
      </c>
      <c r="H908" s="142">
        <f t="shared" si="211"/>
        <v>0</v>
      </c>
      <c r="I908" s="142">
        <f t="shared" si="212"/>
        <v>0</v>
      </c>
      <c r="J908" s="143">
        <f t="shared" si="213"/>
        <v>0</v>
      </c>
      <c r="K908" s="143">
        <f t="shared" si="214"/>
        <v>0</v>
      </c>
      <c r="L908" s="142">
        <f t="shared" si="215"/>
        <v>0</v>
      </c>
      <c r="M908" s="142">
        <f t="shared" si="216"/>
        <v>0</v>
      </c>
      <c r="N908" s="145">
        <f t="shared" si="217"/>
        <v>44132.3</v>
      </c>
      <c r="O908" s="59">
        <f t="shared" si="218"/>
        <v>44132.3</v>
      </c>
      <c r="P908" s="142">
        <f t="shared" si="219"/>
        <v>0</v>
      </c>
      <c r="Q908" s="142">
        <f t="shared" si="220"/>
        <v>0</v>
      </c>
      <c r="R908" s="142">
        <f t="shared" si="221"/>
        <v>0</v>
      </c>
      <c r="S908" s="142">
        <f t="shared" si="222"/>
        <v>0</v>
      </c>
      <c r="T908" s="142">
        <f t="shared" si="223"/>
        <v>0</v>
      </c>
      <c r="U908" s="60">
        <f t="shared" si="224"/>
        <v>0</v>
      </c>
    </row>
    <row r="909" spans="1:21" x14ac:dyDescent="0.2">
      <c r="A909" s="115"/>
      <c r="B909" s="139" t="s">
        <v>304</v>
      </c>
      <c r="C909" s="140" t="s">
        <v>590</v>
      </c>
      <c r="D909" s="141">
        <v>45895</v>
      </c>
      <c r="E909" s="141">
        <v>46015</v>
      </c>
      <c r="F909" s="57">
        <v>60003</v>
      </c>
      <c r="G909" s="58">
        <f t="shared" si="210"/>
        <v>-7</v>
      </c>
      <c r="H909" s="142">
        <f t="shared" si="211"/>
        <v>0</v>
      </c>
      <c r="I909" s="142">
        <f t="shared" si="212"/>
        <v>0</v>
      </c>
      <c r="J909" s="143">
        <f t="shared" si="213"/>
        <v>0</v>
      </c>
      <c r="K909" s="143">
        <f t="shared" si="214"/>
        <v>0</v>
      </c>
      <c r="L909" s="142">
        <f t="shared" si="215"/>
        <v>0</v>
      </c>
      <c r="M909" s="142">
        <f t="shared" si="216"/>
        <v>0</v>
      </c>
      <c r="N909" s="145">
        <f t="shared" si="217"/>
        <v>60003</v>
      </c>
      <c r="O909" s="59">
        <f t="shared" si="218"/>
        <v>60003</v>
      </c>
      <c r="P909" s="142">
        <f t="shared" si="219"/>
        <v>0</v>
      </c>
      <c r="Q909" s="142">
        <f t="shared" si="220"/>
        <v>0</v>
      </c>
      <c r="R909" s="142">
        <f t="shared" si="221"/>
        <v>0</v>
      </c>
      <c r="S909" s="142">
        <f t="shared" si="222"/>
        <v>0</v>
      </c>
      <c r="T909" s="142">
        <f t="shared" si="223"/>
        <v>0</v>
      </c>
      <c r="U909" s="60">
        <f t="shared" si="224"/>
        <v>0</v>
      </c>
    </row>
    <row r="910" spans="1:21" x14ac:dyDescent="0.2">
      <c r="A910" s="115"/>
      <c r="B910" s="139" t="s">
        <v>304</v>
      </c>
      <c r="C910" s="140" t="s">
        <v>591</v>
      </c>
      <c r="D910" s="141">
        <v>45895</v>
      </c>
      <c r="E910" s="141">
        <v>46015</v>
      </c>
      <c r="F910" s="57">
        <v>13600</v>
      </c>
      <c r="G910" s="58">
        <f t="shared" si="210"/>
        <v>-7</v>
      </c>
      <c r="H910" s="142">
        <f t="shared" si="211"/>
        <v>0</v>
      </c>
      <c r="I910" s="142">
        <f t="shared" si="212"/>
        <v>0</v>
      </c>
      <c r="J910" s="143">
        <f t="shared" si="213"/>
        <v>0</v>
      </c>
      <c r="K910" s="143">
        <f t="shared" si="214"/>
        <v>0</v>
      </c>
      <c r="L910" s="142">
        <f t="shared" si="215"/>
        <v>0</v>
      </c>
      <c r="M910" s="142">
        <f t="shared" si="216"/>
        <v>0</v>
      </c>
      <c r="N910" s="145">
        <f t="shared" si="217"/>
        <v>13600</v>
      </c>
      <c r="O910" s="59">
        <f t="shared" si="218"/>
        <v>13600</v>
      </c>
      <c r="P910" s="142">
        <f t="shared" si="219"/>
        <v>0</v>
      </c>
      <c r="Q910" s="142">
        <f t="shared" si="220"/>
        <v>0</v>
      </c>
      <c r="R910" s="142">
        <f t="shared" si="221"/>
        <v>0</v>
      </c>
      <c r="S910" s="142">
        <f t="shared" si="222"/>
        <v>0</v>
      </c>
      <c r="T910" s="142">
        <f t="shared" si="223"/>
        <v>0</v>
      </c>
      <c r="U910" s="60">
        <f t="shared" si="224"/>
        <v>0</v>
      </c>
    </row>
    <row r="911" spans="1:21" x14ac:dyDescent="0.2">
      <c r="A911" s="115"/>
      <c r="B911" s="139" t="s">
        <v>304</v>
      </c>
      <c r="C911" s="140" t="s">
        <v>592</v>
      </c>
      <c r="D911" s="141">
        <v>45895</v>
      </c>
      <c r="E911" s="141">
        <v>46015</v>
      </c>
      <c r="F911" s="57">
        <v>269008</v>
      </c>
      <c r="G911" s="58">
        <f t="shared" si="210"/>
        <v>-7</v>
      </c>
      <c r="H911" s="142">
        <f t="shared" si="211"/>
        <v>0</v>
      </c>
      <c r="I911" s="142">
        <f t="shared" si="212"/>
        <v>0</v>
      </c>
      <c r="J911" s="143">
        <f t="shared" si="213"/>
        <v>0</v>
      </c>
      <c r="K911" s="143">
        <f t="shared" si="214"/>
        <v>0</v>
      </c>
      <c r="L911" s="142">
        <f t="shared" si="215"/>
        <v>0</v>
      </c>
      <c r="M911" s="142">
        <f t="shared" si="216"/>
        <v>0</v>
      </c>
      <c r="N911" s="145">
        <f t="shared" si="217"/>
        <v>269008</v>
      </c>
      <c r="O911" s="59">
        <f t="shared" si="218"/>
        <v>269008</v>
      </c>
      <c r="P911" s="142">
        <f t="shared" si="219"/>
        <v>0</v>
      </c>
      <c r="Q911" s="142">
        <f t="shared" si="220"/>
        <v>0</v>
      </c>
      <c r="R911" s="142">
        <f t="shared" si="221"/>
        <v>0</v>
      </c>
      <c r="S911" s="142">
        <f t="shared" si="222"/>
        <v>0</v>
      </c>
      <c r="T911" s="142">
        <f t="shared" si="223"/>
        <v>0</v>
      </c>
      <c r="U911" s="60">
        <f t="shared" si="224"/>
        <v>0</v>
      </c>
    </row>
    <row r="912" spans="1:21" x14ac:dyDescent="0.2">
      <c r="A912" s="115"/>
      <c r="B912" s="139" t="s">
        <v>304</v>
      </c>
      <c r="C912" s="140" t="s">
        <v>593</v>
      </c>
      <c r="D912" s="141">
        <v>45895</v>
      </c>
      <c r="E912" s="141">
        <v>46015</v>
      </c>
      <c r="F912" s="57">
        <v>18283</v>
      </c>
      <c r="G912" s="58">
        <f t="shared" si="210"/>
        <v>-7</v>
      </c>
      <c r="H912" s="142">
        <f t="shared" si="211"/>
        <v>0</v>
      </c>
      <c r="I912" s="142">
        <f t="shared" si="212"/>
        <v>0</v>
      </c>
      <c r="J912" s="143">
        <f t="shared" si="213"/>
        <v>0</v>
      </c>
      <c r="K912" s="143">
        <f t="shared" si="214"/>
        <v>0</v>
      </c>
      <c r="L912" s="142">
        <f t="shared" si="215"/>
        <v>0</v>
      </c>
      <c r="M912" s="142">
        <f t="shared" si="216"/>
        <v>0</v>
      </c>
      <c r="N912" s="145">
        <f t="shared" si="217"/>
        <v>18283</v>
      </c>
      <c r="O912" s="59">
        <f t="shared" si="218"/>
        <v>18283</v>
      </c>
      <c r="P912" s="142">
        <f t="shared" si="219"/>
        <v>0</v>
      </c>
      <c r="Q912" s="142">
        <f t="shared" si="220"/>
        <v>0</v>
      </c>
      <c r="R912" s="142">
        <f t="shared" si="221"/>
        <v>0</v>
      </c>
      <c r="S912" s="142">
        <f t="shared" si="222"/>
        <v>0</v>
      </c>
      <c r="T912" s="142">
        <f t="shared" si="223"/>
        <v>0</v>
      </c>
      <c r="U912" s="60">
        <f t="shared" si="224"/>
        <v>0</v>
      </c>
    </row>
    <row r="913" spans="1:24" x14ac:dyDescent="0.2">
      <c r="A913" s="115"/>
      <c r="B913" s="139" t="s">
        <v>304</v>
      </c>
      <c r="C913" s="140" t="s">
        <v>689</v>
      </c>
      <c r="D913" s="141">
        <v>45909</v>
      </c>
      <c r="E913" s="141">
        <v>46029</v>
      </c>
      <c r="F913" s="57">
        <v>262104.53</v>
      </c>
      <c r="G913" s="58">
        <f t="shared" si="210"/>
        <v>7</v>
      </c>
      <c r="H913" s="142">
        <f t="shared" si="211"/>
        <v>0</v>
      </c>
      <c r="I913" s="142">
        <f t="shared" si="212"/>
        <v>0</v>
      </c>
      <c r="J913" s="143">
        <f t="shared" si="213"/>
        <v>0</v>
      </c>
      <c r="K913" s="143">
        <f t="shared" si="214"/>
        <v>0</v>
      </c>
      <c r="L913" s="142">
        <f t="shared" si="215"/>
        <v>0</v>
      </c>
      <c r="M913" s="142">
        <f t="shared" si="216"/>
        <v>0</v>
      </c>
      <c r="N913" s="142">
        <f t="shared" si="217"/>
        <v>0</v>
      </c>
      <c r="O913" s="59">
        <f t="shared" si="218"/>
        <v>0</v>
      </c>
      <c r="P913" s="145">
        <f t="shared" si="219"/>
        <v>262104.53</v>
      </c>
      <c r="Q913" s="142">
        <f t="shared" si="220"/>
        <v>0</v>
      </c>
      <c r="R913" s="142">
        <f t="shared" si="221"/>
        <v>0</v>
      </c>
      <c r="S913" s="142">
        <f t="shared" si="222"/>
        <v>0</v>
      </c>
      <c r="T913" s="142">
        <f t="shared" si="223"/>
        <v>0</v>
      </c>
      <c r="U913" s="60">
        <f t="shared" si="224"/>
        <v>262104.53</v>
      </c>
    </row>
    <row r="914" spans="1:24" x14ac:dyDescent="0.2">
      <c r="A914" s="115"/>
      <c r="B914" s="139" t="s">
        <v>304</v>
      </c>
      <c r="C914" s="140" t="s">
        <v>577</v>
      </c>
      <c r="D914" s="141">
        <v>45889</v>
      </c>
      <c r="E914" s="141">
        <v>46034</v>
      </c>
      <c r="F914" s="57">
        <v>183607</v>
      </c>
      <c r="G914" s="58">
        <f t="shared" si="210"/>
        <v>12</v>
      </c>
      <c r="H914" s="142">
        <f t="shared" si="211"/>
        <v>0</v>
      </c>
      <c r="I914" s="142">
        <f t="shared" si="212"/>
        <v>0</v>
      </c>
      <c r="J914" s="143">
        <f t="shared" si="213"/>
        <v>0</v>
      </c>
      <c r="K914" s="143">
        <f t="shared" si="214"/>
        <v>0</v>
      </c>
      <c r="L914" s="142">
        <f t="shared" si="215"/>
        <v>0</v>
      </c>
      <c r="M914" s="142">
        <f t="shared" si="216"/>
        <v>0</v>
      </c>
      <c r="N914" s="142">
        <f t="shared" si="217"/>
        <v>0</v>
      </c>
      <c r="O914" s="59">
        <f t="shared" si="218"/>
        <v>0</v>
      </c>
      <c r="P914" s="142">
        <f t="shared" si="219"/>
        <v>183607</v>
      </c>
      <c r="Q914" s="142">
        <f t="shared" si="220"/>
        <v>0</v>
      </c>
      <c r="R914" s="142">
        <f t="shared" si="221"/>
        <v>0</v>
      </c>
      <c r="S914" s="142">
        <f t="shared" si="222"/>
        <v>0</v>
      </c>
      <c r="T914" s="142">
        <f t="shared" si="223"/>
        <v>0</v>
      </c>
      <c r="U914" s="60">
        <f t="shared" si="224"/>
        <v>183607</v>
      </c>
    </row>
    <row r="915" spans="1:24" x14ac:dyDescent="0.2">
      <c r="A915" s="115"/>
      <c r="B915" s="139" t="s">
        <v>304</v>
      </c>
      <c r="C915" s="140" t="s">
        <v>847</v>
      </c>
      <c r="D915" s="141">
        <v>45932</v>
      </c>
      <c r="E915" s="141">
        <v>46052</v>
      </c>
      <c r="F915" s="57">
        <v>305986.8</v>
      </c>
      <c r="G915" s="58">
        <f t="shared" si="210"/>
        <v>30</v>
      </c>
      <c r="H915" s="142">
        <f t="shared" si="211"/>
        <v>0</v>
      </c>
      <c r="I915" s="142">
        <f t="shared" si="212"/>
        <v>0</v>
      </c>
      <c r="J915" s="143">
        <f t="shared" si="213"/>
        <v>0</v>
      </c>
      <c r="K915" s="143">
        <f t="shared" si="214"/>
        <v>0</v>
      </c>
      <c r="L915" s="142">
        <f t="shared" si="215"/>
        <v>0</v>
      </c>
      <c r="M915" s="142">
        <f t="shared" si="216"/>
        <v>0</v>
      </c>
      <c r="N915" s="142">
        <f t="shared" si="217"/>
        <v>0</v>
      </c>
      <c r="O915" s="59">
        <f t="shared" si="218"/>
        <v>0</v>
      </c>
      <c r="P915" s="142">
        <f t="shared" si="219"/>
        <v>305986.8</v>
      </c>
      <c r="Q915" s="142">
        <f t="shared" si="220"/>
        <v>0</v>
      </c>
      <c r="R915" s="142">
        <f t="shared" si="221"/>
        <v>0</v>
      </c>
      <c r="S915" s="142">
        <f t="shared" si="222"/>
        <v>0</v>
      </c>
      <c r="T915" s="142">
        <f t="shared" si="223"/>
        <v>0</v>
      </c>
      <c r="U915" s="60">
        <f t="shared" si="224"/>
        <v>305986.8</v>
      </c>
    </row>
    <row r="916" spans="1:24" x14ac:dyDescent="0.2">
      <c r="A916" s="115"/>
      <c r="B916" s="139" t="s">
        <v>304</v>
      </c>
      <c r="C916" s="140" t="s">
        <v>840</v>
      </c>
      <c r="D916" s="141">
        <v>45953</v>
      </c>
      <c r="E916" s="141">
        <v>46073</v>
      </c>
      <c r="F916" s="57">
        <v>119757.53</v>
      </c>
      <c r="G916" s="58">
        <f t="shared" si="210"/>
        <v>51</v>
      </c>
      <c r="H916" s="142">
        <f t="shared" si="211"/>
        <v>0</v>
      </c>
      <c r="I916" s="142">
        <f t="shared" si="212"/>
        <v>0</v>
      </c>
      <c r="J916" s="143">
        <f t="shared" si="213"/>
        <v>0</v>
      </c>
      <c r="K916" s="143">
        <f t="shared" si="214"/>
        <v>0</v>
      </c>
      <c r="L916" s="142">
        <f t="shared" si="215"/>
        <v>0</v>
      </c>
      <c r="M916" s="142">
        <f t="shared" si="216"/>
        <v>0</v>
      </c>
      <c r="N916" s="142">
        <f t="shared" si="217"/>
        <v>0</v>
      </c>
      <c r="O916" s="59">
        <f t="shared" si="218"/>
        <v>0</v>
      </c>
      <c r="P916" s="142">
        <f t="shared" si="219"/>
        <v>0</v>
      </c>
      <c r="Q916" s="142">
        <f t="shared" si="220"/>
        <v>119757.53</v>
      </c>
      <c r="R916" s="142">
        <f t="shared" si="221"/>
        <v>0</v>
      </c>
      <c r="S916" s="142">
        <f t="shared" si="222"/>
        <v>0</v>
      </c>
      <c r="T916" s="142">
        <f t="shared" si="223"/>
        <v>0</v>
      </c>
      <c r="U916" s="60">
        <f t="shared" si="224"/>
        <v>119757.53</v>
      </c>
    </row>
    <row r="917" spans="1:24" x14ac:dyDescent="0.2">
      <c r="A917" s="115"/>
      <c r="B917" s="139" t="s">
        <v>304</v>
      </c>
      <c r="C917" s="140" t="s">
        <v>910</v>
      </c>
      <c r="D917" s="141">
        <v>45971</v>
      </c>
      <c r="E917" s="141">
        <v>46091</v>
      </c>
      <c r="F917" s="57">
        <v>41033</v>
      </c>
      <c r="G917" s="58">
        <f t="shared" si="210"/>
        <v>69</v>
      </c>
      <c r="H917" s="142">
        <f t="shared" si="211"/>
        <v>0</v>
      </c>
      <c r="I917" s="142">
        <f t="shared" si="212"/>
        <v>0</v>
      </c>
      <c r="J917" s="143">
        <f t="shared" si="213"/>
        <v>0</v>
      </c>
      <c r="K917" s="143">
        <f t="shared" si="214"/>
        <v>0</v>
      </c>
      <c r="L917" s="142">
        <f t="shared" si="215"/>
        <v>0</v>
      </c>
      <c r="M917" s="142">
        <f t="shared" si="216"/>
        <v>0</v>
      </c>
      <c r="N917" s="142">
        <f t="shared" si="217"/>
        <v>0</v>
      </c>
      <c r="O917" s="59">
        <f t="shared" si="218"/>
        <v>0</v>
      </c>
      <c r="P917" s="142">
        <f t="shared" si="219"/>
        <v>0</v>
      </c>
      <c r="Q917" s="142">
        <f t="shared" si="220"/>
        <v>0</v>
      </c>
      <c r="R917" s="142">
        <f t="shared" si="221"/>
        <v>41033</v>
      </c>
      <c r="S917" s="142">
        <f t="shared" si="222"/>
        <v>0</v>
      </c>
      <c r="T917" s="142">
        <f t="shared" si="223"/>
        <v>0</v>
      </c>
      <c r="U917" s="60">
        <f t="shared" si="224"/>
        <v>41033</v>
      </c>
    </row>
    <row r="918" spans="1:24" s="183" customFormat="1" x14ac:dyDescent="0.2">
      <c r="A918" s="173"/>
      <c r="B918" s="174" t="s">
        <v>911</v>
      </c>
      <c r="C918" s="175" t="s">
        <v>912</v>
      </c>
      <c r="D918" s="176">
        <v>45987</v>
      </c>
      <c r="E918" s="176">
        <v>46047</v>
      </c>
      <c r="F918" s="177">
        <v>55467.43</v>
      </c>
      <c r="G918" s="178">
        <f t="shared" si="210"/>
        <v>25</v>
      </c>
      <c r="H918" s="179">
        <f t="shared" si="211"/>
        <v>0</v>
      </c>
      <c r="I918" s="179">
        <f t="shared" si="212"/>
        <v>0</v>
      </c>
      <c r="J918" s="180">
        <f t="shared" si="213"/>
        <v>0</v>
      </c>
      <c r="K918" s="180">
        <f t="shared" si="214"/>
        <v>0</v>
      </c>
      <c r="L918" s="179">
        <f t="shared" si="215"/>
        <v>0</v>
      </c>
      <c r="M918" s="179">
        <f t="shared" si="216"/>
        <v>0</v>
      </c>
      <c r="N918" s="179">
        <f t="shared" si="217"/>
        <v>0</v>
      </c>
      <c r="O918" s="179">
        <f t="shared" si="218"/>
        <v>0</v>
      </c>
      <c r="P918" s="179">
        <f t="shared" si="219"/>
        <v>55467.43</v>
      </c>
      <c r="Q918" s="179">
        <f t="shared" si="220"/>
        <v>0</v>
      </c>
      <c r="R918" s="179">
        <f t="shared" si="221"/>
        <v>0</v>
      </c>
      <c r="S918" s="179">
        <f t="shared" si="222"/>
        <v>0</v>
      </c>
      <c r="T918" s="179">
        <f t="shared" si="223"/>
        <v>0</v>
      </c>
      <c r="U918" s="181">
        <f t="shared" si="224"/>
        <v>55467.43</v>
      </c>
      <c r="V918" s="182"/>
      <c r="W918" s="182"/>
      <c r="X918" s="182"/>
    </row>
    <row r="919" spans="1:24" s="183" customFormat="1" x14ac:dyDescent="0.2">
      <c r="A919" s="173"/>
      <c r="B919" s="174" t="s">
        <v>911</v>
      </c>
      <c r="C919" s="175" t="s">
        <v>996</v>
      </c>
      <c r="D919" s="176">
        <v>46014</v>
      </c>
      <c r="E919" s="176">
        <v>46073</v>
      </c>
      <c r="F919" s="177">
        <v>43358.28</v>
      </c>
      <c r="G919" s="178">
        <f t="shared" si="210"/>
        <v>51</v>
      </c>
      <c r="H919" s="179">
        <f t="shared" si="211"/>
        <v>0</v>
      </c>
      <c r="I919" s="179">
        <f t="shared" si="212"/>
        <v>0</v>
      </c>
      <c r="J919" s="180">
        <f t="shared" si="213"/>
        <v>0</v>
      </c>
      <c r="K919" s="180">
        <f t="shared" si="214"/>
        <v>0</v>
      </c>
      <c r="L919" s="179">
        <f t="shared" si="215"/>
        <v>0</v>
      </c>
      <c r="M919" s="179">
        <f t="shared" si="216"/>
        <v>0</v>
      </c>
      <c r="N919" s="179">
        <f t="shared" si="217"/>
        <v>0</v>
      </c>
      <c r="O919" s="179">
        <f t="shared" si="218"/>
        <v>0</v>
      </c>
      <c r="P919" s="179">
        <f t="shared" si="219"/>
        <v>0</v>
      </c>
      <c r="Q919" s="179">
        <f t="shared" si="220"/>
        <v>43358.28</v>
      </c>
      <c r="R919" s="179">
        <f t="shared" si="221"/>
        <v>0</v>
      </c>
      <c r="S919" s="179">
        <f t="shared" si="222"/>
        <v>0</v>
      </c>
      <c r="T919" s="179">
        <f t="shared" si="223"/>
        <v>0</v>
      </c>
      <c r="U919" s="181">
        <f t="shared" si="224"/>
        <v>43358.28</v>
      </c>
      <c r="V919" s="182"/>
      <c r="W919" s="182"/>
      <c r="X919" s="182"/>
    </row>
    <row r="920" spans="1:24" x14ac:dyDescent="0.2">
      <c r="A920" s="115"/>
      <c r="B920" s="139" t="s">
        <v>420</v>
      </c>
      <c r="C920" s="140" t="s">
        <v>421</v>
      </c>
      <c r="D920" s="141">
        <v>45803</v>
      </c>
      <c r="E920" s="141">
        <v>45833</v>
      </c>
      <c r="F920" s="57">
        <v>33232.080000000002</v>
      </c>
      <c r="G920" s="58">
        <f t="shared" si="210"/>
        <v>-189</v>
      </c>
      <c r="H920" s="142">
        <f t="shared" si="211"/>
        <v>33232.080000000002</v>
      </c>
      <c r="I920" s="142">
        <f t="shared" si="212"/>
        <v>0</v>
      </c>
      <c r="J920" s="143">
        <f t="shared" si="213"/>
        <v>0</v>
      </c>
      <c r="K920" s="143">
        <f t="shared" si="214"/>
        <v>0</v>
      </c>
      <c r="L920" s="142">
        <f t="shared" si="215"/>
        <v>0</v>
      </c>
      <c r="M920" s="142">
        <f t="shared" si="216"/>
        <v>0</v>
      </c>
      <c r="N920" s="142">
        <f t="shared" si="217"/>
        <v>0</v>
      </c>
      <c r="O920" s="59">
        <f t="shared" si="218"/>
        <v>33232.080000000002</v>
      </c>
      <c r="P920" s="142">
        <f t="shared" si="219"/>
        <v>0</v>
      </c>
      <c r="Q920" s="142">
        <f t="shared" si="220"/>
        <v>0</v>
      </c>
      <c r="R920" s="142">
        <f t="shared" si="221"/>
        <v>0</v>
      </c>
      <c r="S920" s="142">
        <f t="shared" si="222"/>
        <v>0</v>
      </c>
      <c r="T920" s="142">
        <f t="shared" si="223"/>
        <v>0</v>
      </c>
      <c r="U920" s="60">
        <f t="shared" si="224"/>
        <v>0</v>
      </c>
    </row>
    <row r="921" spans="1:24" x14ac:dyDescent="0.2">
      <c r="A921" s="115"/>
      <c r="B921" s="139" t="s">
        <v>420</v>
      </c>
      <c r="C921" s="140" t="s">
        <v>594</v>
      </c>
      <c r="D921" s="141">
        <v>45882</v>
      </c>
      <c r="E921" s="141">
        <v>45972</v>
      </c>
      <c r="F921" s="57">
        <v>22873.200000000001</v>
      </c>
      <c r="G921" s="58">
        <f t="shared" si="210"/>
        <v>-50</v>
      </c>
      <c r="H921" s="142">
        <f t="shared" si="211"/>
        <v>0</v>
      </c>
      <c r="I921" s="142">
        <f t="shared" si="212"/>
        <v>0</v>
      </c>
      <c r="J921" s="143">
        <f t="shared" si="213"/>
        <v>0</v>
      </c>
      <c r="K921" s="143">
        <f t="shared" si="214"/>
        <v>0</v>
      </c>
      <c r="L921" s="142">
        <f t="shared" si="215"/>
        <v>0</v>
      </c>
      <c r="M921" s="142">
        <f t="shared" si="216"/>
        <v>22873.200000000001</v>
      </c>
      <c r="N921" s="142">
        <f t="shared" si="217"/>
        <v>0</v>
      </c>
      <c r="O921" s="59">
        <f t="shared" si="218"/>
        <v>22873.200000000001</v>
      </c>
      <c r="P921" s="142">
        <f t="shared" si="219"/>
        <v>0</v>
      </c>
      <c r="Q921" s="142">
        <f t="shared" si="220"/>
        <v>0</v>
      </c>
      <c r="R921" s="142">
        <f t="shared" si="221"/>
        <v>0</v>
      </c>
      <c r="S921" s="142">
        <f t="shared" si="222"/>
        <v>0</v>
      </c>
      <c r="T921" s="142">
        <f t="shared" si="223"/>
        <v>0</v>
      </c>
      <c r="U921" s="60">
        <f t="shared" si="224"/>
        <v>0</v>
      </c>
    </row>
    <row r="922" spans="1:24" x14ac:dyDescent="0.2">
      <c r="A922" s="115"/>
      <c r="B922" s="139" t="s">
        <v>522</v>
      </c>
      <c r="C922" s="140" t="s">
        <v>623</v>
      </c>
      <c r="D922" s="141">
        <v>45877</v>
      </c>
      <c r="E922" s="141">
        <v>45937</v>
      </c>
      <c r="F922" s="57">
        <v>43844.68</v>
      </c>
      <c r="G922" s="58">
        <f t="shared" si="210"/>
        <v>-85</v>
      </c>
      <c r="H922" s="142">
        <f t="shared" si="211"/>
        <v>0</v>
      </c>
      <c r="I922" s="142">
        <f t="shared" si="212"/>
        <v>0</v>
      </c>
      <c r="J922" s="143">
        <f t="shared" si="213"/>
        <v>0</v>
      </c>
      <c r="K922" s="143">
        <f t="shared" si="214"/>
        <v>0</v>
      </c>
      <c r="L922" s="142">
        <f t="shared" si="215"/>
        <v>43844.68</v>
      </c>
      <c r="M922" s="142">
        <f t="shared" si="216"/>
        <v>0</v>
      </c>
      <c r="N922" s="142">
        <f t="shared" si="217"/>
        <v>0</v>
      </c>
      <c r="O922" s="59">
        <f t="shared" si="218"/>
        <v>43844.68</v>
      </c>
      <c r="P922" s="142">
        <f t="shared" si="219"/>
        <v>0</v>
      </c>
      <c r="Q922" s="142">
        <f t="shared" si="220"/>
        <v>0</v>
      </c>
      <c r="R922" s="142">
        <f t="shared" si="221"/>
        <v>0</v>
      </c>
      <c r="S922" s="142">
        <f t="shared" si="222"/>
        <v>0</v>
      </c>
      <c r="T922" s="142">
        <f t="shared" si="223"/>
        <v>0</v>
      </c>
      <c r="U922" s="60">
        <f t="shared" si="224"/>
        <v>0</v>
      </c>
    </row>
    <row r="923" spans="1:24" x14ac:dyDescent="0.2">
      <c r="A923" s="115"/>
      <c r="B923" s="139" t="s">
        <v>522</v>
      </c>
      <c r="C923" s="140" t="s">
        <v>624</v>
      </c>
      <c r="D923" s="141">
        <v>45889</v>
      </c>
      <c r="E923" s="141">
        <v>45949</v>
      </c>
      <c r="F923" s="57">
        <v>44637.2</v>
      </c>
      <c r="G923" s="58">
        <f t="shared" si="210"/>
        <v>-73</v>
      </c>
      <c r="H923" s="142">
        <f t="shared" si="211"/>
        <v>0</v>
      </c>
      <c r="I923" s="142">
        <f t="shared" si="212"/>
        <v>0</v>
      </c>
      <c r="J923" s="143">
        <f t="shared" si="213"/>
        <v>0</v>
      </c>
      <c r="K923" s="143">
        <f t="shared" si="214"/>
        <v>0</v>
      </c>
      <c r="L923" s="142">
        <f t="shared" si="215"/>
        <v>44637.2</v>
      </c>
      <c r="M923" s="142">
        <f t="shared" si="216"/>
        <v>0</v>
      </c>
      <c r="N923" s="142">
        <f t="shared" si="217"/>
        <v>0</v>
      </c>
      <c r="O923" s="59">
        <f t="shared" si="218"/>
        <v>44637.2</v>
      </c>
      <c r="P923" s="142">
        <f t="shared" si="219"/>
        <v>0</v>
      </c>
      <c r="Q923" s="142">
        <f t="shared" si="220"/>
        <v>0</v>
      </c>
      <c r="R923" s="142">
        <f t="shared" si="221"/>
        <v>0</v>
      </c>
      <c r="S923" s="142">
        <f t="shared" si="222"/>
        <v>0</v>
      </c>
      <c r="T923" s="142">
        <f t="shared" si="223"/>
        <v>0</v>
      </c>
      <c r="U923" s="60">
        <f t="shared" si="224"/>
        <v>0</v>
      </c>
    </row>
    <row r="924" spans="1:24" x14ac:dyDescent="0.2">
      <c r="A924" s="115"/>
      <c r="B924" s="139" t="s">
        <v>514</v>
      </c>
      <c r="C924" s="140" t="s">
        <v>620</v>
      </c>
      <c r="D924" s="141">
        <v>45882</v>
      </c>
      <c r="E924" s="141">
        <v>45972</v>
      </c>
      <c r="F924" s="57">
        <v>9350</v>
      </c>
      <c r="G924" s="58">
        <f t="shared" si="210"/>
        <v>-50</v>
      </c>
      <c r="H924" s="142">
        <f t="shared" si="211"/>
        <v>0</v>
      </c>
      <c r="I924" s="142">
        <f t="shared" si="212"/>
        <v>0</v>
      </c>
      <c r="J924" s="143">
        <f t="shared" si="213"/>
        <v>0</v>
      </c>
      <c r="K924" s="143">
        <f t="shared" si="214"/>
        <v>0</v>
      </c>
      <c r="L924" s="142">
        <f t="shared" si="215"/>
        <v>0</v>
      </c>
      <c r="M924" s="142">
        <f t="shared" si="216"/>
        <v>9350</v>
      </c>
      <c r="N924" s="142">
        <f t="shared" si="217"/>
        <v>0</v>
      </c>
      <c r="O924" s="59">
        <f t="shared" si="218"/>
        <v>9350</v>
      </c>
      <c r="P924" s="142">
        <f t="shared" si="219"/>
        <v>0</v>
      </c>
      <c r="Q924" s="142">
        <f t="shared" si="220"/>
        <v>0</v>
      </c>
      <c r="R924" s="142">
        <f t="shared" si="221"/>
        <v>0</v>
      </c>
      <c r="S924" s="142">
        <f t="shared" si="222"/>
        <v>0</v>
      </c>
      <c r="T924" s="142">
        <f t="shared" si="223"/>
        <v>0</v>
      </c>
      <c r="U924" s="60">
        <f t="shared" si="224"/>
        <v>0</v>
      </c>
    </row>
    <row r="925" spans="1:24" x14ac:dyDescent="0.2">
      <c r="A925" s="115"/>
      <c r="B925" s="139" t="s">
        <v>514</v>
      </c>
      <c r="C925" s="140" t="s">
        <v>621</v>
      </c>
      <c r="D925" s="141">
        <v>45882</v>
      </c>
      <c r="E925" s="141">
        <v>45972</v>
      </c>
      <c r="F925" s="57">
        <v>9350</v>
      </c>
      <c r="G925" s="58">
        <f t="shared" si="210"/>
        <v>-50</v>
      </c>
      <c r="H925" s="142">
        <f t="shared" si="211"/>
        <v>0</v>
      </c>
      <c r="I925" s="142">
        <f t="shared" si="212"/>
        <v>0</v>
      </c>
      <c r="J925" s="143">
        <f t="shared" si="213"/>
        <v>0</v>
      </c>
      <c r="K925" s="143">
        <f t="shared" si="214"/>
        <v>0</v>
      </c>
      <c r="L925" s="142">
        <f t="shared" si="215"/>
        <v>0</v>
      </c>
      <c r="M925" s="142">
        <f t="shared" si="216"/>
        <v>9350</v>
      </c>
      <c r="N925" s="142">
        <f t="shared" si="217"/>
        <v>0</v>
      </c>
      <c r="O925" s="59">
        <f t="shared" si="218"/>
        <v>9350</v>
      </c>
      <c r="P925" s="142">
        <f t="shared" si="219"/>
        <v>0</v>
      </c>
      <c r="Q925" s="142">
        <f t="shared" si="220"/>
        <v>0</v>
      </c>
      <c r="R925" s="142">
        <f t="shared" si="221"/>
        <v>0</v>
      </c>
      <c r="S925" s="142">
        <f t="shared" si="222"/>
        <v>0</v>
      </c>
      <c r="T925" s="142">
        <f t="shared" si="223"/>
        <v>0</v>
      </c>
      <c r="U925" s="60">
        <f t="shared" si="224"/>
        <v>0</v>
      </c>
    </row>
    <row r="926" spans="1:24" x14ac:dyDescent="0.2">
      <c r="A926" s="115"/>
      <c r="B926" s="139" t="s">
        <v>514</v>
      </c>
      <c r="C926" s="140" t="s">
        <v>622</v>
      </c>
      <c r="D926" s="141">
        <v>45882</v>
      </c>
      <c r="E926" s="141">
        <v>45972</v>
      </c>
      <c r="F926" s="57">
        <v>24225</v>
      </c>
      <c r="G926" s="58">
        <f t="shared" si="210"/>
        <v>-50</v>
      </c>
      <c r="H926" s="142">
        <f t="shared" si="211"/>
        <v>0</v>
      </c>
      <c r="I926" s="142">
        <f t="shared" si="212"/>
        <v>0</v>
      </c>
      <c r="J926" s="143">
        <f t="shared" si="213"/>
        <v>0</v>
      </c>
      <c r="K926" s="143">
        <f t="shared" si="214"/>
        <v>0</v>
      </c>
      <c r="L926" s="142">
        <f t="shared" si="215"/>
        <v>0</v>
      </c>
      <c r="M926" s="142">
        <f t="shared" si="216"/>
        <v>24225</v>
      </c>
      <c r="N926" s="142">
        <f t="shared" si="217"/>
        <v>0</v>
      </c>
      <c r="O926" s="59">
        <f t="shared" si="218"/>
        <v>24225</v>
      </c>
      <c r="P926" s="142">
        <f t="shared" si="219"/>
        <v>0</v>
      </c>
      <c r="Q926" s="142">
        <f t="shared" si="220"/>
        <v>0</v>
      </c>
      <c r="R926" s="142">
        <f t="shared" si="221"/>
        <v>0</v>
      </c>
      <c r="S926" s="142">
        <f t="shared" si="222"/>
        <v>0</v>
      </c>
      <c r="T926" s="142">
        <f t="shared" si="223"/>
        <v>0</v>
      </c>
      <c r="U926" s="60">
        <f t="shared" si="224"/>
        <v>0</v>
      </c>
    </row>
    <row r="927" spans="1:24" x14ac:dyDescent="0.2">
      <c r="A927" s="115"/>
      <c r="B927" s="139" t="s">
        <v>514</v>
      </c>
      <c r="C927" s="140" t="s">
        <v>690</v>
      </c>
      <c r="D927" s="141">
        <v>45902</v>
      </c>
      <c r="E927" s="141">
        <v>45992</v>
      </c>
      <c r="F927" s="57">
        <v>36337.5</v>
      </c>
      <c r="G927" s="58">
        <f t="shared" si="210"/>
        <v>-30</v>
      </c>
      <c r="H927" s="142">
        <f t="shared" si="211"/>
        <v>0</v>
      </c>
      <c r="I927" s="142">
        <f t="shared" si="212"/>
        <v>0</v>
      </c>
      <c r="J927" s="143">
        <f t="shared" si="213"/>
        <v>0</v>
      </c>
      <c r="K927" s="143">
        <f t="shared" si="214"/>
        <v>0</v>
      </c>
      <c r="L927" s="142">
        <f t="shared" si="215"/>
        <v>0</v>
      </c>
      <c r="M927" s="142">
        <f t="shared" si="216"/>
        <v>0</v>
      </c>
      <c r="N927" s="142">
        <f t="shared" si="217"/>
        <v>36337.5</v>
      </c>
      <c r="O927" s="59">
        <f t="shared" si="218"/>
        <v>36337.5</v>
      </c>
      <c r="P927" s="142">
        <f t="shared" si="219"/>
        <v>0</v>
      </c>
      <c r="Q927" s="142">
        <f t="shared" si="220"/>
        <v>0</v>
      </c>
      <c r="R927" s="142">
        <f t="shared" si="221"/>
        <v>0</v>
      </c>
      <c r="S927" s="142">
        <f t="shared" si="222"/>
        <v>0</v>
      </c>
      <c r="T927" s="142">
        <f t="shared" si="223"/>
        <v>0</v>
      </c>
      <c r="U927" s="60">
        <f t="shared" si="224"/>
        <v>0</v>
      </c>
    </row>
    <row r="928" spans="1:24" x14ac:dyDescent="0.2">
      <c r="A928" s="115"/>
      <c r="B928" s="139" t="s">
        <v>514</v>
      </c>
      <c r="C928" s="140" t="s">
        <v>691</v>
      </c>
      <c r="D928" s="141">
        <v>45902</v>
      </c>
      <c r="E928" s="141">
        <v>45992</v>
      </c>
      <c r="F928" s="57">
        <v>28237.5</v>
      </c>
      <c r="G928" s="58">
        <f t="shared" si="210"/>
        <v>-30</v>
      </c>
      <c r="H928" s="142">
        <f t="shared" si="211"/>
        <v>0</v>
      </c>
      <c r="I928" s="142">
        <f t="shared" si="212"/>
        <v>0</v>
      </c>
      <c r="J928" s="143">
        <f t="shared" si="213"/>
        <v>0</v>
      </c>
      <c r="K928" s="143">
        <f t="shared" si="214"/>
        <v>0</v>
      </c>
      <c r="L928" s="142">
        <f t="shared" si="215"/>
        <v>0</v>
      </c>
      <c r="M928" s="142">
        <f t="shared" si="216"/>
        <v>0</v>
      </c>
      <c r="N928" s="142">
        <f t="shared" si="217"/>
        <v>28237.5</v>
      </c>
      <c r="O928" s="59">
        <f t="shared" si="218"/>
        <v>28237.5</v>
      </c>
      <c r="P928" s="142">
        <f t="shared" si="219"/>
        <v>0</v>
      </c>
      <c r="Q928" s="142">
        <f t="shared" si="220"/>
        <v>0</v>
      </c>
      <c r="R928" s="142">
        <f t="shared" si="221"/>
        <v>0</v>
      </c>
      <c r="S928" s="142">
        <f t="shared" si="222"/>
        <v>0</v>
      </c>
      <c r="T928" s="142">
        <f t="shared" si="223"/>
        <v>0</v>
      </c>
      <c r="U928" s="60">
        <f t="shared" si="224"/>
        <v>0</v>
      </c>
    </row>
    <row r="929" spans="1:21" x14ac:dyDescent="0.2">
      <c r="A929" s="115"/>
      <c r="B929" s="139" t="s">
        <v>514</v>
      </c>
      <c r="C929" s="140" t="s">
        <v>692</v>
      </c>
      <c r="D929" s="141">
        <v>45902</v>
      </c>
      <c r="E929" s="141">
        <v>45992</v>
      </c>
      <c r="F929" s="57">
        <v>43350</v>
      </c>
      <c r="G929" s="58">
        <f t="shared" si="210"/>
        <v>-30</v>
      </c>
      <c r="H929" s="142">
        <f t="shared" si="211"/>
        <v>0</v>
      </c>
      <c r="I929" s="142">
        <f t="shared" si="212"/>
        <v>0</v>
      </c>
      <c r="J929" s="143">
        <f t="shared" si="213"/>
        <v>0</v>
      </c>
      <c r="K929" s="143">
        <f t="shared" si="214"/>
        <v>0</v>
      </c>
      <c r="L929" s="142">
        <f t="shared" si="215"/>
        <v>0</v>
      </c>
      <c r="M929" s="142">
        <f t="shared" si="216"/>
        <v>0</v>
      </c>
      <c r="N929" s="142">
        <f t="shared" si="217"/>
        <v>43350</v>
      </c>
      <c r="O929" s="59">
        <f t="shared" si="218"/>
        <v>43350</v>
      </c>
      <c r="P929" s="142">
        <f t="shared" si="219"/>
        <v>0</v>
      </c>
      <c r="Q929" s="142">
        <f t="shared" si="220"/>
        <v>0</v>
      </c>
      <c r="R929" s="142">
        <f t="shared" si="221"/>
        <v>0</v>
      </c>
      <c r="S929" s="142">
        <f t="shared" si="222"/>
        <v>0</v>
      </c>
      <c r="T929" s="142">
        <f t="shared" si="223"/>
        <v>0</v>
      </c>
      <c r="U929" s="60">
        <f t="shared" si="224"/>
        <v>0</v>
      </c>
    </row>
    <row r="930" spans="1:21" x14ac:dyDescent="0.2">
      <c r="A930" s="115"/>
      <c r="B930" s="139" t="s">
        <v>514</v>
      </c>
      <c r="C930" s="140" t="s">
        <v>831</v>
      </c>
      <c r="D930" s="141">
        <v>45933</v>
      </c>
      <c r="E930" s="141">
        <v>45993</v>
      </c>
      <c r="F930" s="57">
        <v>43598.66</v>
      </c>
      <c r="G930" s="58">
        <f t="shared" si="210"/>
        <v>-29</v>
      </c>
      <c r="H930" s="142">
        <f t="shared" si="211"/>
        <v>0</v>
      </c>
      <c r="I930" s="142">
        <f t="shared" si="212"/>
        <v>0</v>
      </c>
      <c r="J930" s="143">
        <f t="shared" si="213"/>
        <v>0</v>
      </c>
      <c r="K930" s="143">
        <f t="shared" si="214"/>
        <v>0</v>
      </c>
      <c r="L930" s="142">
        <f t="shared" si="215"/>
        <v>0</v>
      </c>
      <c r="M930" s="142">
        <f t="shared" si="216"/>
        <v>0</v>
      </c>
      <c r="N930" s="142">
        <f t="shared" si="217"/>
        <v>43598.66</v>
      </c>
      <c r="O930" s="59">
        <f t="shared" si="218"/>
        <v>43598.66</v>
      </c>
      <c r="P930" s="142">
        <f t="shared" si="219"/>
        <v>0</v>
      </c>
      <c r="Q930" s="142">
        <f t="shared" si="220"/>
        <v>0</v>
      </c>
      <c r="R930" s="142">
        <f t="shared" si="221"/>
        <v>0</v>
      </c>
      <c r="S930" s="142">
        <f t="shared" si="222"/>
        <v>0</v>
      </c>
      <c r="T930" s="142">
        <f t="shared" si="223"/>
        <v>0</v>
      </c>
      <c r="U930" s="60">
        <f t="shared" si="224"/>
        <v>0</v>
      </c>
    </row>
    <row r="931" spans="1:21" x14ac:dyDescent="0.2">
      <c r="A931" s="115"/>
      <c r="B931" s="139" t="s">
        <v>514</v>
      </c>
      <c r="C931" s="140" t="s">
        <v>913</v>
      </c>
      <c r="D931" s="141">
        <v>45985</v>
      </c>
      <c r="E931" s="141">
        <v>46075</v>
      </c>
      <c r="F931" s="57">
        <v>236900</v>
      </c>
      <c r="G931" s="58">
        <f t="shared" si="210"/>
        <v>53</v>
      </c>
      <c r="H931" s="142">
        <f t="shared" si="211"/>
        <v>0</v>
      </c>
      <c r="I931" s="142">
        <f t="shared" si="212"/>
        <v>0</v>
      </c>
      <c r="J931" s="143">
        <f t="shared" si="213"/>
        <v>0</v>
      </c>
      <c r="K931" s="143">
        <f t="shared" si="214"/>
        <v>0</v>
      </c>
      <c r="L931" s="142">
        <f t="shared" si="215"/>
        <v>0</v>
      </c>
      <c r="M931" s="142">
        <f t="shared" si="216"/>
        <v>0</v>
      </c>
      <c r="N931" s="142">
        <f t="shared" si="217"/>
        <v>0</v>
      </c>
      <c r="O931" s="59">
        <f t="shared" si="218"/>
        <v>0</v>
      </c>
      <c r="P931" s="142">
        <f t="shared" si="219"/>
        <v>0</v>
      </c>
      <c r="Q931" s="142">
        <f t="shared" si="220"/>
        <v>236900</v>
      </c>
      <c r="R931" s="142">
        <f t="shared" si="221"/>
        <v>0</v>
      </c>
      <c r="S931" s="142">
        <f t="shared" si="222"/>
        <v>0</v>
      </c>
      <c r="T931" s="142">
        <f t="shared" si="223"/>
        <v>0</v>
      </c>
      <c r="U931" s="60">
        <f t="shared" si="224"/>
        <v>236900</v>
      </c>
    </row>
    <row r="932" spans="1:21" x14ac:dyDescent="0.2">
      <c r="A932" s="115"/>
      <c r="B932" s="139" t="s">
        <v>422</v>
      </c>
      <c r="C932" s="140" t="s">
        <v>456</v>
      </c>
      <c r="D932" s="141">
        <v>45814</v>
      </c>
      <c r="E932" s="141">
        <v>45874</v>
      </c>
      <c r="F932" s="57">
        <v>12535.65</v>
      </c>
      <c r="G932" s="58">
        <f t="shared" si="210"/>
        <v>-148</v>
      </c>
      <c r="H932" s="142">
        <f t="shared" si="211"/>
        <v>0</v>
      </c>
      <c r="I932" s="142">
        <f t="shared" si="212"/>
        <v>0</v>
      </c>
      <c r="J932" s="143">
        <f t="shared" si="213"/>
        <v>12535.65</v>
      </c>
      <c r="K932" s="143">
        <f t="shared" si="214"/>
        <v>0</v>
      </c>
      <c r="L932" s="142">
        <f t="shared" si="215"/>
        <v>0</v>
      </c>
      <c r="M932" s="142">
        <f t="shared" si="216"/>
        <v>0</v>
      </c>
      <c r="N932" s="142">
        <f t="shared" si="217"/>
        <v>0</v>
      </c>
      <c r="O932" s="59">
        <f t="shared" si="218"/>
        <v>12535.65</v>
      </c>
      <c r="P932" s="142">
        <f t="shared" si="219"/>
        <v>0</v>
      </c>
      <c r="Q932" s="142">
        <f t="shared" si="220"/>
        <v>0</v>
      </c>
      <c r="R932" s="142">
        <f t="shared" si="221"/>
        <v>0</v>
      </c>
      <c r="S932" s="142">
        <f t="shared" si="222"/>
        <v>0</v>
      </c>
      <c r="T932" s="142">
        <f t="shared" si="223"/>
        <v>0</v>
      </c>
      <c r="U932" s="60">
        <f t="shared" si="224"/>
        <v>0</v>
      </c>
    </row>
    <row r="933" spans="1:21" x14ac:dyDescent="0.2">
      <c r="A933" s="115"/>
      <c r="B933" s="139" t="s">
        <v>422</v>
      </c>
      <c r="C933" s="140" t="s">
        <v>997</v>
      </c>
      <c r="D933" s="141">
        <v>46001</v>
      </c>
      <c r="E933" s="141">
        <v>46061</v>
      </c>
      <c r="F933" s="57">
        <v>84808</v>
      </c>
      <c r="G933" s="58">
        <f t="shared" si="210"/>
        <v>39</v>
      </c>
      <c r="H933" s="142">
        <f t="shared" si="211"/>
        <v>0</v>
      </c>
      <c r="I933" s="142">
        <f t="shared" si="212"/>
        <v>0</v>
      </c>
      <c r="J933" s="143">
        <f t="shared" si="213"/>
        <v>0</v>
      </c>
      <c r="K933" s="143">
        <f t="shared" si="214"/>
        <v>0</v>
      </c>
      <c r="L933" s="142">
        <f t="shared" si="215"/>
        <v>0</v>
      </c>
      <c r="M933" s="142">
        <f t="shared" si="216"/>
        <v>0</v>
      </c>
      <c r="N933" s="142">
        <f t="shared" si="217"/>
        <v>0</v>
      </c>
      <c r="O933" s="59">
        <f t="shared" si="218"/>
        <v>0</v>
      </c>
      <c r="P933" s="142">
        <f t="shared" si="219"/>
        <v>0</v>
      </c>
      <c r="Q933" s="142">
        <f t="shared" si="220"/>
        <v>84808</v>
      </c>
      <c r="R933" s="142">
        <f t="shared" si="221"/>
        <v>0</v>
      </c>
      <c r="S933" s="142">
        <f t="shared" si="222"/>
        <v>0</v>
      </c>
      <c r="T933" s="142">
        <f t="shared" si="223"/>
        <v>0</v>
      </c>
      <c r="U933" s="60">
        <f t="shared" si="224"/>
        <v>84808</v>
      </c>
    </row>
    <row r="934" spans="1:21" x14ac:dyDescent="0.2">
      <c r="A934" s="115"/>
      <c r="B934" s="139" t="s">
        <v>422</v>
      </c>
      <c r="C934" s="140" t="s">
        <v>998</v>
      </c>
      <c r="D934" s="141">
        <v>46014</v>
      </c>
      <c r="E934" s="141">
        <v>46074</v>
      </c>
      <c r="F934" s="57">
        <v>11935</v>
      </c>
      <c r="G934" s="58">
        <f t="shared" si="210"/>
        <v>52</v>
      </c>
      <c r="H934" s="142">
        <f t="shared" si="211"/>
        <v>0</v>
      </c>
      <c r="I934" s="142">
        <f t="shared" si="212"/>
        <v>0</v>
      </c>
      <c r="J934" s="143">
        <f t="shared" si="213"/>
        <v>0</v>
      </c>
      <c r="K934" s="143">
        <f t="shared" si="214"/>
        <v>0</v>
      </c>
      <c r="L934" s="142">
        <f t="shared" si="215"/>
        <v>0</v>
      </c>
      <c r="M934" s="142">
        <f t="shared" si="216"/>
        <v>0</v>
      </c>
      <c r="N934" s="142">
        <f t="shared" si="217"/>
        <v>0</v>
      </c>
      <c r="O934" s="59">
        <f t="shared" si="218"/>
        <v>0</v>
      </c>
      <c r="P934" s="142">
        <f t="shared" si="219"/>
        <v>0</v>
      </c>
      <c r="Q934" s="142">
        <f t="shared" si="220"/>
        <v>11935</v>
      </c>
      <c r="R934" s="142">
        <f t="shared" si="221"/>
        <v>0</v>
      </c>
      <c r="S934" s="142">
        <f t="shared" si="222"/>
        <v>0</v>
      </c>
      <c r="T934" s="142">
        <f t="shared" si="223"/>
        <v>0</v>
      </c>
      <c r="U934" s="60">
        <f t="shared" si="224"/>
        <v>11935</v>
      </c>
    </row>
    <row r="935" spans="1:21" x14ac:dyDescent="0.2">
      <c r="A935" s="115"/>
      <c r="B935" s="139" t="s">
        <v>422</v>
      </c>
      <c r="C935" s="140" t="s">
        <v>999</v>
      </c>
      <c r="D935" s="141">
        <v>46014</v>
      </c>
      <c r="E935" s="141">
        <v>46074</v>
      </c>
      <c r="F935" s="57">
        <v>5179</v>
      </c>
      <c r="G935" s="58">
        <f t="shared" si="210"/>
        <v>52</v>
      </c>
      <c r="H935" s="142">
        <f t="shared" si="211"/>
        <v>0</v>
      </c>
      <c r="I935" s="142">
        <f t="shared" si="212"/>
        <v>0</v>
      </c>
      <c r="J935" s="143">
        <f t="shared" si="213"/>
        <v>0</v>
      </c>
      <c r="K935" s="143">
        <f t="shared" si="214"/>
        <v>0</v>
      </c>
      <c r="L935" s="142">
        <f t="shared" si="215"/>
        <v>0</v>
      </c>
      <c r="M935" s="142">
        <f t="shared" si="216"/>
        <v>0</v>
      </c>
      <c r="N935" s="142">
        <f t="shared" si="217"/>
        <v>0</v>
      </c>
      <c r="O935" s="59">
        <f t="shared" si="218"/>
        <v>0</v>
      </c>
      <c r="P935" s="142">
        <f t="shared" si="219"/>
        <v>0</v>
      </c>
      <c r="Q935" s="142">
        <f t="shared" si="220"/>
        <v>5179</v>
      </c>
      <c r="R935" s="142">
        <f t="shared" si="221"/>
        <v>0</v>
      </c>
      <c r="S935" s="142">
        <f t="shared" si="222"/>
        <v>0</v>
      </c>
      <c r="T935" s="142">
        <f t="shared" si="223"/>
        <v>0</v>
      </c>
      <c r="U935" s="60">
        <f t="shared" si="224"/>
        <v>5179</v>
      </c>
    </row>
    <row r="936" spans="1:21" x14ac:dyDescent="0.2">
      <c r="A936" s="115"/>
      <c r="B936" s="139" t="s">
        <v>501</v>
      </c>
      <c r="C936" s="140" t="s">
        <v>282</v>
      </c>
      <c r="D936" s="141">
        <v>44095</v>
      </c>
      <c r="E936" s="141">
        <v>44185</v>
      </c>
      <c r="F936" s="57">
        <v>28730</v>
      </c>
      <c r="G936" s="58">
        <f t="shared" si="210"/>
        <v>-1837</v>
      </c>
      <c r="H936" s="142">
        <f t="shared" si="211"/>
        <v>28730</v>
      </c>
      <c r="I936" s="142">
        <f t="shared" si="212"/>
        <v>0</v>
      </c>
      <c r="J936" s="143">
        <f t="shared" si="213"/>
        <v>0</v>
      </c>
      <c r="K936" s="143">
        <f t="shared" si="214"/>
        <v>0</v>
      </c>
      <c r="L936" s="142">
        <f t="shared" si="215"/>
        <v>0</v>
      </c>
      <c r="M936" s="142">
        <f t="shared" si="216"/>
        <v>0</v>
      </c>
      <c r="N936" s="142">
        <f t="shared" si="217"/>
        <v>0</v>
      </c>
      <c r="O936" s="59">
        <f t="shared" si="218"/>
        <v>28730</v>
      </c>
      <c r="P936" s="142">
        <f t="shared" si="219"/>
        <v>0</v>
      </c>
      <c r="Q936" s="142">
        <f t="shared" si="220"/>
        <v>0</v>
      </c>
      <c r="R936" s="142">
        <f t="shared" si="221"/>
        <v>0</v>
      </c>
      <c r="S936" s="142">
        <f t="shared" si="222"/>
        <v>0</v>
      </c>
      <c r="T936" s="142">
        <f t="shared" si="223"/>
        <v>0</v>
      </c>
      <c r="U936" s="60">
        <f t="shared" si="224"/>
        <v>0</v>
      </c>
    </row>
    <row r="937" spans="1:21" x14ac:dyDescent="0.2">
      <c r="A937" s="115"/>
      <c r="B937" s="139" t="s">
        <v>501</v>
      </c>
      <c r="C937" s="140" t="s">
        <v>283</v>
      </c>
      <c r="D937" s="141">
        <v>44111</v>
      </c>
      <c r="E937" s="141">
        <v>44201</v>
      </c>
      <c r="F937" s="57">
        <v>14700</v>
      </c>
      <c r="G937" s="58">
        <f t="shared" si="210"/>
        <v>-1821</v>
      </c>
      <c r="H937" s="142">
        <f t="shared" si="211"/>
        <v>14700</v>
      </c>
      <c r="I937" s="142">
        <f t="shared" si="212"/>
        <v>0</v>
      </c>
      <c r="J937" s="143">
        <f t="shared" si="213"/>
        <v>0</v>
      </c>
      <c r="K937" s="143">
        <f t="shared" si="214"/>
        <v>0</v>
      </c>
      <c r="L937" s="142">
        <f t="shared" si="215"/>
        <v>0</v>
      </c>
      <c r="M937" s="142">
        <f t="shared" si="216"/>
        <v>0</v>
      </c>
      <c r="N937" s="142">
        <f t="shared" si="217"/>
        <v>0</v>
      </c>
      <c r="O937" s="59">
        <f t="shared" si="218"/>
        <v>14700</v>
      </c>
      <c r="P937" s="142">
        <f t="shared" si="219"/>
        <v>0</v>
      </c>
      <c r="Q937" s="142">
        <f t="shared" si="220"/>
        <v>0</v>
      </c>
      <c r="R937" s="142">
        <f t="shared" si="221"/>
        <v>0</v>
      </c>
      <c r="S937" s="142">
        <f t="shared" si="222"/>
        <v>0</v>
      </c>
      <c r="T937" s="142">
        <f t="shared" si="223"/>
        <v>0</v>
      </c>
      <c r="U937" s="60">
        <f t="shared" si="224"/>
        <v>0</v>
      </c>
    </row>
    <row r="938" spans="1:21" x14ac:dyDescent="0.2">
      <c r="A938" s="115"/>
      <c r="B938" s="139" t="s">
        <v>501</v>
      </c>
      <c r="C938" s="140" t="s">
        <v>284</v>
      </c>
      <c r="D938" s="141">
        <v>44146</v>
      </c>
      <c r="E938" s="141">
        <v>44236</v>
      </c>
      <c r="F938" s="57">
        <v>16700</v>
      </c>
      <c r="G938" s="58">
        <f t="shared" si="210"/>
        <v>-1786</v>
      </c>
      <c r="H938" s="142">
        <f t="shared" si="211"/>
        <v>16700</v>
      </c>
      <c r="I938" s="142">
        <f t="shared" si="212"/>
        <v>0</v>
      </c>
      <c r="J938" s="143">
        <f t="shared" si="213"/>
        <v>0</v>
      </c>
      <c r="K938" s="143">
        <f t="shared" si="214"/>
        <v>0</v>
      </c>
      <c r="L938" s="142">
        <f t="shared" si="215"/>
        <v>0</v>
      </c>
      <c r="M938" s="142">
        <f t="shared" si="216"/>
        <v>0</v>
      </c>
      <c r="N938" s="142">
        <f t="shared" si="217"/>
        <v>0</v>
      </c>
      <c r="O938" s="59">
        <f t="shared" si="218"/>
        <v>16700</v>
      </c>
      <c r="P938" s="142">
        <f t="shared" si="219"/>
        <v>0</v>
      </c>
      <c r="Q938" s="142">
        <f t="shared" si="220"/>
        <v>0</v>
      </c>
      <c r="R938" s="142">
        <f t="shared" si="221"/>
        <v>0</v>
      </c>
      <c r="S938" s="142">
        <f t="shared" si="222"/>
        <v>0</v>
      </c>
      <c r="T938" s="142">
        <f t="shared" si="223"/>
        <v>0</v>
      </c>
      <c r="U938" s="60">
        <f t="shared" si="224"/>
        <v>0</v>
      </c>
    </row>
    <row r="939" spans="1:21" x14ac:dyDescent="0.2">
      <c r="A939" s="115"/>
      <c r="B939" s="139" t="s">
        <v>501</v>
      </c>
      <c r="C939" s="140" t="s">
        <v>285</v>
      </c>
      <c r="D939" s="141">
        <v>44235</v>
      </c>
      <c r="E939" s="141">
        <v>44325</v>
      </c>
      <c r="F939" s="57">
        <v>30700</v>
      </c>
      <c r="G939" s="58">
        <f t="shared" si="210"/>
        <v>-1697</v>
      </c>
      <c r="H939" s="142">
        <f t="shared" si="211"/>
        <v>30700</v>
      </c>
      <c r="I939" s="142">
        <f t="shared" si="212"/>
        <v>0</v>
      </c>
      <c r="J939" s="143">
        <f t="shared" si="213"/>
        <v>0</v>
      </c>
      <c r="K939" s="143">
        <f t="shared" si="214"/>
        <v>0</v>
      </c>
      <c r="L939" s="142">
        <f t="shared" si="215"/>
        <v>0</v>
      </c>
      <c r="M939" s="142">
        <f t="shared" si="216"/>
        <v>0</v>
      </c>
      <c r="N939" s="142">
        <f t="shared" si="217"/>
        <v>0</v>
      </c>
      <c r="O939" s="59">
        <f t="shared" si="218"/>
        <v>30700</v>
      </c>
      <c r="P939" s="142">
        <f t="shared" si="219"/>
        <v>0</v>
      </c>
      <c r="Q939" s="142">
        <f t="shared" si="220"/>
        <v>0</v>
      </c>
      <c r="R939" s="142">
        <f t="shared" si="221"/>
        <v>0</v>
      </c>
      <c r="S939" s="142">
        <f t="shared" si="222"/>
        <v>0</v>
      </c>
      <c r="T939" s="142">
        <f t="shared" si="223"/>
        <v>0</v>
      </c>
      <c r="U939" s="60">
        <f t="shared" si="224"/>
        <v>0</v>
      </c>
    </row>
    <row r="940" spans="1:21" x14ac:dyDescent="0.2">
      <c r="A940" s="115"/>
      <c r="B940" s="139" t="s">
        <v>501</v>
      </c>
      <c r="C940" s="140" t="s">
        <v>286</v>
      </c>
      <c r="D940" s="141">
        <v>44251</v>
      </c>
      <c r="E940" s="141">
        <v>44341</v>
      </c>
      <c r="F940" s="57">
        <v>24200</v>
      </c>
      <c r="G940" s="58">
        <f t="shared" si="210"/>
        <v>-1681</v>
      </c>
      <c r="H940" s="142">
        <f t="shared" si="211"/>
        <v>24200</v>
      </c>
      <c r="I940" s="142">
        <f t="shared" si="212"/>
        <v>0</v>
      </c>
      <c r="J940" s="143">
        <f t="shared" si="213"/>
        <v>0</v>
      </c>
      <c r="K940" s="143">
        <f t="shared" si="214"/>
        <v>0</v>
      </c>
      <c r="L940" s="142">
        <f t="shared" si="215"/>
        <v>0</v>
      </c>
      <c r="M940" s="142">
        <f t="shared" si="216"/>
        <v>0</v>
      </c>
      <c r="N940" s="142">
        <f t="shared" si="217"/>
        <v>0</v>
      </c>
      <c r="O940" s="59">
        <f t="shared" si="218"/>
        <v>24200</v>
      </c>
      <c r="P940" s="142">
        <f t="shared" si="219"/>
        <v>0</v>
      </c>
      <c r="Q940" s="142">
        <f t="shared" si="220"/>
        <v>0</v>
      </c>
      <c r="R940" s="142">
        <f t="shared" si="221"/>
        <v>0</v>
      </c>
      <c r="S940" s="142">
        <f t="shared" si="222"/>
        <v>0</v>
      </c>
      <c r="T940" s="142">
        <f t="shared" si="223"/>
        <v>0</v>
      </c>
      <c r="U940" s="60">
        <f t="shared" si="224"/>
        <v>0</v>
      </c>
    </row>
    <row r="941" spans="1:21" x14ac:dyDescent="0.2">
      <c r="A941" s="115"/>
      <c r="B941" s="139" t="s">
        <v>501</v>
      </c>
      <c r="C941" s="140" t="s">
        <v>287</v>
      </c>
      <c r="D941" s="141">
        <v>44253</v>
      </c>
      <c r="E941" s="141">
        <v>44343</v>
      </c>
      <c r="F941" s="57">
        <v>16700</v>
      </c>
      <c r="G941" s="58">
        <f t="shared" si="210"/>
        <v>-1679</v>
      </c>
      <c r="H941" s="142">
        <f t="shared" si="211"/>
        <v>16700</v>
      </c>
      <c r="I941" s="142">
        <f t="shared" si="212"/>
        <v>0</v>
      </c>
      <c r="J941" s="143">
        <f t="shared" si="213"/>
        <v>0</v>
      </c>
      <c r="K941" s="143">
        <f t="shared" si="214"/>
        <v>0</v>
      </c>
      <c r="L941" s="142">
        <f t="shared" si="215"/>
        <v>0</v>
      </c>
      <c r="M941" s="142">
        <f t="shared" si="216"/>
        <v>0</v>
      </c>
      <c r="N941" s="142">
        <f t="shared" si="217"/>
        <v>0</v>
      </c>
      <c r="O941" s="59">
        <f t="shared" si="218"/>
        <v>16700</v>
      </c>
      <c r="P941" s="142">
        <f t="shared" si="219"/>
        <v>0</v>
      </c>
      <c r="Q941" s="142">
        <f t="shared" si="220"/>
        <v>0</v>
      </c>
      <c r="R941" s="142">
        <f t="shared" si="221"/>
        <v>0</v>
      </c>
      <c r="S941" s="142">
        <f t="shared" si="222"/>
        <v>0</v>
      </c>
      <c r="T941" s="142">
        <f t="shared" si="223"/>
        <v>0</v>
      </c>
      <c r="U941" s="60">
        <f t="shared" si="224"/>
        <v>0</v>
      </c>
    </row>
    <row r="942" spans="1:21" x14ac:dyDescent="0.2">
      <c r="A942" s="115"/>
      <c r="B942" s="139" t="s">
        <v>501</v>
      </c>
      <c r="C942" s="140" t="s">
        <v>288</v>
      </c>
      <c r="D942" s="141">
        <v>44284</v>
      </c>
      <c r="E942" s="141">
        <v>44344</v>
      </c>
      <c r="F942" s="57">
        <v>24900</v>
      </c>
      <c r="G942" s="58">
        <f t="shared" si="210"/>
        <v>-1678</v>
      </c>
      <c r="H942" s="142">
        <f t="shared" si="211"/>
        <v>24900</v>
      </c>
      <c r="I942" s="142">
        <f t="shared" si="212"/>
        <v>0</v>
      </c>
      <c r="J942" s="143">
        <f t="shared" si="213"/>
        <v>0</v>
      </c>
      <c r="K942" s="143">
        <f t="shared" si="214"/>
        <v>0</v>
      </c>
      <c r="L942" s="142">
        <f t="shared" si="215"/>
        <v>0</v>
      </c>
      <c r="M942" s="142">
        <f t="shared" si="216"/>
        <v>0</v>
      </c>
      <c r="N942" s="142">
        <f t="shared" si="217"/>
        <v>0</v>
      </c>
      <c r="O942" s="59">
        <f t="shared" si="218"/>
        <v>24900</v>
      </c>
      <c r="P942" s="142">
        <f t="shared" si="219"/>
        <v>0</v>
      </c>
      <c r="Q942" s="142">
        <f t="shared" si="220"/>
        <v>0</v>
      </c>
      <c r="R942" s="142">
        <f t="shared" si="221"/>
        <v>0</v>
      </c>
      <c r="S942" s="142">
        <f t="shared" si="222"/>
        <v>0</v>
      </c>
      <c r="T942" s="142">
        <f t="shared" si="223"/>
        <v>0</v>
      </c>
      <c r="U942" s="60">
        <f t="shared" si="224"/>
        <v>0</v>
      </c>
    </row>
    <row r="943" spans="1:21" x14ac:dyDescent="0.2">
      <c r="A943" s="115"/>
      <c r="B943" s="139" t="s">
        <v>501</v>
      </c>
      <c r="C943" s="140" t="s">
        <v>289</v>
      </c>
      <c r="D943" s="141">
        <v>44267</v>
      </c>
      <c r="E943" s="141">
        <v>44357</v>
      </c>
      <c r="F943" s="57">
        <v>14000</v>
      </c>
      <c r="G943" s="58">
        <f t="shared" si="210"/>
        <v>-1665</v>
      </c>
      <c r="H943" s="142">
        <f t="shared" si="211"/>
        <v>14000</v>
      </c>
      <c r="I943" s="142">
        <f t="shared" si="212"/>
        <v>0</v>
      </c>
      <c r="J943" s="143">
        <f t="shared" si="213"/>
        <v>0</v>
      </c>
      <c r="K943" s="143">
        <f t="shared" si="214"/>
        <v>0</v>
      </c>
      <c r="L943" s="142">
        <f t="shared" si="215"/>
        <v>0</v>
      </c>
      <c r="M943" s="142">
        <f t="shared" si="216"/>
        <v>0</v>
      </c>
      <c r="N943" s="142">
        <f t="shared" si="217"/>
        <v>0</v>
      </c>
      <c r="O943" s="59">
        <f t="shared" si="218"/>
        <v>14000</v>
      </c>
      <c r="P943" s="142">
        <f t="shared" si="219"/>
        <v>0</v>
      </c>
      <c r="Q943" s="142">
        <f t="shared" si="220"/>
        <v>0</v>
      </c>
      <c r="R943" s="142">
        <f t="shared" si="221"/>
        <v>0</v>
      </c>
      <c r="S943" s="142">
        <f t="shared" si="222"/>
        <v>0</v>
      </c>
      <c r="T943" s="142">
        <f t="shared" si="223"/>
        <v>0</v>
      </c>
      <c r="U943" s="60">
        <f t="shared" si="224"/>
        <v>0</v>
      </c>
    </row>
    <row r="944" spans="1:21" x14ac:dyDescent="0.2">
      <c r="A944" s="115"/>
      <c r="B944" s="139" t="s">
        <v>501</v>
      </c>
      <c r="C944" s="140" t="s">
        <v>290</v>
      </c>
      <c r="D944" s="141">
        <v>44315</v>
      </c>
      <c r="E944" s="141">
        <v>44375</v>
      </c>
      <c r="F944" s="57">
        <v>15370</v>
      </c>
      <c r="G944" s="58">
        <f t="shared" si="210"/>
        <v>-1647</v>
      </c>
      <c r="H944" s="142">
        <f t="shared" si="211"/>
        <v>15370</v>
      </c>
      <c r="I944" s="142">
        <f t="shared" si="212"/>
        <v>0</v>
      </c>
      <c r="J944" s="143">
        <f t="shared" si="213"/>
        <v>0</v>
      </c>
      <c r="K944" s="143">
        <f t="shared" si="214"/>
        <v>0</v>
      </c>
      <c r="L944" s="142">
        <f t="shared" si="215"/>
        <v>0</v>
      </c>
      <c r="M944" s="142">
        <f t="shared" si="216"/>
        <v>0</v>
      </c>
      <c r="N944" s="142">
        <f t="shared" si="217"/>
        <v>0</v>
      </c>
      <c r="O944" s="59">
        <f t="shared" si="218"/>
        <v>15370</v>
      </c>
      <c r="P944" s="142">
        <f t="shared" si="219"/>
        <v>0</v>
      </c>
      <c r="Q944" s="142">
        <f t="shared" si="220"/>
        <v>0</v>
      </c>
      <c r="R944" s="142">
        <f t="shared" si="221"/>
        <v>0</v>
      </c>
      <c r="S944" s="142">
        <f t="shared" si="222"/>
        <v>0</v>
      </c>
      <c r="T944" s="142">
        <f t="shared" si="223"/>
        <v>0</v>
      </c>
      <c r="U944" s="60">
        <f t="shared" si="224"/>
        <v>0</v>
      </c>
    </row>
    <row r="945" spans="1:21" x14ac:dyDescent="0.2">
      <c r="A945" s="115"/>
      <c r="B945" s="139" t="s">
        <v>566</v>
      </c>
      <c r="C945" s="140" t="s">
        <v>1000</v>
      </c>
      <c r="D945" s="141">
        <v>46014</v>
      </c>
      <c r="E945" s="141">
        <v>46044</v>
      </c>
      <c r="F945" s="57">
        <v>5948</v>
      </c>
      <c r="G945" s="58">
        <f t="shared" si="210"/>
        <v>22</v>
      </c>
      <c r="H945" s="142">
        <f t="shared" si="211"/>
        <v>0</v>
      </c>
      <c r="I945" s="142">
        <f t="shared" si="212"/>
        <v>0</v>
      </c>
      <c r="J945" s="143">
        <f t="shared" si="213"/>
        <v>0</v>
      </c>
      <c r="K945" s="143">
        <f t="shared" si="214"/>
        <v>0</v>
      </c>
      <c r="L945" s="142">
        <f t="shared" si="215"/>
        <v>0</v>
      </c>
      <c r="M945" s="142">
        <f t="shared" si="216"/>
        <v>0</v>
      </c>
      <c r="N945" s="142">
        <f t="shared" si="217"/>
        <v>0</v>
      </c>
      <c r="O945" s="59">
        <f t="shared" si="218"/>
        <v>0</v>
      </c>
      <c r="P945" s="142">
        <f t="shared" si="219"/>
        <v>5948</v>
      </c>
      <c r="Q945" s="142">
        <f t="shared" si="220"/>
        <v>0</v>
      </c>
      <c r="R945" s="142">
        <f t="shared" si="221"/>
        <v>0</v>
      </c>
      <c r="S945" s="142">
        <f t="shared" si="222"/>
        <v>0</v>
      </c>
      <c r="T945" s="142">
        <f t="shared" si="223"/>
        <v>0</v>
      </c>
      <c r="U945" s="60">
        <f t="shared" si="224"/>
        <v>5948</v>
      </c>
    </row>
    <row r="946" spans="1:21" x14ac:dyDescent="0.2">
      <c r="A946" s="115"/>
      <c r="B946" s="139" t="s">
        <v>566</v>
      </c>
      <c r="C946" s="140" t="s">
        <v>914</v>
      </c>
      <c r="D946" s="141">
        <v>45989</v>
      </c>
      <c r="E946" s="141">
        <v>46049</v>
      </c>
      <c r="F946" s="57">
        <v>4379.33</v>
      </c>
      <c r="G946" s="58">
        <f t="shared" si="210"/>
        <v>27</v>
      </c>
      <c r="H946" s="142">
        <f t="shared" si="211"/>
        <v>0</v>
      </c>
      <c r="I946" s="142">
        <f t="shared" si="212"/>
        <v>0</v>
      </c>
      <c r="J946" s="143">
        <f t="shared" si="213"/>
        <v>0</v>
      </c>
      <c r="K946" s="143">
        <f t="shared" si="214"/>
        <v>0</v>
      </c>
      <c r="L946" s="142">
        <f t="shared" si="215"/>
        <v>0</v>
      </c>
      <c r="M946" s="142">
        <f t="shared" si="216"/>
        <v>0</v>
      </c>
      <c r="N946" s="142">
        <f t="shared" si="217"/>
        <v>0</v>
      </c>
      <c r="O946" s="59">
        <f t="shared" si="218"/>
        <v>0</v>
      </c>
      <c r="P946" s="142">
        <f t="shared" si="219"/>
        <v>4379.33</v>
      </c>
      <c r="Q946" s="142">
        <f t="shared" si="220"/>
        <v>0</v>
      </c>
      <c r="R946" s="142">
        <f t="shared" si="221"/>
        <v>0</v>
      </c>
      <c r="S946" s="142">
        <f t="shared" si="222"/>
        <v>0</v>
      </c>
      <c r="T946" s="142">
        <f t="shared" si="223"/>
        <v>0</v>
      </c>
      <c r="U946" s="60">
        <f t="shared" si="224"/>
        <v>4379.33</v>
      </c>
    </row>
    <row r="947" spans="1:21" x14ac:dyDescent="0.2">
      <c r="A947" s="115"/>
      <c r="B947" s="139" t="s">
        <v>566</v>
      </c>
      <c r="C947" s="140" t="s">
        <v>914</v>
      </c>
      <c r="D947" s="141">
        <v>45989</v>
      </c>
      <c r="E947" s="141">
        <v>46079</v>
      </c>
      <c r="F947" s="57">
        <v>4379.34</v>
      </c>
      <c r="G947" s="58">
        <f t="shared" si="210"/>
        <v>57</v>
      </c>
      <c r="H947" s="142">
        <f t="shared" si="211"/>
        <v>0</v>
      </c>
      <c r="I947" s="142">
        <f t="shared" si="212"/>
        <v>0</v>
      </c>
      <c r="J947" s="143">
        <f t="shared" si="213"/>
        <v>0</v>
      </c>
      <c r="K947" s="143">
        <f t="shared" si="214"/>
        <v>0</v>
      </c>
      <c r="L947" s="142">
        <f t="shared" si="215"/>
        <v>0</v>
      </c>
      <c r="M947" s="142">
        <f t="shared" si="216"/>
        <v>0</v>
      </c>
      <c r="N947" s="142">
        <f t="shared" si="217"/>
        <v>0</v>
      </c>
      <c r="O947" s="59">
        <f t="shared" si="218"/>
        <v>0</v>
      </c>
      <c r="P947" s="142">
        <f t="shared" si="219"/>
        <v>0</v>
      </c>
      <c r="Q947" s="142">
        <f t="shared" si="220"/>
        <v>4379.34</v>
      </c>
      <c r="R947" s="142">
        <f t="shared" si="221"/>
        <v>0</v>
      </c>
      <c r="S947" s="142">
        <f t="shared" si="222"/>
        <v>0</v>
      </c>
      <c r="T947" s="142">
        <f t="shared" si="223"/>
        <v>0</v>
      </c>
      <c r="U947" s="60">
        <f t="shared" si="224"/>
        <v>4379.34</v>
      </c>
    </row>
    <row r="948" spans="1:21" x14ac:dyDescent="0.2">
      <c r="A948" s="115"/>
      <c r="B948" s="139" t="s">
        <v>70</v>
      </c>
      <c r="C948" s="140" t="s">
        <v>291</v>
      </c>
      <c r="D948" s="141">
        <v>42703</v>
      </c>
      <c r="E948" s="141">
        <v>43257</v>
      </c>
      <c r="F948" s="57">
        <v>41990</v>
      </c>
      <c r="G948" s="58">
        <f t="shared" si="210"/>
        <v>-2765</v>
      </c>
      <c r="H948" s="142">
        <f t="shared" si="211"/>
        <v>41990</v>
      </c>
      <c r="I948" s="142">
        <f t="shared" si="212"/>
        <v>0</v>
      </c>
      <c r="J948" s="143">
        <f t="shared" si="213"/>
        <v>0</v>
      </c>
      <c r="K948" s="143">
        <f t="shared" si="214"/>
        <v>0</v>
      </c>
      <c r="L948" s="142">
        <f t="shared" si="215"/>
        <v>0</v>
      </c>
      <c r="M948" s="142">
        <f t="shared" si="216"/>
        <v>0</v>
      </c>
      <c r="N948" s="142">
        <f t="shared" si="217"/>
        <v>0</v>
      </c>
      <c r="O948" s="59">
        <f t="shared" si="218"/>
        <v>41990</v>
      </c>
      <c r="P948" s="142">
        <f t="shared" si="219"/>
        <v>0</v>
      </c>
      <c r="Q948" s="142">
        <f t="shared" si="220"/>
        <v>0</v>
      </c>
      <c r="R948" s="142">
        <f t="shared" si="221"/>
        <v>0</v>
      </c>
      <c r="S948" s="142">
        <f t="shared" si="222"/>
        <v>0</v>
      </c>
      <c r="T948" s="142">
        <f t="shared" si="223"/>
        <v>0</v>
      </c>
      <c r="U948" s="60">
        <f t="shared" si="224"/>
        <v>0</v>
      </c>
    </row>
    <row r="949" spans="1:21" x14ac:dyDescent="0.2">
      <c r="A949" s="115"/>
      <c r="B949" s="139" t="s">
        <v>323</v>
      </c>
      <c r="C949" s="140" t="s">
        <v>394</v>
      </c>
      <c r="D949" s="141">
        <v>45737</v>
      </c>
      <c r="E949" s="141">
        <v>45773</v>
      </c>
      <c r="F949" s="57">
        <v>70000</v>
      </c>
      <c r="G949" s="58">
        <f t="shared" si="210"/>
        <v>-249</v>
      </c>
      <c r="H949" s="142">
        <f t="shared" si="211"/>
        <v>70000</v>
      </c>
      <c r="I949" s="142">
        <f t="shared" si="212"/>
        <v>0</v>
      </c>
      <c r="J949" s="143">
        <f t="shared" si="213"/>
        <v>0</v>
      </c>
      <c r="K949" s="143">
        <f t="shared" si="214"/>
        <v>0</v>
      </c>
      <c r="L949" s="142">
        <f t="shared" si="215"/>
        <v>0</v>
      </c>
      <c r="M949" s="142">
        <f t="shared" si="216"/>
        <v>0</v>
      </c>
      <c r="N949" s="142">
        <f t="shared" si="217"/>
        <v>0</v>
      </c>
      <c r="O949" s="59">
        <f t="shared" si="218"/>
        <v>70000</v>
      </c>
      <c r="P949" s="142">
        <f t="shared" si="219"/>
        <v>0</v>
      </c>
      <c r="Q949" s="142">
        <f t="shared" si="220"/>
        <v>0</v>
      </c>
      <c r="R949" s="142">
        <f t="shared" si="221"/>
        <v>0</v>
      </c>
      <c r="S949" s="142">
        <f t="shared" si="222"/>
        <v>0</v>
      </c>
      <c r="T949" s="142">
        <f t="shared" si="223"/>
        <v>0</v>
      </c>
      <c r="U949" s="60">
        <f t="shared" si="224"/>
        <v>0</v>
      </c>
    </row>
    <row r="950" spans="1:21" x14ac:dyDescent="0.2">
      <c r="A950" s="115"/>
      <c r="B950" s="139" t="s">
        <v>457</v>
      </c>
      <c r="C950" s="140" t="s">
        <v>458</v>
      </c>
      <c r="D950" s="141">
        <v>45826</v>
      </c>
      <c r="E950" s="141">
        <v>45889</v>
      </c>
      <c r="F950" s="57">
        <v>93525</v>
      </c>
      <c r="G950" s="58">
        <f t="shared" si="210"/>
        <v>-133</v>
      </c>
      <c r="H950" s="142">
        <f t="shared" si="211"/>
        <v>0</v>
      </c>
      <c r="I950" s="142">
        <f t="shared" si="212"/>
        <v>0</v>
      </c>
      <c r="J950" s="143">
        <f t="shared" si="213"/>
        <v>93525</v>
      </c>
      <c r="K950" s="143">
        <f t="shared" si="214"/>
        <v>0</v>
      </c>
      <c r="L950" s="142">
        <f t="shared" si="215"/>
        <v>0</v>
      </c>
      <c r="M950" s="142">
        <f t="shared" si="216"/>
        <v>0</v>
      </c>
      <c r="N950" s="142">
        <f t="shared" si="217"/>
        <v>0</v>
      </c>
      <c r="O950" s="59">
        <f t="shared" si="218"/>
        <v>93525</v>
      </c>
      <c r="P950" s="142">
        <f t="shared" si="219"/>
        <v>0</v>
      </c>
      <c r="Q950" s="142">
        <f t="shared" si="220"/>
        <v>0</v>
      </c>
      <c r="R950" s="142">
        <f t="shared" si="221"/>
        <v>0</v>
      </c>
      <c r="S950" s="142">
        <f t="shared" si="222"/>
        <v>0</v>
      </c>
      <c r="T950" s="142">
        <f t="shared" si="223"/>
        <v>0</v>
      </c>
      <c r="U950" s="60">
        <f t="shared" si="224"/>
        <v>0</v>
      </c>
    </row>
    <row r="951" spans="1:21" x14ac:dyDescent="0.2">
      <c r="A951" s="115"/>
      <c r="B951" s="139" t="s">
        <v>506</v>
      </c>
      <c r="C951" s="140" t="s">
        <v>292</v>
      </c>
      <c r="D951" s="141">
        <v>40064</v>
      </c>
      <c r="E951" s="141">
        <v>40126</v>
      </c>
      <c r="F951" s="57">
        <v>2200</v>
      </c>
      <c r="G951" s="58">
        <f t="shared" si="210"/>
        <v>-5896</v>
      </c>
      <c r="H951" s="142">
        <f t="shared" si="211"/>
        <v>2200</v>
      </c>
      <c r="I951" s="142">
        <f t="shared" si="212"/>
        <v>0</v>
      </c>
      <c r="J951" s="143">
        <f t="shared" si="213"/>
        <v>0</v>
      </c>
      <c r="K951" s="143">
        <f t="shared" si="214"/>
        <v>0</v>
      </c>
      <c r="L951" s="142">
        <f t="shared" si="215"/>
        <v>0</v>
      </c>
      <c r="M951" s="142">
        <f t="shared" si="216"/>
        <v>0</v>
      </c>
      <c r="N951" s="142">
        <f t="shared" si="217"/>
        <v>0</v>
      </c>
      <c r="O951" s="59">
        <f t="shared" si="218"/>
        <v>2200</v>
      </c>
      <c r="P951" s="142">
        <f t="shared" si="219"/>
        <v>0</v>
      </c>
      <c r="Q951" s="142">
        <f t="shared" si="220"/>
        <v>0</v>
      </c>
      <c r="R951" s="142">
        <f t="shared" si="221"/>
        <v>0</v>
      </c>
      <c r="S951" s="142">
        <f t="shared" si="222"/>
        <v>0</v>
      </c>
      <c r="T951" s="142">
        <f t="shared" si="223"/>
        <v>0</v>
      </c>
      <c r="U951" s="60">
        <f t="shared" si="224"/>
        <v>0</v>
      </c>
    </row>
    <row r="952" spans="1:21" x14ac:dyDescent="0.2">
      <c r="A952" s="115"/>
      <c r="B952" s="139" t="s">
        <v>506</v>
      </c>
      <c r="C952" s="140" t="s">
        <v>293</v>
      </c>
      <c r="D952" s="141">
        <v>40064</v>
      </c>
      <c r="E952" s="141">
        <v>40126</v>
      </c>
      <c r="F952" s="57">
        <v>4400</v>
      </c>
      <c r="G952" s="58">
        <f t="shared" si="210"/>
        <v>-5896</v>
      </c>
      <c r="H952" s="142">
        <f t="shared" si="211"/>
        <v>4400</v>
      </c>
      <c r="I952" s="142">
        <f t="shared" si="212"/>
        <v>0</v>
      </c>
      <c r="J952" s="143">
        <f t="shared" si="213"/>
        <v>0</v>
      </c>
      <c r="K952" s="143">
        <f t="shared" si="214"/>
        <v>0</v>
      </c>
      <c r="L952" s="142">
        <f t="shared" si="215"/>
        <v>0</v>
      </c>
      <c r="M952" s="142">
        <f t="shared" si="216"/>
        <v>0</v>
      </c>
      <c r="N952" s="142">
        <f t="shared" si="217"/>
        <v>0</v>
      </c>
      <c r="O952" s="59">
        <f t="shared" si="218"/>
        <v>4400</v>
      </c>
      <c r="P952" s="142">
        <f t="shared" si="219"/>
        <v>0</v>
      </c>
      <c r="Q952" s="142">
        <f t="shared" si="220"/>
        <v>0</v>
      </c>
      <c r="R952" s="142">
        <f t="shared" si="221"/>
        <v>0</v>
      </c>
      <c r="S952" s="142">
        <f t="shared" si="222"/>
        <v>0</v>
      </c>
      <c r="T952" s="142">
        <f t="shared" si="223"/>
        <v>0</v>
      </c>
      <c r="U952" s="60">
        <f t="shared" si="224"/>
        <v>0</v>
      </c>
    </row>
    <row r="953" spans="1:21" x14ac:dyDescent="0.2">
      <c r="A953" s="115"/>
      <c r="B953" s="139" t="s">
        <v>1001</v>
      </c>
      <c r="C953" s="140" t="s">
        <v>1002</v>
      </c>
      <c r="D953" s="141">
        <v>46009</v>
      </c>
      <c r="E953" s="141">
        <v>46069</v>
      </c>
      <c r="F953" s="57">
        <v>62310</v>
      </c>
      <c r="G953" s="58">
        <f t="shared" si="210"/>
        <v>47</v>
      </c>
      <c r="H953" s="142">
        <f t="shared" si="211"/>
        <v>0</v>
      </c>
      <c r="I953" s="142">
        <f t="shared" si="212"/>
        <v>0</v>
      </c>
      <c r="J953" s="143">
        <f t="shared" si="213"/>
        <v>0</v>
      </c>
      <c r="K953" s="143">
        <f t="shared" si="214"/>
        <v>0</v>
      </c>
      <c r="L953" s="142">
        <f t="shared" si="215"/>
        <v>0</v>
      </c>
      <c r="M953" s="142">
        <f t="shared" si="216"/>
        <v>0</v>
      </c>
      <c r="N953" s="142">
        <f t="shared" si="217"/>
        <v>0</v>
      </c>
      <c r="O953" s="59">
        <f t="shared" si="218"/>
        <v>0</v>
      </c>
      <c r="P953" s="142">
        <f t="shared" si="219"/>
        <v>0</v>
      </c>
      <c r="Q953" s="142">
        <f t="shared" si="220"/>
        <v>62310</v>
      </c>
      <c r="R953" s="142">
        <f t="shared" si="221"/>
        <v>0</v>
      </c>
      <c r="S953" s="142">
        <f t="shared" si="222"/>
        <v>0</v>
      </c>
      <c r="T953" s="142">
        <f t="shared" si="223"/>
        <v>0</v>
      </c>
      <c r="U953" s="60">
        <f t="shared" si="224"/>
        <v>62310</v>
      </c>
    </row>
    <row r="954" spans="1:21" x14ac:dyDescent="0.2">
      <c r="A954" s="115"/>
      <c r="B954" s="139" t="s">
        <v>558</v>
      </c>
      <c r="C954" s="140" t="s">
        <v>559</v>
      </c>
      <c r="D954" s="141">
        <v>45852</v>
      </c>
      <c r="E954" s="141">
        <v>45912</v>
      </c>
      <c r="F954" s="57">
        <v>1593.46</v>
      </c>
      <c r="G954" s="58">
        <f t="shared" si="210"/>
        <v>-110</v>
      </c>
      <c r="H954" s="142">
        <f t="shared" si="211"/>
        <v>0</v>
      </c>
      <c r="I954" s="142">
        <f t="shared" si="212"/>
        <v>0</v>
      </c>
      <c r="J954" s="143">
        <f t="shared" si="213"/>
        <v>0</v>
      </c>
      <c r="K954" s="143">
        <f t="shared" si="214"/>
        <v>1593.46</v>
      </c>
      <c r="L954" s="142">
        <f t="shared" si="215"/>
        <v>0</v>
      </c>
      <c r="M954" s="142">
        <f t="shared" si="216"/>
        <v>0</v>
      </c>
      <c r="N954" s="142">
        <f t="shared" si="217"/>
        <v>0</v>
      </c>
      <c r="O954" s="59">
        <f t="shared" si="218"/>
        <v>1593.46</v>
      </c>
      <c r="P954" s="142">
        <f t="shared" si="219"/>
        <v>0</v>
      </c>
      <c r="Q954" s="142">
        <f t="shared" si="220"/>
        <v>0</v>
      </c>
      <c r="R954" s="142">
        <f t="shared" si="221"/>
        <v>0</v>
      </c>
      <c r="S954" s="142">
        <f t="shared" si="222"/>
        <v>0</v>
      </c>
      <c r="T954" s="142">
        <f t="shared" si="223"/>
        <v>0</v>
      </c>
      <c r="U954" s="60">
        <f t="shared" si="224"/>
        <v>0</v>
      </c>
    </row>
    <row r="955" spans="1:21" x14ac:dyDescent="0.2">
      <c r="A955" s="115"/>
      <c r="B955" s="139" t="s">
        <v>558</v>
      </c>
      <c r="C955" s="140" t="s">
        <v>559</v>
      </c>
      <c r="D955" s="141">
        <v>45852</v>
      </c>
      <c r="E955" s="141">
        <v>45927</v>
      </c>
      <c r="F955" s="57">
        <v>1593.46</v>
      </c>
      <c r="G955" s="58">
        <f t="shared" si="210"/>
        <v>-95</v>
      </c>
      <c r="H955" s="142">
        <f t="shared" si="211"/>
        <v>0</v>
      </c>
      <c r="I955" s="142">
        <f t="shared" si="212"/>
        <v>0</v>
      </c>
      <c r="J955" s="143">
        <f t="shared" si="213"/>
        <v>0</v>
      </c>
      <c r="K955" s="143">
        <f t="shared" si="214"/>
        <v>1593.46</v>
      </c>
      <c r="L955" s="142">
        <f t="shared" si="215"/>
        <v>0</v>
      </c>
      <c r="M955" s="142">
        <f t="shared" si="216"/>
        <v>0</v>
      </c>
      <c r="N955" s="142">
        <f t="shared" si="217"/>
        <v>0</v>
      </c>
      <c r="O955" s="59">
        <f t="shared" si="218"/>
        <v>1593.46</v>
      </c>
      <c r="P955" s="142">
        <f t="shared" si="219"/>
        <v>0</v>
      </c>
      <c r="Q955" s="142">
        <f t="shared" si="220"/>
        <v>0</v>
      </c>
      <c r="R955" s="142">
        <f t="shared" si="221"/>
        <v>0</v>
      </c>
      <c r="S955" s="142">
        <f t="shared" si="222"/>
        <v>0</v>
      </c>
      <c r="T955" s="142">
        <f t="shared" si="223"/>
        <v>0</v>
      </c>
      <c r="U955" s="60">
        <f t="shared" si="224"/>
        <v>0</v>
      </c>
    </row>
    <row r="956" spans="1:21" x14ac:dyDescent="0.2">
      <c r="A956" s="115"/>
      <c r="B956" s="139" t="s">
        <v>558</v>
      </c>
      <c r="C956" s="140" t="s">
        <v>559</v>
      </c>
      <c r="D956" s="141">
        <v>45852</v>
      </c>
      <c r="E956" s="141">
        <v>45942</v>
      </c>
      <c r="F956" s="57">
        <v>1593.46</v>
      </c>
      <c r="G956" s="58">
        <f t="shared" si="210"/>
        <v>-80</v>
      </c>
      <c r="H956" s="142">
        <f t="shared" si="211"/>
        <v>0</v>
      </c>
      <c r="I956" s="142">
        <f t="shared" si="212"/>
        <v>0</v>
      </c>
      <c r="J956" s="143">
        <f t="shared" si="213"/>
        <v>0</v>
      </c>
      <c r="K956" s="143">
        <f t="shared" si="214"/>
        <v>0</v>
      </c>
      <c r="L956" s="142">
        <f t="shared" si="215"/>
        <v>1593.46</v>
      </c>
      <c r="M956" s="142">
        <f t="shared" si="216"/>
        <v>0</v>
      </c>
      <c r="N956" s="142">
        <f t="shared" si="217"/>
        <v>0</v>
      </c>
      <c r="O956" s="59">
        <f t="shared" si="218"/>
        <v>1593.46</v>
      </c>
      <c r="P956" s="142">
        <f t="shared" si="219"/>
        <v>0</v>
      </c>
      <c r="Q956" s="142">
        <f t="shared" si="220"/>
        <v>0</v>
      </c>
      <c r="R956" s="142">
        <f t="shared" si="221"/>
        <v>0</v>
      </c>
      <c r="S956" s="142">
        <f t="shared" si="222"/>
        <v>0</v>
      </c>
      <c r="T956" s="142">
        <f t="shared" si="223"/>
        <v>0</v>
      </c>
      <c r="U956" s="60">
        <f t="shared" si="224"/>
        <v>0</v>
      </c>
    </row>
    <row r="957" spans="1:21" x14ac:dyDescent="0.2">
      <c r="A957" s="115"/>
      <c r="B957" s="139" t="s">
        <v>324</v>
      </c>
      <c r="C957" s="140" t="s">
        <v>358</v>
      </c>
      <c r="D957" s="141">
        <v>45624</v>
      </c>
      <c r="E957" s="141">
        <v>45714</v>
      </c>
      <c r="F957" s="57">
        <v>14788.12</v>
      </c>
      <c r="G957" s="58">
        <f t="shared" si="210"/>
        <v>-308</v>
      </c>
      <c r="H957" s="142">
        <f t="shared" si="211"/>
        <v>14788.12</v>
      </c>
      <c r="I957" s="142">
        <f t="shared" si="212"/>
        <v>0</v>
      </c>
      <c r="J957" s="143">
        <f t="shared" si="213"/>
        <v>0</v>
      </c>
      <c r="K957" s="143">
        <f t="shared" si="214"/>
        <v>0</v>
      </c>
      <c r="L957" s="142">
        <f t="shared" si="215"/>
        <v>0</v>
      </c>
      <c r="M957" s="142">
        <f t="shared" si="216"/>
        <v>0</v>
      </c>
      <c r="N957" s="142">
        <f t="shared" si="217"/>
        <v>0</v>
      </c>
      <c r="O957" s="59">
        <f t="shared" si="218"/>
        <v>14788.12</v>
      </c>
      <c r="P957" s="142">
        <f t="shared" si="219"/>
        <v>0</v>
      </c>
      <c r="Q957" s="142">
        <f t="shared" si="220"/>
        <v>0</v>
      </c>
      <c r="R957" s="142">
        <f t="shared" si="221"/>
        <v>0</v>
      </c>
      <c r="S957" s="142">
        <f t="shared" si="222"/>
        <v>0</v>
      </c>
      <c r="T957" s="142">
        <f t="shared" si="223"/>
        <v>0</v>
      </c>
      <c r="U957" s="60">
        <f t="shared" si="224"/>
        <v>0</v>
      </c>
    </row>
    <row r="958" spans="1:21" x14ac:dyDescent="0.2">
      <c r="A958" s="115"/>
      <c r="B958" s="139" t="s">
        <v>71</v>
      </c>
      <c r="C958" s="140" t="s">
        <v>563</v>
      </c>
      <c r="D958" s="141">
        <v>45890</v>
      </c>
      <c r="E958" s="141">
        <v>45920</v>
      </c>
      <c r="F958" s="57">
        <v>48750</v>
      </c>
      <c r="G958" s="58">
        <f t="shared" si="210"/>
        <v>-102</v>
      </c>
      <c r="H958" s="142">
        <f t="shared" si="211"/>
        <v>0</v>
      </c>
      <c r="I958" s="142">
        <f t="shared" si="212"/>
        <v>0</v>
      </c>
      <c r="J958" s="143">
        <f t="shared" si="213"/>
        <v>0</v>
      </c>
      <c r="K958" s="143">
        <f t="shared" si="214"/>
        <v>48750</v>
      </c>
      <c r="L958" s="142">
        <f t="shared" si="215"/>
        <v>0</v>
      </c>
      <c r="M958" s="142">
        <f t="shared" si="216"/>
        <v>0</v>
      </c>
      <c r="N958" s="142">
        <f t="shared" si="217"/>
        <v>0</v>
      </c>
      <c r="O958" s="59">
        <f t="shared" si="218"/>
        <v>48750</v>
      </c>
      <c r="P958" s="142">
        <f t="shared" si="219"/>
        <v>0</v>
      </c>
      <c r="Q958" s="142">
        <f t="shared" si="220"/>
        <v>0</v>
      </c>
      <c r="R958" s="142">
        <f t="shared" si="221"/>
        <v>0</v>
      </c>
      <c r="S958" s="142">
        <f t="shared" si="222"/>
        <v>0</v>
      </c>
      <c r="T958" s="142">
        <f t="shared" si="223"/>
        <v>0</v>
      </c>
      <c r="U958" s="60">
        <f t="shared" si="224"/>
        <v>0</v>
      </c>
    </row>
    <row r="959" spans="1:21" x14ac:dyDescent="0.2">
      <c r="A959" s="115"/>
      <c r="B959" s="139" t="s">
        <v>71</v>
      </c>
      <c r="C959" s="140" t="s">
        <v>563</v>
      </c>
      <c r="D959" s="141">
        <v>45890</v>
      </c>
      <c r="E959" s="141">
        <v>45950</v>
      </c>
      <c r="F959" s="57">
        <v>48750</v>
      </c>
      <c r="G959" s="58">
        <f t="shared" si="210"/>
        <v>-72</v>
      </c>
      <c r="H959" s="142">
        <f t="shared" si="211"/>
        <v>0</v>
      </c>
      <c r="I959" s="142">
        <f t="shared" si="212"/>
        <v>0</v>
      </c>
      <c r="J959" s="143">
        <f t="shared" si="213"/>
        <v>0</v>
      </c>
      <c r="K959" s="143">
        <f t="shared" si="214"/>
        <v>0</v>
      </c>
      <c r="L959" s="142">
        <f t="shared" si="215"/>
        <v>48750</v>
      </c>
      <c r="M959" s="142">
        <f t="shared" si="216"/>
        <v>0</v>
      </c>
      <c r="N959" s="142">
        <f t="shared" si="217"/>
        <v>0</v>
      </c>
      <c r="O959" s="59">
        <f t="shared" si="218"/>
        <v>48750</v>
      </c>
      <c r="P959" s="142">
        <f t="shared" si="219"/>
        <v>0</v>
      </c>
      <c r="Q959" s="142">
        <f t="shared" si="220"/>
        <v>0</v>
      </c>
      <c r="R959" s="142">
        <f t="shared" si="221"/>
        <v>0</v>
      </c>
      <c r="S959" s="142">
        <f t="shared" si="222"/>
        <v>0</v>
      </c>
      <c r="T959" s="142">
        <f t="shared" si="223"/>
        <v>0</v>
      </c>
      <c r="U959" s="60">
        <f t="shared" si="224"/>
        <v>0</v>
      </c>
    </row>
    <row r="960" spans="1:21" x14ac:dyDescent="0.2">
      <c r="A960" s="115"/>
      <c r="B960" s="139" t="s">
        <v>71</v>
      </c>
      <c r="C960" s="140" t="s">
        <v>563</v>
      </c>
      <c r="D960" s="141">
        <v>45890</v>
      </c>
      <c r="E960" s="141">
        <v>45980</v>
      </c>
      <c r="F960" s="57">
        <v>48750</v>
      </c>
      <c r="G960" s="58">
        <f t="shared" si="210"/>
        <v>-42</v>
      </c>
      <c r="H960" s="142">
        <f t="shared" si="211"/>
        <v>0</v>
      </c>
      <c r="I960" s="142">
        <f t="shared" si="212"/>
        <v>0</v>
      </c>
      <c r="J960" s="143">
        <f t="shared" si="213"/>
        <v>0</v>
      </c>
      <c r="K960" s="143">
        <f t="shared" si="214"/>
        <v>0</v>
      </c>
      <c r="L960" s="142">
        <f t="shared" si="215"/>
        <v>0</v>
      </c>
      <c r="M960" s="142">
        <f t="shared" si="216"/>
        <v>48750</v>
      </c>
      <c r="N960" s="142">
        <f t="shared" si="217"/>
        <v>0</v>
      </c>
      <c r="O960" s="59">
        <f t="shared" si="218"/>
        <v>48750</v>
      </c>
      <c r="P960" s="142">
        <f t="shared" si="219"/>
        <v>0</v>
      </c>
      <c r="Q960" s="142">
        <f t="shared" si="220"/>
        <v>0</v>
      </c>
      <c r="R960" s="142">
        <f t="shared" si="221"/>
        <v>0</v>
      </c>
      <c r="S960" s="142">
        <f t="shared" si="222"/>
        <v>0</v>
      </c>
      <c r="T960" s="142">
        <f t="shared" si="223"/>
        <v>0</v>
      </c>
      <c r="U960" s="60">
        <f t="shared" si="224"/>
        <v>0</v>
      </c>
    </row>
    <row r="961" spans="1:21" x14ac:dyDescent="0.2">
      <c r="A961" s="115"/>
      <c r="B961" s="139" t="s">
        <v>71</v>
      </c>
      <c r="C961" s="140" t="s">
        <v>563</v>
      </c>
      <c r="D961" s="141">
        <v>45890</v>
      </c>
      <c r="E961" s="141">
        <v>46010</v>
      </c>
      <c r="F961" s="57">
        <v>48750</v>
      </c>
      <c r="G961" s="58">
        <f t="shared" si="210"/>
        <v>-12</v>
      </c>
      <c r="H961" s="142">
        <f t="shared" si="211"/>
        <v>0</v>
      </c>
      <c r="I961" s="142">
        <f t="shared" si="212"/>
        <v>0</v>
      </c>
      <c r="J961" s="143">
        <f t="shared" si="213"/>
        <v>0</v>
      </c>
      <c r="K961" s="143">
        <f t="shared" si="214"/>
        <v>0</v>
      </c>
      <c r="L961" s="142">
        <f t="shared" si="215"/>
        <v>0</v>
      </c>
      <c r="M961" s="142">
        <f t="shared" si="216"/>
        <v>0</v>
      </c>
      <c r="N961" s="142">
        <f t="shared" si="217"/>
        <v>48750</v>
      </c>
      <c r="O961" s="59">
        <f t="shared" si="218"/>
        <v>48750</v>
      </c>
      <c r="P961" s="142">
        <f t="shared" si="219"/>
        <v>0</v>
      </c>
      <c r="Q961" s="142">
        <f t="shared" si="220"/>
        <v>0</v>
      </c>
      <c r="R961" s="142">
        <f t="shared" si="221"/>
        <v>0</v>
      </c>
      <c r="S961" s="142">
        <f t="shared" si="222"/>
        <v>0</v>
      </c>
      <c r="T961" s="142">
        <f t="shared" si="223"/>
        <v>0</v>
      </c>
      <c r="U961" s="60">
        <f t="shared" si="224"/>
        <v>0</v>
      </c>
    </row>
    <row r="962" spans="1:21" x14ac:dyDescent="0.2">
      <c r="A962" s="115"/>
      <c r="B962" s="139" t="s">
        <v>459</v>
      </c>
      <c r="C962" s="140" t="s">
        <v>525</v>
      </c>
      <c r="D962" s="141">
        <v>45860</v>
      </c>
      <c r="E962" s="141">
        <v>45905</v>
      </c>
      <c r="F962" s="57">
        <v>195840</v>
      </c>
      <c r="G962" s="58">
        <f t="shared" si="210"/>
        <v>-117</v>
      </c>
      <c r="H962" s="142">
        <f t="shared" si="211"/>
        <v>0</v>
      </c>
      <c r="I962" s="142">
        <f t="shared" si="212"/>
        <v>0</v>
      </c>
      <c r="J962" s="143">
        <f t="shared" si="213"/>
        <v>0</v>
      </c>
      <c r="K962" s="143">
        <f t="shared" si="214"/>
        <v>195840</v>
      </c>
      <c r="L962" s="142">
        <f t="shared" si="215"/>
        <v>0</v>
      </c>
      <c r="M962" s="142">
        <f t="shared" si="216"/>
        <v>0</v>
      </c>
      <c r="N962" s="142">
        <f t="shared" si="217"/>
        <v>0</v>
      </c>
      <c r="O962" s="59">
        <f t="shared" si="218"/>
        <v>195840</v>
      </c>
      <c r="P962" s="142">
        <f t="shared" si="219"/>
        <v>0</v>
      </c>
      <c r="Q962" s="142">
        <f t="shared" si="220"/>
        <v>0</v>
      </c>
      <c r="R962" s="142">
        <f t="shared" si="221"/>
        <v>0</v>
      </c>
      <c r="S962" s="142">
        <f t="shared" si="222"/>
        <v>0</v>
      </c>
      <c r="T962" s="142">
        <f t="shared" si="223"/>
        <v>0</v>
      </c>
      <c r="U962" s="60">
        <f t="shared" si="224"/>
        <v>0</v>
      </c>
    </row>
    <row r="963" spans="1:21" x14ac:dyDescent="0.2">
      <c r="A963" s="115"/>
      <c r="B963" s="139" t="s">
        <v>359</v>
      </c>
      <c r="C963" s="140" t="s">
        <v>380</v>
      </c>
      <c r="D963" s="141">
        <v>45716</v>
      </c>
      <c r="E963" s="141">
        <v>45761</v>
      </c>
      <c r="F963" s="57">
        <v>24140</v>
      </c>
      <c r="G963" s="58">
        <f t="shared" si="210"/>
        <v>-261</v>
      </c>
      <c r="H963" s="142">
        <f t="shared" si="211"/>
        <v>24140</v>
      </c>
      <c r="I963" s="142">
        <f t="shared" si="212"/>
        <v>0</v>
      </c>
      <c r="J963" s="143">
        <f t="shared" si="213"/>
        <v>0</v>
      </c>
      <c r="K963" s="143">
        <f t="shared" si="214"/>
        <v>0</v>
      </c>
      <c r="L963" s="142">
        <f t="shared" si="215"/>
        <v>0</v>
      </c>
      <c r="M963" s="142">
        <f t="shared" si="216"/>
        <v>0</v>
      </c>
      <c r="N963" s="142">
        <f t="shared" si="217"/>
        <v>0</v>
      </c>
      <c r="O963" s="59">
        <f t="shared" si="218"/>
        <v>24140</v>
      </c>
      <c r="P963" s="142">
        <f t="shared" si="219"/>
        <v>0</v>
      </c>
      <c r="Q963" s="142">
        <f t="shared" si="220"/>
        <v>0</v>
      </c>
      <c r="R963" s="142">
        <f t="shared" si="221"/>
        <v>0</v>
      </c>
      <c r="S963" s="142">
        <f t="shared" si="222"/>
        <v>0</v>
      </c>
      <c r="T963" s="142">
        <f t="shared" si="223"/>
        <v>0</v>
      </c>
      <c r="U963" s="60">
        <f t="shared" si="224"/>
        <v>0</v>
      </c>
    </row>
    <row r="964" spans="1:21" x14ac:dyDescent="0.2">
      <c r="A964" s="115"/>
      <c r="B964" s="139" t="s">
        <v>423</v>
      </c>
      <c r="C964" s="140" t="s">
        <v>762</v>
      </c>
      <c r="D964" s="141">
        <v>45964</v>
      </c>
      <c r="E964" s="141">
        <v>46024</v>
      </c>
      <c r="F964" s="57">
        <v>7560</v>
      </c>
      <c r="G964" s="58">
        <f t="shared" si="210"/>
        <v>2</v>
      </c>
      <c r="H964" s="142">
        <f t="shared" si="211"/>
        <v>0</v>
      </c>
      <c r="I964" s="142">
        <f t="shared" si="212"/>
        <v>0</v>
      </c>
      <c r="J964" s="143">
        <f t="shared" si="213"/>
        <v>0</v>
      </c>
      <c r="K964" s="143">
        <f t="shared" si="214"/>
        <v>0</v>
      </c>
      <c r="L964" s="142">
        <f t="shared" si="215"/>
        <v>0</v>
      </c>
      <c r="M964" s="142">
        <f t="shared" si="216"/>
        <v>0</v>
      </c>
      <c r="N964" s="142">
        <f t="shared" si="217"/>
        <v>0</v>
      </c>
      <c r="O964" s="59">
        <f t="shared" si="218"/>
        <v>0</v>
      </c>
      <c r="P964" s="142">
        <f t="shared" si="219"/>
        <v>7560</v>
      </c>
      <c r="Q964" s="142">
        <f t="shared" si="220"/>
        <v>0</v>
      </c>
      <c r="R964" s="142">
        <f t="shared" si="221"/>
        <v>0</v>
      </c>
      <c r="S964" s="142">
        <f t="shared" si="222"/>
        <v>0</v>
      </c>
      <c r="T964" s="142">
        <f t="shared" si="223"/>
        <v>0</v>
      </c>
      <c r="U964" s="60">
        <f t="shared" si="224"/>
        <v>7560</v>
      </c>
    </row>
    <row r="965" spans="1:21" x14ac:dyDescent="0.2">
      <c r="A965" s="115"/>
      <c r="B965" s="139" t="s">
        <v>423</v>
      </c>
      <c r="C965" s="140" t="s">
        <v>693</v>
      </c>
      <c r="D965" s="141">
        <v>45911</v>
      </c>
      <c r="E965" s="141">
        <v>46031</v>
      </c>
      <c r="F965" s="57">
        <v>54000</v>
      </c>
      <c r="G965" s="58">
        <f t="shared" si="210"/>
        <v>9</v>
      </c>
      <c r="H965" s="142">
        <f t="shared" si="211"/>
        <v>0</v>
      </c>
      <c r="I965" s="142">
        <f t="shared" si="212"/>
        <v>0</v>
      </c>
      <c r="J965" s="143">
        <f t="shared" si="213"/>
        <v>0</v>
      </c>
      <c r="K965" s="143">
        <f t="shared" si="214"/>
        <v>0</v>
      </c>
      <c r="L965" s="142">
        <f t="shared" si="215"/>
        <v>0</v>
      </c>
      <c r="M965" s="142">
        <f t="shared" si="216"/>
        <v>0</v>
      </c>
      <c r="N965" s="142">
        <f t="shared" si="217"/>
        <v>0</v>
      </c>
      <c r="O965" s="59">
        <f t="shared" si="218"/>
        <v>0</v>
      </c>
      <c r="P965" s="142">
        <f t="shared" si="219"/>
        <v>54000</v>
      </c>
      <c r="Q965" s="142">
        <f t="shared" si="220"/>
        <v>0</v>
      </c>
      <c r="R965" s="142">
        <f t="shared" si="221"/>
        <v>0</v>
      </c>
      <c r="S965" s="142">
        <f t="shared" si="222"/>
        <v>0</v>
      </c>
      <c r="T965" s="142">
        <f t="shared" si="223"/>
        <v>0</v>
      </c>
      <c r="U965" s="60">
        <f t="shared" si="224"/>
        <v>54000</v>
      </c>
    </row>
    <row r="966" spans="1:21" x14ac:dyDescent="0.2">
      <c r="A966" s="115"/>
      <c r="B966" s="139" t="s">
        <v>423</v>
      </c>
      <c r="C966" s="140" t="s">
        <v>694</v>
      </c>
      <c r="D966" s="141">
        <v>45911</v>
      </c>
      <c r="E966" s="141">
        <v>46031</v>
      </c>
      <c r="F966" s="57">
        <v>4620</v>
      </c>
      <c r="G966" s="58">
        <f t="shared" si="210"/>
        <v>9</v>
      </c>
      <c r="H966" s="142">
        <f t="shared" si="211"/>
        <v>0</v>
      </c>
      <c r="I966" s="142">
        <f t="shared" si="212"/>
        <v>0</v>
      </c>
      <c r="J966" s="143">
        <f t="shared" si="213"/>
        <v>0</v>
      </c>
      <c r="K966" s="143">
        <f t="shared" si="214"/>
        <v>0</v>
      </c>
      <c r="L966" s="142">
        <f t="shared" si="215"/>
        <v>0</v>
      </c>
      <c r="M966" s="142">
        <f t="shared" si="216"/>
        <v>0</v>
      </c>
      <c r="N966" s="142">
        <f t="shared" si="217"/>
        <v>0</v>
      </c>
      <c r="O966" s="59">
        <f t="shared" si="218"/>
        <v>0</v>
      </c>
      <c r="P966" s="142">
        <f t="shared" si="219"/>
        <v>4620</v>
      </c>
      <c r="Q966" s="142">
        <f t="shared" si="220"/>
        <v>0</v>
      </c>
      <c r="R966" s="142">
        <f t="shared" si="221"/>
        <v>0</v>
      </c>
      <c r="S966" s="142">
        <f t="shared" si="222"/>
        <v>0</v>
      </c>
      <c r="T966" s="142">
        <f t="shared" si="223"/>
        <v>0</v>
      </c>
      <c r="U966" s="60">
        <f t="shared" si="224"/>
        <v>4620</v>
      </c>
    </row>
    <row r="967" spans="1:21" x14ac:dyDescent="0.2">
      <c r="A967" s="115"/>
      <c r="B967" s="139" t="s">
        <v>423</v>
      </c>
      <c r="C967" s="140" t="s">
        <v>1003</v>
      </c>
      <c r="D967" s="141">
        <v>46001</v>
      </c>
      <c r="E967" s="141">
        <v>46031</v>
      </c>
      <c r="F967" s="57">
        <v>18000</v>
      </c>
      <c r="G967" s="58">
        <f t="shared" ref="G967:G1030" si="225">E967-$H$3</f>
        <v>9</v>
      </c>
      <c r="H967" s="142">
        <f t="shared" ref="H967:H1030" si="226">IF(AND($G967&gt;=-8000,$G967&lt;=-181),$F967,0)</f>
        <v>0</v>
      </c>
      <c r="I967" s="142">
        <f t="shared" ref="I967:I1030" si="227">IF(AND($G967&gt;=-180,$G967&lt;=-151),$F967,0)</f>
        <v>0</v>
      </c>
      <c r="J967" s="143">
        <f t="shared" ref="J967:J1030" si="228">IF(AND($G967&gt;=-150,$G967&lt;=-121),$F967,0)</f>
        <v>0</v>
      </c>
      <c r="K967" s="143">
        <f t="shared" ref="K967:K1030" si="229">IF(AND($G967&gt;=-120,$G967&lt;=-91),$F967,0)</f>
        <v>0</v>
      </c>
      <c r="L967" s="142">
        <f t="shared" ref="L967:L1030" si="230">IF(AND($G967&gt;=-90,$G967&lt;=-61),$F967,0)</f>
        <v>0</v>
      </c>
      <c r="M967" s="142">
        <f t="shared" ref="M967:M1030" si="231">IF(AND($G967&gt;=-60,$G967&lt;=-31),$F967,0)</f>
        <v>0</v>
      </c>
      <c r="N967" s="142">
        <f t="shared" ref="N967:N1030" si="232">IF(AND($G967&gt;=-30,$G967&lt;=-1),$F967,0)</f>
        <v>0</v>
      </c>
      <c r="O967" s="59">
        <f t="shared" ref="O967:O1030" si="233">SUM(H967:N967)</f>
        <v>0</v>
      </c>
      <c r="P967" s="142">
        <f t="shared" ref="P967:P1030" si="234">IF(AND($G967&lt;=30,$G967&gt;=0),$F967,0)</f>
        <v>18000</v>
      </c>
      <c r="Q967" s="142">
        <f t="shared" ref="Q967:Q1030" si="235">IF(AND($G967&lt;=60,$G967&gt;=31),$F967,0)</f>
        <v>0</v>
      </c>
      <c r="R967" s="142">
        <f t="shared" ref="R967:R1030" si="236">IF(AND($G967&lt;=90,$G967&gt;=61),$F967,0)</f>
        <v>0</v>
      </c>
      <c r="S967" s="142">
        <f t="shared" ref="S967:S1030" si="237">IF(AND($G967&lt;=120,$G967&gt;=91),$F967,0)</f>
        <v>0</v>
      </c>
      <c r="T967" s="142">
        <f t="shared" ref="T967:T1030" si="238">IF(G967&gt;=121,F967,0)</f>
        <v>0</v>
      </c>
      <c r="U967" s="60">
        <f t="shared" ref="U967:U1030" si="239">SUM(P967:T967)</f>
        <v>18000</v>
      </c>
    </row>
    <row r="968" spans="1:21" x14ac:dyDescent="0.2">
      <c r="A968" s="115"/>
      <c r="B968" s="139" t="s">
        <v>423</v>
      </c>
      <c r="C968" s="140" t="s">
        <v>747</v>
      </c>
      <c r="D968" s="141">
        <v>45945</v>
      </c>
      <c r="E968" s="141">
        <v>46035</v>
      </c>
      <c r="F968" s="57">
        <v>5750</v>
      </c>
      <c r="G968" s="58">
        <f t="shared" si="225"/>
        <v>13</v>
      </c>
      <c r="H968" s="142">
        <f t="shared" si="226"/>
        <v>0</v>
      </c>
      <c r="I968" s="142">
        <f t="shared" si="227"/>
        <v>0</v>
      </c>
      <c r="J968" s="143">
        <f t="shared" si="228"/>
        <v>0</v>
      </c>
      <c r="K968" s="143">
        <f t="shared" si="229"/>
        <v>0</v>
      </c>
      <c r="L968" s="142">
        <f t="shared" si="230"/>
        <v>0</v>
      </c>
      <c r="M968" s="142">
        <f t="shared" si="231"/>
        <v>0</v>
      </c>
      <c r="N968" s="142">
        <f t="shared" si="232"/>
        <v>0</v>
      </c>
      <c r="O968" s="59">
        <f t="shared" si="233"/>
        <v>0</v>
      </c>
      <c r="P968" s="142">
        <f t="shared" si="234"/>
        <v>5750</v>
      </c>
      <c r="Q968" s="142">
        <f t="shared" si="235"/>
        <v>0</v>
      </c>
      <c r="R968" s="142">
        <f t="shared" si="236"/>
        <v>0</v>
      </c>
      <c r="S968" s="142">
        <f t="shared" si="237"/>
        <v>0</v>
      </c>
      <c r="T968" s="142">
        <f t="shared" si="238"/>
        <v>0</v>
      </c>
      <c r="U968" s="60">
        <f t="shared" si="239"/>
        <v>5750</v>
      </c>
    </row>
    <row r="969" spans="1:21" x14ac:dyDescent="0.2">
      <c r="A969" s="115"/>
      <c r="B969" s="139" t="s">
        <v>423</v>
      </c>
      <c r="C969" s="140" t="s">
        <v>695</v>
      </c>
      <c r="D969" s="141">
        <v>45924</v>
      </c>
      <c r="E969" s="141">
        <v>46044</v>
      </c>
      <c r="F969" s="57">
        <v>4620</v>
      </c>
      <c r="G969" s="58">
        <f t="shared" si="225"/>
        <v>22</v>
      </c>
      <c r="H969" s="142">
        <f t="shared" si="226"/>
        <v>0</v>
      </c>
      <c r="I969" s="142">
        <f t="shared" si="227"/>
        <v>0</v>
      </c>
      <c r="J969" s="143">
        <f t="shared" si="228"/>
        <v>0</v>
      </c>
      <c r="K969" s="143">
        <f t="shared" si="229"/>
        <v>0</v>
      </c>
      <c r="L969" s="142">
        <f t="shared" si="230"/>
        <v>0</v>
      </c>
      <c r="M969" s="142">
        <f t="shared" si="231"/>
        <v>0</v>
      </c>
      <c r="N969" s="142">
        <f t="shared" si="232"/>
        <v>0</v>
      </c>
      <c r="O969" s="59">
        <f t="shared" si="233"/>
        <v>0</v>
      </c>
      <c r="P969" s="142">
        <f t="shared" si="234"/>
        <v>4620</v>
      </c>
      <c r="Q969" s="142">
        <f t="shared" si="235"/>
        <v>0</v>
      </c>
      <c r="R969" s="142">
        <f t="shared" si="236"/>
        <v>0</v>
      </c>
      <c r="S969" s="142">
        <f t="shared" si="237"/>
        <v>0</v>
      </c>
      <c r="T969" s="142">
        <f t="shared" si="238"/>
        <v>0</v>
      </c>
      <c r="U969" s="60">
        <f t="shared" si="239"/>
        <v>4620</v>
      </c>
    </row>
    <row r="970" spans="1:21" x14ac:dyDescent="0.2">
      <c r="A970" s="115"/>
      <c r="B970" s="139" t="s">
        <v>423</v>
      </c>
      <c r="C970" s="140" t="s">
        <v>762</v>
      </c>
      <c r="D970" s="141">
        <v>45964</v>
      </c>
      <c r="E970" s="141">
        <v>46054</v>
      </c>
      <c r="F970" s="57">
        <v>7560</v>
      </c>
      <c r="G970" s="58">
        <f t="shared" si="225"/>
        <v>32</v>
      </c>
      <c r="H970" s="142">
        <f t="shared" si="226"/>
        <v>0</v>
      </c>
      <c r="I970" s="142">
        <f t="shared" si="227"/>
        <v>0</v>
      </c>
      <c r="J970" s="143">
        <f t="shared" si="228"/>
        <v>0</v>
      </c>
      <c r="K970" s="143">
        <f t="shared" si="229"/>
        <v>0</v>
      </c>
      <c r="L970" s="142">
        <f t="shared" si="230"/>
        <v>0</v>
      </c>
      <c r="M970" s="142">
        <f t="shared" si="231"/>
        <v>0</v>
      </c>
      <c r="N970" s="142">
        <f t="shared" si="232"/>
        <v>0</v>
      </c>
      <c r="O970" s="59">
        <f t="shared" si="233"/>
        <v>0</v>
      </c>
      <c r="P970" s="142">
        <f t="shared" si="234"/>
        <v>0</v>
      </c>
      <c r="Q970" s="142">
        <f t="shared" si="235"/>
        <v>7560</v>
      </c>
      <c r="R970" s="142">
        <f t="shared" si="236"/>
        <v>0</v>
      </c>
      <c r="S970" s="142">
        <f t="shared" si="237"/>
        <v>0</v>
      </c>
      <c r="T970" s="142">
        <f t="shared" si="238"/>
        <v>0</v>
      </c>
      <c r="U970" s="60">
        <f t="shared" si="239"/>
        <v>7560</v>
      </c>
    </row>
    <row r="971" spans="1:21" x14ac:dyDescent="0.2">
      <c r="A971" s="115"/>
      <c r="B971" s="139" t="s">
        <v>423</v>
      </c>
      <c r="C971" s="140" t="s">
        <v>1003</v>
      </c>
      <c r="D971" s="141">
        <v>46001</v>
      </c>
      <c r="E971" s="141">
        <v>46061</v>
      </c>
      <c r="F971" s="57">
        <v>18000</v>
      </c>
      <c r="G971" s="58">
        <f t="shared" si="225"/>
        <v>39</v>
      </c>
      <c r="H971" s="142">
        <f t="shared" si="226"/>
        <v>0</v>
      </c>
      <c r="I971" s="142">
        <f t="shared" si="227"/>
        <v>0</v>
      </c>
      <c r="J971" s="143">
        <f t="shared" si="228"/>
        <v>0</v>
      </c>
      <c r="K971" s="143">
        <f t="shared" si="229"/>
        <v>0</v>
      </c>
      <c r="L971" s="142">
        <f t="shared" si="230"/>
        <v>0</v>
      </c>
      <c r="M971" s="142">
        <f t="shared" si="231"/>
        <v>0</v>
      </c>
      <c r="N971" s="142">
        <f t="shared" si="232"/>
        <v>0</v>
      </c>
      <c r="O971" s="59">
        <f t="shared" si="233"/>
        <v>0</v>
      </c>
      <c r="P971" s="142">
        <f t="shared" si="234"/>
        <v>0</v>
      </c>
      <c r="Q971" s="142">
        <f t="shared" si="235"/>
        <v>18000</v>
      </c>
      <c r="R971" s="142">
        <f t="shared" si="236"/>
        <v>0</v>
      </c>
      <c r="S971" s="142">
        <f t="shared" si="237"/>
        <v>0</v>
      </c>
      <c r="T971" s="142">
        <f t="shared" si="238"/>
        <v>0</v>
      </c>
      <c r="U971" s="60">
        <f t="shared" si="239"/>
        <v>18000</v>
      </c>
    </row>
    <row r="972" spans="1:21" x14ac:dyDescent="0.2">
      <c r="A972" s="115"/>
      <c r="B972" s="139" t="s">
        <v>423</v>
      </c>
      <c r="C972" s="140" t="s">
        <v>747</v>
      </c>
      <c r="D972" s="141">
        <v>45945</v>
      </c>
      <c r="E972" s="141">
        <v>46065</v>
      </c>
      <c r="F972" s="57">
        <v>5750</v>
      </c>
      <c r="G972" s="58">
        <f t="shared" si="225"/>
        <v>43</v>
      </c>
      <c r="H972" s="142">
        <f t="shared" si="226"/>
        <v>0</v>
      </c>
      <c r="I972" s="142">
        <f t="shared" si="227"/>
        <v>0</v>
      </c>
      <c r="J972" s="143">
        <f t="shared" si="228"/>
        <v>0</v>
      </c>
      <c r="K972" s="143">
        <f t="shared" si="229"/>
        <v>0</v>
      </c>
      <c r="L972" s="142">
        <f t="shared" si="230"/>
        <v>0</v>
      </c>
      <c r="M972" s="142">
        <f t="shared" si="231"/>
        <v>0</v>
      </c>
      <c r="N972" s="142">
        <f t="shared" si="232"/>
        <v>0</v>
      </c>
      <c r="O972" s="59">
        <f t="shared" si="233"/>
        <v>0</v>
      </c>
      <c r="P972" s="142">
        <f t="shared" si="234"/>
        <v>0</v>
      </c>
      <c r="Q972" s="142">
        <f t="shared" si="235"/>
        <v>5750</v>
      </c>
      <c r="R972" s="142">
        <f t="shared" si="236"/>
        <v>0</v>
      </c>
      <c r="S972" s="142">
        <f t="shared" si="237"/>
        <v>0</v>
      </c>
      <c r="T972" s="142">
        <f t="shared" si="238"/>
        <v>0</v>
      </c>
      <c r="U972" s="60">
        <f t="shared" si="239"/>
        <v>5750</v>
      </c>
    </row>
    <row r="973" spans="1:21" x14ac:dyDescent="0.2">
      <c r="A973" s="115"/>
      <c r="B973" s="139" t="s">
        <v>423</v>
      </c>
      <c r="C973" s="140" t="s">
        <v>762</v>
      </c>
      <c r="D973" s="141">
        <v>45964</v>
      </c>
      <c r="E973" s="141">
        <v>46084</v>
      </c>
      <c r="F973" s="57">
        <v>7560</v>
      </c>
      <c r="G973" s="58">
        <f t="shared" si="225"/>
        <v>62</v>
      </c>
      <c r="H973" s="142">
        <f t="shared" si="226"/>
        <v>0</v>
      </c>
      <c r="I973" s="142">
        <f t="shared" si="227"/>
        <v>0</v>
      </c>
      <c r="J973" s="143">
        <f t="shared" si="228"/>
        <v>0</v>
      </c>
      <c r="K973" s="143">
        <f t="shared" si="229"/>
        <v>0</v>
      </c>
      <c r="L973" s="142">
        <f t="shared" si="230"/>
        <v>0</v>
      </c>
      <c r="M973" s="142">
        <f t="shared" si="231"/>
        <v>0</v>
      </c>
      <c r="N973" s="142">
        <f t="shared" si="232"/>
        <v>0</v>
      </c>
      <c r="O973" s="59">
        <f t="shared" si="233"/>
        <v>0</v>
      </c>
      <c r="P973" s="142">
        <f t="shared" si="234"/>
        <v>0</v>
      </c>
      <c r="Q973" s="142">
        <f t="shared" si="235"/>
        <v>0</v>
      </c>
      <c r="R973" s="142">
        <f t="shared" si="236"/>
        <v>7560</v>
      </c>
      <c r="S973" s="142">
        <f t="shared" si="237"/>
        <v>0</v>
      </c>
      <c r="T973" s="142">
        <f t="shared" si="238"/>
        <v>0</v>
      </c>
      <c r="U973" s="60">
        <f t="shared" si="239"/>
        <v>7560</v>
      </c>
    </row>
    <row r="974" spans="1:21" x14ac:dyDescent="0.2">
      <c r="A974" s="115"/>
      <c r="B974" s="139" t="s">
        <v>423</v>
      </c>
      <c r="C974" s="140" t="s">
        <v>1003</v>
      </c>
      <c r="D974" s="141">
        <v>46001</v>
      </c>
      <c r="E974" s="141">
        <v>46091</v>
      </c>
      <c r="F974" s="57">
        <v>18000</v>
      </c>
      <c r="G974" s="58">
        <f t="shared" si="225"/>
        <v>69</v>
      </c>
      <c r="H974" s="142">
        <f t="shared" si="226"/>
        <v>0</v>
      </c>
      <c r="I974" s="142">
        <f t="shared" si="227"/>
        <v>0</v>
      </c>
      <c r="J974" s="143">
        <f t="shared" si="228"/>
        <v>0</v>
      </c>
      <c r="K974" s="143">
        <f t="shared" si="229"/>
        <v>0</v>
      </c>
      <c r="L974" s="142">
        <f t="shared" si="230"/>
        <v>0</v>
      </c>
      <c r="M974" s="142">
        <f t="shared" si="231"/>
        <v>0</v>
      </c>
      <c r="N974" s="142">
        <f t="shared" si="232"/>
        <v>0</v>
      </c>
      <c r="O974" s="59">
        <f t="shared" si="233"/>
        <v>0</v>
      </c>
      <c r="P974" s="142">
        <f t="shared" si="234"/>
        <v>0</v>
      </c>
      <c r="Q974" s="142">
        <f t="shared" si="235"/>
        <v>0</v>
      </c>
      <c r="R974" s="142">
        <f t="shared" si="236"/>
        <v>18000</v>
      </c>
      <c r="S974" s="142">
        <f t="shared" si="237"/>
        <v>0</v>
      </c>
      <c r="T974" s="142">
        <f t="shared" si="238"/>
        <v>0</v>
      </c>
      <c r="U974" s="60">
        <f t="shared" si="239"/>
        <v>18000</v>
      </c>
    </row>
    <row r="975" spans="1:21" x14ac:dyDescent="0.2">
      <c r="A975" s="115"/>
      <c r="B975" s="139" t="s">
        <v>423</v>
      </c>
      <c r="C975" s="140" t="s">
        <v>1003</v>
      </c>
      <c r="D975" s="141">
        <v>46001</v>
      </c>
      <c r="E975" s="141">
        <v>46121</v>
      </c>
      <c r="F975" s="57">
        <v>18000</v>
      </c>
      <c r="G975" s="58">
        <f t="shared" si="225"/>
        <v>99</v>
      </c>
      <c r="H975" s="142">
        <f t="shared" si="226"/>
        <v>0</v>
      </c>
      <c r="I975" s="142">
        <f t="shared" si="227"/>
        <v>0</v>
      </c>
      <c r="J975" s="143">
        <f t="shared" si="228"/>
        <v>0</v>
      </c>
      <c r="K975" s="143">
        <f t="shared" si="229"/>
        <v>0</v>
      </c>
      <c r="L975" s="142">
        <f t="shared" si="230"/>
        <v>0</v>
      </c>
      <c r="M975" s="142">
        <f t="shared" si="231"/>
        <v>0</v>
      </c>
      <c r="N975" s="142">
        <f t="shared" si="232"/>
        <v>0</v>
      </c>
      <c r="O975" s="59">
        <f t="shared" si="233"/>
        <v>0</v>
      </c>
      <c r="P975" s="142">
        <f t="shared" si="234"/>
        <v>0</v>
      </c>
      <c r="Q975" s="142">
        <f t="shared" si="235"/>
        <v>0</v>
      </c>
      <c r="R975" s="142">
        <f t="shared" si="236"/>
        <v>0</v>
      </c>
      <c r="S975" s="142">
        <f t="shared" si="237"/>
        <v>18000</v>
      </c>
      <c r="T975" s="142">
        <f t="shared" si="238"/>
        <v>0</v>
      </c>
      <c r="U975" s="60">
        <f t="shared" si="239"/>
        <v>18000</v>
      </c>
    </row>
    <row r="976" spans="1:21" x14ac:dyDescent="0.2">
      <c r="A976" s="115"/>
      <c r="B976" s="139" t="s">
        <v>405</v>
      </c>
      <c r="C976" s="140" t="s">
        <v>406</v>
      </c>
      <c r="D976" s="141">
        <v>45764</v>
      </c>
      <c r="E976" s="141">
        <v>45794</v>
      </c>
      <c r="F976" s="57">
        <v>2603.15</v>
      </c>
      <c r="G976" s="58">
        <f t="shared" si="225"/>
        <v>-228</v>
      </c>
      <c r="H976" s="142">
        <f t="shared" si="226"/>
        <v>2603.15</v>
      </c>
      <c r="I976" s="142">
        <f t="shared" si="227"/>
        <v>0</v>
      </c>
      <c r="J976" s="143">
        <f t="shared" si="228"/>
        <v>0</v>
      </c>
      <c r="K976" s="143">
        <f t="shared" si="229"/>
        <v>0</v>
      </c>
      <c r="L976" s="142">
        <f t="shared" si="230"/>
        <v>0</v>
      </c>
      <c r="M976" s="142">
        <f t="shared" si="231"/>
        <v>0</v>
      </c>
      <c r="N976" s="142">
        <f t="shared" si="232"/>
        <v>0</v>
      </c>
      <c r="O976" s="59">
        <f t="shared" si="233"/>
        <v>2603.15</v>
      </c>
      <c r="P976" s="142">
        <f t="shared" si="234"/>
        <v>0</v>
      </c>
      <c r="Q976" s="142">
        <f t="shared" si="235"/>
        <v>0</v>
      </c>
      <c r="R976" s="142">
        <f t="shared" si="236"/>
        <v>0</v>
      </c>
      <c r="S976" s="142">
        <f t="shared" si="237"/>
        <v>0</v>
      </c>
      <c r="T976" s="142">
        <f t="shared" si="238"/>
        <v>0</v>
      </c>
      <c r="U976" s="60">
        <f t="shared" si="239"/>
        <v>0</v>
      </c>
    </row>
    <row r="977" spans="1:24" x14ac:dyDescent="0.2">
      <c r="A977" s="115"/>
      <c r="B977" s="139" t="s">
        <v>405</v>
      </c>
      <c r="C977" s="140" t="s">
        <v>407</v>
      </c>
      <c r="D977" s="141">
        <v>45764</v>
      </c>
      <c r="E977" s="141">
        <v>45794</v>
      </c>
      <c r="F977" s="57">
        <v>22081.88</v>
      </c>
      <c r="G977" s="58">
        <f t="shared" si="225"/>
        <v>-228</v>
      </c>
      <c r="H977" s="142">
        <f t="shared" si="226"/>
        <v>22081.88</v>
      </c>
      <c r="I977" s="142">
        <f t="shared" si="227"/>
        <v>0</v>
      </c>
      <c r="J977" s="143">
        <f t="shared" si="228"/>
        <v>0</v>
      </c>
      <c r="K977" s="143">
        <f t="shared" si="229"/>
        <v>0</v>
      </c>
      <c r="L977" s="142">
        <f t="shared" si="230"/>
        <v>0</v>
      </c>
      <c r="M977" s="142">
        <f t="shared" si="231"/>
        <v>0</v>
      </c>
      <c r="N977" s="142">
        <f t="shared" si="232"/>
        <v>0</v>
      </c>
      <c r="O977" s="59">
        <f t="shared" si="233"/>
        <v>22081.88</v>
      </c>
      <c r="P977" s="142">
        <f t="shared" si="234"/>
        <v>0</v>
      </c>
      <c r="Q977" s="142">
        <f t="shared" si="235"/>
        <v>0</v>
      </c>
      <c r="R977" s="142">
        <f t="shared" si="236"/>
        <v>0</v>
      </c>
      <c r="S977" s="142">
        <f t="shared" si="237"/>
        <v>0</v>
      </c>
      <c r="T977" s="142">
        <f t="shared" si="238"/>
        <v>0</v>
      </c>
      <c r="U977" s="60">
        <f t="shared" si="239"/>
        <v>0</v>
      </c>
    </row>
    <row r="978" spans="1:24" x14ac:dyDescent="0.2">
      <c r="A978" s="115"/>
      <c r="B978" s="139" t="s">
        <v>405</v>
      </c>
      <c r="C978" s="140" t="s">
        <v>406</v>
      </c>
      <c r="D978" s="141">
        <v>45764</v>
      </c>
      <c r="E978" s="141">
        <v>45824</v>
      </c>
      <c r="F978" s="57">
        <v>2603.15</v>
      </c>
      <c r="G978" s="58">
        <f t="shared" si="225"/>
        <v>-198</v>
      </c>
      <c r="H978" s="142">
        <f t="shared" si="226"/>
        <v>2603.15</v>
      </c>
      <c r="I978" s="142">
        <f t="shared" si="227"/>
        <v>0</v>
      </c>
      <c r="J978" s="143">
        <f t="shared" si="228"/>
        <v>0</v>
      </c>
      <c r="K978" s="143">
        <f t="shared" si="229"/>
        <v>0</v>
      </c>
      <c r="L978" s="142">
        <f t="shared" si="230"/>
        <v>0</v>
      </c>
      <c r="M978" s="142">
        <f t="shared" si="231"/>
        <v>0</v>
      </c>
      <c r="N978" s="142">
        <f t="shared" si="232"/>
        <v>0</v>
      </c>
      <c r="O978" s="59">
        <f t="shared" si="233"/>
        <v>2603.15</v>
      </c>
      <c r="P978" s="142">
        <f t="shared" si="234"/>
        <v>0</v>
      </c>
      <c r="Q978" s="142">
        <f t="shared" si="235"/>
        <v>0</v>
      </c>
      <c r="R978" s="142">
        <f t="shared" si="236"/>
        <v>0</v>
      </c>
      <c r="S978" s="142">
        <f t="shared" si="237"/>
        <v>0</v>
      </c>
      <c r="T978" s="142">
        <f t="shared" si="238"/>
        <v>0</v>
      </c>
      <c r="U978" s="60">
        <f t="shared" si="239"/>
        <v>0</v>
      </c>
    </row>
    <row r="979" spans="1:24" x14ac:dyDescent="0.2">
      <c r="A979" s="115"/>
      <c r="B979" s="139" t="s">
        <v>405</v>
      </c>
      <c r="C979" s="140" t="s">
        <v>407</v>
      </c>
      <c r="D979" s="141">
        <v>45764</v>
      </c>
      <c r="E979" s="141">
        <v>45824</v>
      </c>
      <c r="F979" s="57">
        <v>22081.88</v>
      </c>
      <c r="G979" s="58">
        <f t="shared" si="225"/>
        <v>-198</v>
      </c>
      <c r="H979" s="142">
        <f t="shared" si="226"/>
        <v>22081.88</v>
      </c>
      <c r="I979" s="142">
        <f t="shared" si="227"/>
        <v>0</v>
      </c>
      <c r="J979" s="143">
        <f t="shared" si="228"/>
        <v>0</v>
      </c>
      <c r="K979" s="143">
        <f t="shared" si="229"/>
        <v>0</v>
      </c>
      <c r="L979" s="142">
        <f t="shared" si="230"/>
        <v>0</v>
      </c>
      <c r="M979" s="142">
        <f t="shared" si="231"/>
        <v>0</v>
      </c>
      <c r="N979" s="142">
        <f t="shared" si="232"/>
        <v>0</v>
      </c>
      <c r="O979" s="59">
        <f t="shared" si="233"/>
        <v>22081.88</v>
      </c>
      <c r="P979" s="142">
        <f t="shared" si="234"/>
        <v>0</v>
      </c>
      <c r="Q979" s="142">
        <f t="shared" si="235"/>
        <v>0</v>
      </c>
      <c r="R979" s="142">
        <f t="shared" si="236"/>
        <v>0</v>
      </c>
      <c r="S979" s="142">
        <f t="shared" si="237"/>
        <v>0</v>
      </c>
      <c r="T979" s="142">
        <f t="shared" si="238"/>
        <v>0</v>
      </c>
      <c r="U979" s="60">
        <f t="shared" si="239"/>
        <v>0</v>
      </c>
    </row>
    <row r="980" spans="1:24" x14ac:dyDescent="0.2">
      <c r="A980" s="115"/>
      <c r="B980" s="139" t="s">
        <v>405</v>
      </c>
      <c r="C980" s="140" t="s">
        <v>406</v>
      </c>
      <c r="D980" s="141">
        <v>45764</v>
      </c>
      <c r="E980" s="141">
        <v>45854</v>
      </c>
      <c r="F980" s="57">
        <v>2603.15</v>
      </c>
      <c r="G980" s="58">
        <f t="shared" si="225"/>
        <v>-168</v>
      </c>
      <c r="H980" s="142">
        <f t="shared" si="226"/>
        <v>0</v>
      </c>
      <c r="I980" s="142">
        <f t="shared" si="227"/>
        <v>2603.15</v>
      </c>
      <c r="J980" s="143">
        <f t="shared" si="228"/>
        <v>0</v>
      </c>
      <c r="K980" s="143">
        <f t="shared" si="229"/>
        <v>0</v>
      </c>
      <c r="L980" s="142">
        <f t="shared" si="230"/>
        <v>0</v>
      </c>
      <c r="M980" s="142">
        <f t="shared" si="231"/>
        <v>0</v>
      </c>
      <c r="N980" s="142">
        <f t="shared" si="232"/>
        <v>0</v>
      </c>
      <c r="O980" s="59">
        <f t="shared" si="233"/>
        <v>2603.15</v>
      </c>
      <c r="P980" s="142">
        <f t="shared" si="234"/>
        <v>0</v>
      </c>
      <c r="Q980" s="142">
        <f t="shared" si="235"/>
        <v>0</v>
      </c>
      <c r="R980" s="142">
        <f t="shared" si="236"/>
        <v>0</v>
      </c>
      <c r="S980" s="142">
        <f t="shared" si="237"/>
        <v>0</v>
      </c>
      <c r="T980" s="142">
        <f t="shared" si="238"/>
        <v>0</v>
      </c>
      <c r="U980" s="60">
        <f t="shared" si="239"/>
        <v>0</v>
      </c>
    </row>
    <row r="981" spans="1:24" x14ac:dyDescent="0.2">
      <c r="A981" s="115"/>
      <c r="B981" s="139" t="s">
        <v>405</v>
      </c>
      <c r="C981" s="140" t="s">
        <v>407</v>
      </c>
      <c r="D981" s="141">
        <v>45764</v>
      </c>
      <c r="E981" s="141">
        <v>45854</v>
      </c>
      <c r="F981" s="57">
        <v>22081.88</v>
      </c>
      <c r="G981" s="58">
        <f t="shared" si="225"/>
        <v>-168</v>
      </c>
      <c r="H981" s="142">
        <f t="shared" si="226"/>
        <v>0</v>
      </c>
      <c r="I981" s="142">
        <f t="shared" si="227"/>
        <v>22081.88</v>
      </c>
      <c r="J981" s="143">
        <f t="shared" si="228"/>
        <v>0</v>
      </c>
      <c r="K981" s="143">
        <f t="shared" si="229"/>
        <v>0</v>
      </c>
      <c r="L981" s="142">
        <f t="shared" si="230"/>
        <v>0</v>
      </c>
      <c r="M981" s="142">
        <f t="shared" si="231"/>
        <v>0</v>
      </c>
      <c r="N981" s="142">
        <f t="shared" si="232"/>
        <v>0</v>
      </c>
      <c r="O981" s="59">
        <f t="shared" si="233"/>
        <v>22081.88</v>
      </c>
      <c r="P981" s="142">
        <f t="shared" si="234"/>
        <v>0</v>
      </c>
      <c r="Q981" s="142">
        <f t="shared" si="235"/>
        <v>0</v>
      </c>
      <c r="R981" s="142">
        <f t="shared" si="236"/>
        <v>0</v>
      </c>
      <c r="S981" s="142">
        <f t="shared" si="237"/>
        <v>0</v>
      </c>
      <c r="T981" s="142">
        <f t="shared" si="238"/>
        <v>0</v>
      </c>
      <c r="U981" s="60">
        <f t="shared" si="239"/>
        <v>0</v>
      </c>
    </row>
    <row r="982" spans="1:24" x14ac:dyDescent="0.2">
      <c r="A982" s="115"/>
      <c r="B982" s="139" t="s">
        <v>405</v>
      </c>
      <c r="C982" s="140" t="s">
        <v>406</v>
      </c>
      <c r="D982" s="141">
        <v>45764</v>
      </c>
      <c r="E982" s="141">
        <v>45884</v>
      </c>
      <c r="F982" s="57">
        <v>2603.15</v>
      </c>
      <c r="G982" s="58">
        <f t="shared" si="225"/>
        <v>-138</v>
      </c>
      <c r="H982" s="142">
        <f t="shared" si="226"/>
        <v>0</v>
      </c>
      <c r="I982" s="142">
        <f t="shared" si="227"/>
        <v>0</v>
      </c>
      <c r="J982" s="143">
        <f t="shared" si="228"/>
        <v>2603.15</v>
      </c>
      <c r="K982" s="143">
        <f t="shared" si="229"/>
        <v>0</v>
      </c>
      <c r="L982" s="142">
        <f t="shared" si="230"/>
        <v>0</v>
      </c>
      <c r="M982" s="142">
        <f t="shared" si="231"/>
        <v>0</v>
      </c>
      <c r="N982" s="142">
        <f t="shared" si="232"/>
        <v>0</v>
      </c>
      <c r="O982" s="59">
        <f t="shared" si="233"/>
        <v>2603.15</v>
      </c>
      <c r="P982" s="142">
        <f t="shared" si="234"/>
        <v>0</v>
      </c>
      <c r="Q982" s="142">
        <f t="shared" si="235"/>
        <v>0</v>
      </c>
      <c r="R982" s="142">
        <f t="shared" si="236"/>
        <v>0</v>
      </c>
      <c r="S982" s="142">
        <f t="shared" si="237"/>
        <v>0</v>
      </c>
      <c r="T982" s="142">
        <f t="shared" si="238"/>
        <v>0</v>
      </c>
      <c r="U982" s="60">
        <f t="shared" si="239"/>
        <v>0</v>
      </c>
    </row>
    <row r="983" spans="1:24" x14ac:dyDescent="0.2">
      <c r="A983" s="115"/>
      <c r="B983" s="139" t="s">
        <v>405</v>
      </c>
      <c r="C983" s="140" t="s">
        <v>407</v>
      </c>
      <c r="D983" s="141">
        <v>45764</v>
      </c>
      <c r="E983" s="141">
        <v>45884</v>
      </c>
      <c r="F983" s="57">
        <v>22081.86</v>
      </c>
      <c r="G983" s="58">
        <f t="shared" si="225"/>
        <v>-138</v>
      </c>
      <c r="H983" s="142">
        <f t="shared" si="226"/>
        <v>0</v>
      </c>
      <c r="I983" s="142">
        <f t="shared" si="227"/>
        <v>0</v>
      </c>
      <c r="J983" s="143">
        <f t="shared" si="228"/>
        <v>22081.86</v>
      </c>
      <c r="K983" s="143">
        <f t="shared" si="229"/>
        <v>0</v>
      </c>
      <c r="L983" s="142">
        <f t="shared" si="230"/>
        <v>0</v>
      </c>
      <c r="M983" s="142">
        <f t="shared" si="231"/>
        <v>0</v>
      </c>
      <c r="N983" s="142">
        <f t="shared" si="232"/>
        <v>0</v>
      </c>
      <c r="O983" s="59">
        <f t="shared" si="233"/>
        <v>22081.86</v>
      </c>
      <c r="P983" s="142">
        <f t="shared" si="234"/>
        <v>0</v>
      </c>
      <c r="Q983" s="142">
        <f t="shared" si="235"/>
        <v>0</v>
      </c>
      <c r="R983" s="142">
        <f t="shared" si="236"/>
        <v>0</v>
      </c>
      <c r="S983" s="142">
        <f t="shared" si="237"/>
        <v>0</v>
      </c>
      <c r="T983" s="142">
        <f t="shared" si="238"/>
        <v>0</v>
      </c>
      <c r="U983" s="60">
        <f t="shared" si="239"/>
        <v>0</v>
      </c>
    </row>
    <row r="984" spans="1:24" x14ac:dyDescent="0.2">
      <c r="A984" s="115"/>
      <c r="B984" s="139" t="s">
        <v>507</v>
      </c>
      <c r="C984" s="140" t="s">
        <v>294</v>
      </c>
      <c r="D984" s="141">
        <v>41607</v>
      </c>
      <c r="E984" s="141">
        <v>41637</v>
      </c>
      <c r="F984" s="57">
        <v>8322.34</v>
      </c>
      <c r="G984" s="58">
        <f t="shared" si="225"/>
        <v>-4385</v>
      </c>
      <c r="H984" s="142">
        <f t="shared" si="226"/>
        <v>8322.34</v>
      </c>
      <c r="I984" s="142">
        <f t="shared" si="227"/>
        <v>0</v>
      </c>
      <c r="J984" s="143">
        <f t="shared" si="228"/>
        <v>0</v>
      </c>
      <c r="K984" s="143">
        <f t="shared" si="229"/>
        <v>0</v>
      </c>
      <c r="L984" s="142">
        <f t="shared" si="230"/>
        <v>0</v>
      </c>
      <c r="M984" s="142">
        <f t="shared" si="231"/>
        <v>0</v>
      </c>
      <c r="N984" s="142">
        <f t="shared" si="232"/>
        <v>0</v>
      </c>
      <c r="O984" s="59">
        <f t="shared" si="233"/>
        <v>8322.34</v>
      </c>
      <c r="P984" s="142">
        <f t="shared" si="234"/>
        <v>0</v>
      </c>
      <c r="Q984" s="142">
        <f t="shared" si="235"/>
        <v>0</v>
      </c>
      <c r="R984" s="142">
        <f t="shared" si="236"/>
        <v>0</v>
      </c>
      <c r="S984" s="142">
        <f t="shared" si="237"/>
        <v>0</v>
      </c>
      <c r="T984" s="142">
        <f t="shared" si="238"/>
        <v>0</v>
      </c>
      <c r="U984" s="60">
        <f t="shared" si="239"/>
        <v>0</v>
      </c>
    </row>
    <row r="985" spans="1:24" x14ac:dyDescent="0.2">
      <c r="A985" s="115"/>
      <c r="B985" s="139" t="s">
        <v>507</v>
      </c>
      <c r="C985" s="140" t="s">
        <v>295</v>
      </c>
      <c r="D985" s="141">
        <v>41607</v>
      </c>
      <c r="E985" s="141">
        <v>41667</v>
      </c>
      <c r="F985" s="57">
        <v>8322.33</v>
      </c>
      <c r="G985" s="58">
        <f t="shared" si="225"/>
        <v>-4355</v>
      </c>
      <c r="H985" s="142">
        <f t="shared" si="226"/>
        <v>8322.33</v>
      </c>
      <c r="I985" s="142">
        <f t="shared" si="227"/>
        <v>0</v>
      </c>
      <c r="J985" s="143">
        <f t="shared" si="228"/>
        <v>0</v>
      </c>
      <c r="K985" s="143">
        <f t="shared" si="229"/>
        <v>0</v>
      </c>
      <c r="L985" s="142">
        <f t="shared" si="230"/>
        <v>0</v>
      </c>
      <c r="M985" s="142">
        <f t="shared" si="231"/>
        <v>0</v>
      </c>
      <c r="N985" s="142">
        <f t="shared" si="232"/>
        <v>0</v>
      </c>
      <c r="O985" s="59">
        <f t="shared" si="233"/>
        <v>8322.33</v>
      </c>
      <c r="P985" s="142">
        <f t="shared" si="234"/>
        <v>0</v>
      </c>
      <c r="Q985" s="142">
        <f t="shared" si="235"/>
        <v>0</v>
      </c>
      <c r="R985" s="142">
        <f t="shared" si="236"/>
        <v>0</v>
      </c>
      <c r="S985" s="142">
        <f t="shared" si="237"/>
        <v>0</v>
      </c>
      <c r="T985" s="142">
        <f t="shared" si="238"/>
        <v>0</v>
      </c>
      <c r="U985" s="60">
        <f t="shared" si="239"/>
        <v>0</v>
      </c>
    </row>
    <row r="986" spans="1:24" x14ac:dyDescent="0.2">
      <c r="A986" s="115"/>
      <c r="B986" s="139" t="s">
        <v>507</v>
      </c>
      <c r="C986" s="140" t="s">
        <v>296</v>
      </c>
      <c r="D986" s="141">
        <v>41607</v>
      </c>
      <c r="E986" s="141">
        <v>41697</v>
      </c>
      <c r="F986" s="57">
        <v>8322.33</v>
      </c>
      <c r="G986" s="58">
        <f t="shared" si="225"/>
        <v>-4325</v>
      </c>
      <c r="H986" s="142">
        <f t="shared" si="226"/>
        <v>8322.33</v>
      </c>
      <c r="I986" s="142">
        <f t="shared" si="227"/>
        <v>0</v>
      </c>
      <c r="J986" s="143">
        <f t="shared" si="228"/>
        <v>0</v>
      </c>
      <c r="K986" s="143">
        <f t="shared" si="229"/>
        <v>0</v>
      </c>
      <c r="L986" s="142">
        <f t="shared" si="230"/>
        <v>0</v>
      </c>
      <c r="M986" s="142">
        <f t="shared" si="231"/>
        <v>0</v>
      </c>
      <c r="N986" s="142">
        <f t="shared" si="232"/>
        <v>0</v>
      </c>
      <c r="O986" s="59">
        <f t="shared" si="233"/>
        <v>8322.33</v>
      </c>
      <c r="P986" s="142">
        <f t="shared" si="234"/>
        <v>0</v>
      </c>
      <c r="Q986" s="142">
        <f t="shared" si="235"/>
        <v>0</v>
      </c>
      <c r="R986" s="142">
        <f t="shared" si="236"/>
        <v>0</v>
      </c>
      <c r="S986" s="142">
        <f t="shared" si="237"/>
        <v>0</v>
      </c>
      <c r="T986" s="142">
        <f t="shared" si="238"/>
        <v>0</v>
      </c>
      <c r="U986" s="60">
        <f t="shared" si="239"/>
        <v>0</v>
      </c>
    </row>
    <row r="987" spans="1:24" x14ac:dyDescent="0.2">
      <c r="A987" s="115"/>
      <c r="B987" s="139" t="s">
        <v>507</v>
      </c>
      <c r="C987" s="140" t="s">
        <v>297</v>
      </c>
      <c r="D987" s="141">
        <v>41607</v>
      </c>
      <c r="E987" s="141">
        <v>41697</v>
      </c>
      <c r="F987" s="57">
        <v>27800</v>
      </c>
      <c r="G987" s="58">
        <f t="shared" si="225"/>
        <v>-4325</v>
      </c>
      <c r="H987" s="142">
        <f t="shared" si="226"/>
        <v>27800</v>
      </c>
      <c r="I987" s="142">
        <f t="shared" si="227"/>
        <v>0</v>
      </c>
      <c r="J987" s="143">
        <f t="shared" si="228"/>
        <v>0</v>
      </c>
      <c r="K987" s="143">
        <f t="shared" si="229"/>
        <v>0</v>
      </c>
      <c r="L987" s="142">
        <f t="shared" si="230"/>
        <v>0</v>
      </c>
      <c r="M987" s="142">
        <f t="shared" si="231"/>
        <v>0</v>
      </c>
      <c r="N987" s="142">
        <f t="shared" si="232"/>
        <v>0</v>
      </c>
      <c r="O987" s="59">
        <f t="shared" si="233"/>
        <v>27800</v>
      </c>
      <c r="P987" s="142">
        <f t="shared" si="234"/>
        <v>0</v>
      </c>
      <c r="Q987" s="142">
        <f t="shared" si="235"/>
        <v>0</v>
      </c>
      <c r="R987" s="142">
        <f t="shared" si="236"/>
        <v>0</v>
      </c>
      <c r="S987" s="142">
        <f t="shared" si="237"/>
        <v>0</v>
      </c>
      <c r="T987" s="142">
        <f t="shared" si="238"/>
        <v>0</v>
      </c>
      <c r="U987" s="60">
        <f t="shared" si="239"/>
        <v>0</v>
      </c>
    </row>
    <row r="988" spans="1:24" x14ac:dyDescent="0.2">
      <c r="A988" s="115"/>
      <c r="B988" s="139" t="s">
        <v>507</v>
      </c>
      <c r="C988" s="140" t="s">
        <v>298</v>
      </c>
      <c r="D988" s="141">
        <v>41628</v>
      </c>
      <c r="E988" s="141">
        <v>41718</v>
      </c>
      <c r="F988" s="57">
        <v>41560</v>
      </c>
      <c r="G988" s="58">
        <f t="shared" si="225"/>
        <v>-4304</v>
      </c>
      <c r="H988" s="142">
        <f t="shared" si="226"/>
        <v>41560</v>
      </c>
      <c r="I988" s="142">
        <f t="shared" si="227"/>
        <v>0</v>
      </c>
      <c r="J988" s="143">
        <f t="shared" si="228"/>
        <v>0</v>
      </c>
      <c r="K988" s="143">
        <f t="shared" si="229"/>
        <v>0</v>
      </c>
      <c r="L988" s="142">
        <f t="shared" si="230"/>
        <v>0</v>
      </c>
      <c r="M988" s="142">
        <f t="shared" si="231"/>
        <v>0</v>
      </c>
      <c r="N988" s="142">
        <f t="shared" si="232"/>
        <v>0</v>
      </c>
      <c r="O988" s="59">
        <f t="shared" si="233"/>
        <v>41560</v>
      </c>
      <c r="P988" s="142">
        <f t="shared" si="234"/>
        <v>0</v>
      </c>
      <c r="Q988" s="142">
        <f t="shared" si="235"/>
        <v>0</v>
      </c>
      <c r="R988" s="142">
        <f t="shared" si="236"/>
        <v>0</v>
      </c>
      <c r="S988" s="142">
        <f t="shared" si="237"/>
        <v>0</v>
      </c>
      <c r="T988" s="142">
        <f t="shared" si="238"/>
        <v>0</v>
      </c>
      <c r="U988" s="60">
        <f t="shared" si="239"/>
        <v>0</v>
      </c>
    </row>
    <row r="989" spans="1:24" x14ac:dyDescent="0.2">
      <c r="A989" s="115"/>
      <c r="B989" s="139" t="s">
        <v>507</v>
      </c>
      <c r="C989" s="140" t="s">
        <v>299</v>
      </c>
      <c r="D989" s="141">
        <v>41670</v>
      </c>
      <c r="E989" s="141">
        <v>41760</v>
      </c>
      <c r="F989" s="57">
        <v>47900</v>
      </c>
      <c r="G989" s="58">
        <f t="shared" si="225"/>
        <v>-4262</v>
      </c>
      <c r="H989" s="142">
        <f t="shared" si="226"/>
        <v>47900</v>
      </c>
      <c r="I989" s="142">
        <f t="shared" si="227"/>
        <v>0</v>
      </c>
      <c r="J989" s="143">
        <f t="shared" si="228"/>
        <v>0</v>
      </c>
      <c r="K989" s="143">
        <f t="shared" si="229"/>
        <v>0</v>
      </c>
      <c r="L989" s="142">
        <f t="shared" si="230"/>
        <v>0</v>
      </c>
      <c r="M989" s="142">
        <f t="shared" si="231"/>
        <v>0</v>
      </c>
      <c r="N989" s="142">
        <f t="shared" si="232"/>
        <v>0</v>
      </c>
      <c r="O989" s="59">
        <f t="shared" si="233"/>
        <v>47900</v>
      </c>
      <c r="P989" s="142">
        <f t="shared" si="234"/>
        <v>0</v>
      </c>
      <c r="Q989" s="142">
        <f t="shared" si="235"/>
        <v>0</v>
      </c>
      <c r="R989" s="142">
        <f t="shared" si="236"/>
        <v>0</v>
      </c>
      <c r="S989" s="142">
        <f t="shared" si="237"/>
        <v>0</v>
      </c>
      <c r="T989" s="142">
        <f t="shared" si="238"/>
        <v>0</v>
      </c>
      <c r="U989" s="60">
        <f t="shared" si="239"/>
        <v>0</v>
      </c>
    </row>
    <row r="990" spans="1:24" x14ac:dyDescent="0.2">
      <c r="A990" s="115"/>
      <c r="B990" s="139" t="s">
        <v>507</v>
      </c>
      <c r="C990" s="140" t="s">
        <v>300</v>
      </c>
      <c r="D990" s="141">
        <v>41698</v>
      </c>
      <c r="E990" s="141">
        <v>41788</v>
      </c>
      <c r="F990" s="57">
        <v>34860</v>
      </c>
      <c r="G990" s="58">
        <f t="shared" si="225"/>
        <v>-4234</v>
      </c>
      <c r="H990" s="142">
        <f t="shared" si="226"/>
        <v>34860</v>
      </c>
      <c r="I990" s="142">
        <f t="shared" si="227"/>
        <v>0</v>
      </c>
      <c r="J990" s="143">
        <f t="shared" si="228"/>
        <v>0</v>
      </c>
      <c r="K990" s="143">
        <f t="shared" si="229"/>
        <v>0</v>
      </c>
      <c r="L990" s="142">
        <f t="shared" si="230"/>
        <v>0</v>
      </c>
      <c r="M990" s="142">
        <f t="shared" si="231"/>
        <v>0</v>
      </c>
      <c r="N990" s="142">
        <f t="shared" si="232"/>
        <v>0</v>
      </c>
      <c r="O990" s="59">
        <f t="shared" si="233"/>
        <v>34860</v>
      </c>
      <c r="P990" s="142">
        <f t="shared" si="234"/>
        <v>0</v>
      </c>
      <c r="Q990" s="142">
        <f t="shared" si="235"/>
        <v>0</v>
      </c>
      <c r="R990" s="142">
        <f t="shared" si="236"/>
        <v>0</v>
      </c>
      <c r="S990" s="142">
        <f t="shared" si="237"/>
        <v>0</v>
      </c>
      <c r="T990" s="142">
        <f t="shared" si="238"/>
        <v>0</v>
      </c>
      <c r="U990" s="60">
        <f t="shared" si="239"/>
        <v>0</v>
      </c>
    </row>
    <row r="991" spans="1:24" x14ac:dyDescent="0.2">
      <c r="A991" s="115"/>
      <c r="B991" s="139" t="s">
        <v>507</v>
      </c>
      <c r="C991" s="140" t="s">
        <v>301</v>
      </c>
      <c r="D991" s="141">
        <v>41768</v>
      </c>
      <c r="E991" s="141">
        <v>41858</v>
      </c>
      <c r="F991" s="57">
        <v>18420</v>
      </c>
      <c r="G991" s="58">
        <f t="shared" si="225"/>
        <v>-4164</v>
      </c>
      <c r="H991" s="142">
        <f t="shared" si="226"/>
        <v>18420</v>
      </c>
      <c r="I991" s="142">
        <f t="shared" si="227"/>
        <v>0</v>
      </c>
      <c r="J991" s="143">
        <f t="shared" si="228"/>
        <v>0</v>
      </c>
      <c r="K991" s="143">
        <f t="shared" si="229"/>
        <v>0</v>
      </c>
      <c r="L991" s="142">
        <f t="shared" si="230"/>
        <v>0</v>
      </c>
      <c r="M991" s="142">
        <f t="shared" si="231"/>
        <v>0</v>
      </c>
      <c r="N991" s="142">
        <f t="shared" si="232"/>
        <v>0</v>
      </c>
      <c r="O991" s="59">
        <f t="shared" si="233"/>
        <v>18420</v>
      </c>
      <c r="P991" s="142">
        <f t="shared" si="234"/>
        <v>0</v>
      </c>
      <c r="Q991" s="142">
        <f t="shared" si="235"/>
        <v>0</v>
      </c>
      <c r="R991" s="142">
        <f t="shared" si="236"/>
        <v>0</v>
      </c>
      <c r="S991" s="142">
        <f t="shared" si="237"/>
        <v>0</v>
      </c>
      <c r="T991" s="142">
        <f t="shared" si="238"/>
        <v>0</v>
      </c>
      <c r="U991" s="60">
        <f t="shared" si="239"/>
        <v>0</v>
      </c>
    </row>
    <row r="992" spans="1:24" s="183" customFormat="1" x14ac:dyDescent="0.2">
      <c r="A992" s="173"/>
      <c r="B992" s="174" t="s">
        <v>696</v>
      </c>
      <c r="C992" s="175" t="s">
        <v>1004</v>
      </c>
      <c r="D992" s="176">
        <v>46001</v>
      </c>
      <c r="E992" s="176">
        <v>46052</v>
      </c>
      <c r="F992" s="177">
        <v>198000</v>
      </c>
      <c r="G992" s="178">
        <f t="shared" si="225"/>
        <v>30</v>
      </c>
      <c r="H992" s="179">
        <f t="shared" si="226"/>
        <v>0</v>
      </c>
      <c r="I992" s="179">
        <f t="shared" si="227"/>
        <v>0</v>
      </c>
      <c r="J992" s="180">
        <f t="shared" si="228"/>
        <v>0</v>
      </c>
      <c r="K992" s="180">
        <f t="shared" si="229"/>
        <v>0</v>
      </c>
      <c r="L992" s="179">
        <f t="shared" si="230"/>
        <v>0</v>
      </c>
      <c r="M992" s="179">
        <f t="shared" si="231"/>
        <v>0</v>
      </c>
      <c r="N992" s="179">
        <f t="shared" si="232"/>
        <v>0</v>
      </c>
      <c r="O992" s="179">
        <f t="shared" si="233"/>
        <v>0</v>
      </c>
      <c r="P992" s="179">
        <f t="shared" si="234"/>
        <v>198000</v>
      </c>
      <c r="Q992" s="179">
        <f t="shared" si="235"/>
        <v>0</v>
      </c>
      <c r="R992" s="179">
        <f t="shared" si="236"/>
        <v>0</v>
      </c>
      <c r="S992" s="179">
        <f t="shared" si="237"/>
        <v>0</v>
      </c>
      <c r="T992" s="179">
        <f t="shared" si="238"/>
        <v>0</v>
      </c>
      <c r="U992" s="181">
        <f t="shared" si="239"/>
        <v>198000</v>
      </c>
      <c r="V992" s="182"/>
      <c r="W992" s="182"/>
      <c r="X992" s="182"/>
    </row>
    <row r="993" spans="1:24" s="183" customFormat="1" x14ac:dyDescent="0.2">
      <c r="A993" s="173"/>
      <c r="B993" s="174" t="s">
        <v>696</v>
      </c>
      <c r="C993" s="175" t="s">
        <v>1005</v>
      </c>
      <c r="D993" s="176">
        <v>46009</v>
      </c>
      <c r="E993" s="176">
        <v>46052</v>
      </c>
      <c r="F993" s="177">
        <v>320000</v>
      </c>
      <c r="G993" s="178">
        <f t="shared" si="225"/>
        <v>30</v>
      </c>
      <c r="H993" s="179">
        <f t="shared" si="226"/>
        <v>0</v>
      </c>
      <c r="I993" s="179">
        <f t="shared" si="227"/>
        <v>0</v>
      </c>
      <c r="J993" s="180">
        <f t="shared" si="228"/>
        <v>0</v>
      </c>
      <c r="K993" s="180">
        <f t="shared" si="229"/>
        <v>0</v>
      </c>
      <c r="L993" s="179">
        <f t="shared" si="230"/>
        <v>0</v>
      </c>
      <c r="M993" s="179">
        <f t="shared" si="231"/>
        <v>0</v>
      </c>
      <c r="N993" s="179">
        <f t="shared" si="232"/>
        <v>0</v>
      </c>
      <c r="O993" s="179">
        <f t="shared" si="233"/>
        <v>0</v>
      </c>
      <c r="P993" s="179">
        <f t="shared" si="234"/>
        <v>320000</v>
      </c>
      <c r="Q993" s="179">
        <f t="shared" si="235"/>
        <v>0</v>
      </c>
      <c r="R993" s="179">
        <f t="shared" si="236"/>
        <v>0</v>
      </c>
      <c r="S993" s="179">
        <f t="shared" si="237"/>
        <v>0</v>
      </c>
      <c r="T993" s="179">
        <f t="shared" si="238"/>
        <v>0</v>
      </c>
      <c r="U993" s="181">
        <f t="shared" si="239"/>
        <v>320000</v>
      </c>
      <c r="V993" s="182"/>
      <c r="W993" s="182"/>
      <c r="X993" s="182"/>
    </row>
    <row r="994" spans="1:24" x14ac:dyDescent="0.2">
      <c r="A994" s="115"/>
      <c r="B994" s="139" t="s">
        <v>1006</v>
      </c>
      <c r="C994" s="140" t="s">
        <v>1007</v>
      </c>
      <c r="D994" s="141">
        <v>46020</v>
      </c>
      <c r="E994" s="141">
        <v>46050</v>
      </c>
      <c r="F994" s="57">
        <v>32745</v>
      </c>
      <c r="G994" s="58">
        <f t="shared" si="225"/>
        <v>28</v>
      </c>
      <c r="H994" s="142">
        <f t="shared" si="226"/>
        <v>0</v>
      </c>
      <c r="I994" s="142">
        <f t="shared" si="227"/>
        <v>0</v>
      </c>
      <c r="J994" s="143">
        <f t="shared" si="228"/>
        <v>0</v>
      </c>
      <c r="K994" s="143">
        <f t="shared" si="229"/>
        <v>0</v>
      </c>
      <c r="L994" s="142">
        <f t="shared" si="230"/>
        <v>0</v>
      </c>
      <c r="M994" s="142">
        <f t="shared" si="231"/>
        <v>0</v>
      </c>
      <c r="N994" s="142">
        <f t="shared" si="232"/>
        <v>0</v>
      </c>
      <c r="O994" s="59">
        <f t="shared" si="233"/>
        <v>0</v>
      </c>
      <c r="P994" s="142">
        <f t="shared" si="234"/>
        <v>32745</v>
      </c>
      <c r="Q994" s="142">
        <f t="shared" si="235"/>
        <v>0</v>
      </c>
      <c r="R994" s="142">
        <f t="shared" si="236"/>
        <v>0</v>
      </c>
      <c r="S994" s="142">
        <f t="shared" si="237"/>
        <v>0</v>
      </c>
      <c r="T994" s="142">
        <f t="shared" si="238"/>
        <v>0</v>
      </c>
      <c r="U994" s="60">
        <f t="shared" si="239"/>
        <v>32745</v>
      </c>
    </row>
    <row r="995" spans="1:24" x14ac:dyDescent="0.2">
      <c r="A995" s="115"/>
      <c r="B995" s="139" t="s">
        <v>1006</v>
      </c>
      <c r="C995" s="140" t="s">
        <v>1008</v>
      </c>
      <c r="D995" s="141">
        <v>46020</v>
      </c>
      <c r="E995" s="141">
        <v>46050</v>
      </c>
      <c r="F995" s="57">
        <v>32195</v>
      </c>
      <c r="G995" s="58">
        <f t="shared" si="225"/>
        <v>28</v>
      </c>
      <c r="H995" s="142">
        <f t="shared" si="226"/>
        <v>0</v>
      </c>
      <c r="I995" s="142">
        <f t="shared" si="227"/>
        <v>0</v>
      </c>
      <c r="J995" s="143">
        <f t="shared" si="228"/>
        <v>0</v>
      </c>
      <c r="K995" s="143">
        <f t="shared" si="229"/>
        <v>0</v>
      </c>
      <c r="L995" s="142">
        <f t="shared" si="230"/>
        <v>0</v>
      </c>
      <c r="M995" s="142">
        <f t="shared" si="231"/>
        <v>0</v>
      </c>
      <c r="N995" s="142">
        <f t="shared" si="232"/>
        <v>0</v>
      </c>
      <c r="O995" s="59">
        <f t="shared" si="233"/>
        <v>0</v>
      </c>
      <c r="P995" s="142">
        <f t="shared" si="234"/>
        <v>32195</v>
      </c>
      <c r="Q995" s="142">
        <f t="shared" si="235"/>
        <v>0</v>
      </c>
      <c r="R995" s="142">
        <f t="shared" si="236"/>
        <v>0</v>
      </c>
      <c r="S995" s="142">
        <f t="shared" si="237"/>
        <v>0</v>
      </c>
      <c r="T995" s="142">
        <f t="shared" si="238"/>
        <v>0</v>
      </c>
      <c r="U995" s="60">
        <f t="shared" si="239"/>
        <v>32195</v>
      </c>
    </row>
    <row r="996" spans="1:24" x14ac:dyDescent="0.2">
      <c r="A996" s="115"/>
      <c r="B996" s="139" t="s">
        <v>460</v>
      </c>
      <c r="C996" s="140" t="s">
        <v>461</v>
      </c>
      <c r="D996" s="141">
        <v>45820</v>
      </c>
      <c r="E996" s="141">
        <v>45868</v>
      </c>
      <c r="F996" s="57">
        <v>1100</v>
      </c>
      <c r="G996" s="58">
        <f t="shared" si="225"/>
        <v>-154</v>
      </c>
      <c r="H996" s="142">
        <f t="shared" si="226"/>
        <v>0</v>
      </c>
      <c r="I996" s="142">
        <f t="shared" si="227"/>
        <v>1100</v>
      </c>
      <c r="J996" s="143">
        <f t="shared" si="228"/>
        <v>0</v>
      </c>
      <c r="K996" s="143">
        <f t="shared" si="229"/>
        <v>0</v>
      </c>
      <c r="L996" s="142">
        <f t="shared" si="230"/>
        <v>0</v>
      </c>
      <c r="M996" s="142">
        <f t="shared" si="231"/>
        <v>0</v>
      </c>
      <c r="N996" s="142">
        <f t="shared" si="232"/>
        <v>0</v>
      </c>
      <c r="O996" s="59">
        <f t="shared" si="233"/>
        <v>1100</v>
      </c>
      <c r="P996" s="142">
        <f t="shared" si="234"/>
        <v>0</v>
      </c>
      <c r="Q996" s="142">
        <f t="shared" si="235"/>
        <v>0</v>
      </c>
      <c r="R996" s="142">
        <f t="shared" si="236"/>
        <v>0</v>
      </c>
      <c r="S996" s="142">
        <f t="shared" si="237"/>
        <v>0</v>
      </c>
      <c r="T996" s="142">
        <f t="shared" si="238"/>
        <v>0</v>
      </c>
      <c r="U996" s="60">
        <f t="shared" si="239"/>
        <v>0</v>
      </c>
    </row>
    <row r="997" spans="1:24" x14ac:dyDescent="0.2">
      <c r="A997" s="115"/>
      <c r="B997" s="139" t="s">
        <v>67</v>
      </c>
      <c r="C997" s="140" t="s">
        <v>302</v>
      </c>
      <c r="D997" s="141">
        <v>45397</v>
      </c>
      <c r="E997" s="141">
        <v>45457</v>
      </c>
      <c r="F997" s="57">
        <v>24000</v>
      </c>
      <c r="G997" s="58">
        <f t="shared" si="225"/>
        <v>-565</v>
      </c>
      <c r="H997" s="142">
        <f t="shared" si="226"/>
        <v>24000</v>
      </c>
      <c r="I997" s="142">
        <f t="shared" si="227"/>
        <v>0</v>
      </c>
      <c r="J997" s="143">
        <f t="shared" si="228"/>
        <v>0</v>
      </c>
      <c r="K997" s="143">
        <f t="shared" si="229"/>
        <v>0</v>
      </c>
      <c r="L997" s="142">
        <f t="shared" si="230"/>
        <v>0</v>
      </c>
      <c r="M997" s="142">
        <f t="shared" si="231"/>
        <v>0</v>
      </c>
      <c r="N997" s="142">
        <f t="shared" si="232"/>
        <v>0</v>
      </c>
      <c r="O997" s="59">
        <f t="shared" si="233"/>
        <v>24000</v>
      </c>
      <c r="P997" s="142">
        <f t="shared" si="234"/>
        <v>0</v>
      </c>
      <c r="Q997" s="142">
        <f t="shared" si="235"/>
        <v>0</v>
      </c>
      <c r="R997" s="142">
        <f t="shared" si="236"/>
        <v>0</v>
      </c>
      <c r="S997" s="142">
        <f t="shared" si="237"/>
        <v>0</v>
      </c>
      <c r="T997" s="142">
        <f t="shared" si="238"/>
        <v>0</v>
      </c>
      <c r="U997" s="60">
        <f t="shared" si="239"/>
        <v>0</v>
      </c>
    </row>
    <row r="998" spans="1:24" x14ac:dyDescent="0.2">
      <c r="A998" s="115"/>
      <c r="B998" s="139" t="s">
        <v>837</v>
      </c>
      <c r="C998" s="140" t="s">
        <v>838</v>
      </c>
      <c r="D998" s="141">
        <v>45937</v>
      </c>
      <c r="E998" s="141">
        <v>46027</v>
      </c>
      <c r="F998" s="57">
        <v>76154</v>
      </c>
      <c r="G998" s="58">
        <f t="shared" si="225"/>
        <v>5</v>
      </c>
      <c r="H998" s="142">
        <f t="shared" si="226"/>
        <v>0</v>
      </c>
      <c r="I998" s="142">
        <f t="shared" si="227"/>
        <v>0</v>
      </c>
      <c r="J998" s="143">
        <f t="shared" si="228"/>
        <v>0</v>
      </c>
      <c r="K998" s="143">
        <f t="shared" si="229"/>
        <v>0</v>
      </c>
      <c r="L998" s="142">
        <f t="shared" si="230"/>
        <v>0</v>
      </c>
      <c r="M998" s="142">
        <f t="shared" si="231"/>
        <v>0</v>
      </c>
      <c r="N998" s="142">
        <f t="shared" si="232"/>
        <v>0</v>
      </c>
      <c r="O998" s="59">
        <f t="shared" si="233"/>
        <v>0</v>
      </c>
      <c r="P998" s="142">
        <f t="shared" si="234"/>
        <v>76154</v>
      </c>
      <c r="Q998" s="142">
        <f t="shared" si="235"/>
        <v>0</v>
      </c>
      <c r="R998" s="142">
        <f t="shared" si="236"/>
        <v>0</v>
      </c>
      <c r="S998" s="142">
        <f t="shared" si="237"/>
        <v>0</v>
      </c>
      <c r="T998" s="142">
        <f t="shared" si="238"/>
        <v>0</v>
      </c>
      <c r="U998" s="60">
        <f t="shared" si="239"/>
        <v>76154</v>
      </c>
    </row>
    <row r="999" spans="1:24" x14ac:dyDescent="0.2">
      <c r="A999" s="115"/>
      <c r="B999" s="139" t="s">
        <v>462</v>
      </c>
      <c r="C999" s="140" t="s">
        <v>424</v>
      </c>
      <c r="D999" s="141">
        <v>45825</v>
      </c>
      <c r="E999" s="141">
        <v>46037</v>
      </c>
      <c r="F999" s="57">
        <v>18757.14</v>
      </c>
      <c r="G999" s="58">
        <f t="shared" si="225"/>
        <v>15</v>
      </c>
      <c r="H999" s="142">
        <f t="shared" si="226"/>
        <v>0</v>
      </c>
      <c r="I999" s="142">
        <f t="shared" si="227"/>
        <v>0</v>
      </c>
      <c r="J999" s="143">
        <f t="shared" si="228"/>
        <v>0</v>
      </c>
      <c r="K999" s="143">
        <f t="shared" si="229"/>
        <v>0</v>
      </c>
      <c r="L999" s="142">
        <f t="shared" si="230"/>
        <v>0</v>
      </c>
      <c r="M999" s="142">
        <f t="shared" si="231"/>
        <v>0</v>
      </c>
      <c r="N999" s="142">
        <f t="shared" si="232"/>
        <v>0</v>
      </c>
      <c r="O999" s="59">
        <f t="shared" si="233"/>
        <v>0</v>
      </c>
      <c r="P999" s="142">
        <f t="shared" si="234"/>
        <v>18757.14</v>
      </c>
      <c r="Q999" s="142">
        <f t="shared" si="235"/>
        <v>0</v>
      </c>
      <c r="R999" s="142">
        <f t="shared" si="236"/>
        <v>0</v>
      </c>
      <c r="S999" s="142">
        <f t="shared" si="237"/>
        <v>0</v>
      </c>
      <c r="T999" s="142">
        <f t="shared" si="238"/>
        <v>0</v>
      </c>
      <c r="U999" s="60">
        <f t="shared" si="239"/>
        <v>18757.14</v>
      </c>
    </row>
    <row r="1000" spans="1:24" x14ac:dyDescent="0.2">
      <c r="A1000" s="115"/>
      <c r="B1000" s="139" t="s">
        <v>462</v>
      </c>
      <c r="C1000" s="140" t="s">
        <v>1009</v>
      </c>
      <c r="D1000" s="141">
        <v>46001</v>
      </c>
      <c r="E1000" s="141">
        <v>46042</v>
      </c>
      <c r="F1000" s="57">
        <v>27233.33</v>
      </c>
      <c r="G1000" s="58">
        <f t="shared" si="225"/>
        <v>20</v>
      </c>
      <c r="H1000" s="142">
        <f t="shared" si="226"/>
        <v>0</v>
      </c>
      <c r="I1000" s="142">
        <f t="shared" si="227"/>
        <v>0</v>
      </c>
      <c r="J1000" s="143">
        <f t="shared" si="228"/>
        <v>0</v>
      </c>
      <c r="K1000" s="143">
        <f t="shared" si="229"/>
        <v>0</v>
      </c>
      <c r="L1000" s="142">
        <f t="shared" si="230"/>
        <v>0</v>
      </c>
      <c r="M1000" s="142">
        <f t="shared" si="231"/>
        <v>0</v>
      </c>
      <c r="N1000" s="142">
        <f t="shared" si="232"/>
        <v>0</v>
      </c>
      <c r="O1000" s="59">
        <f t="shared" si="233"/>
        <v>0</v>
      </c>
      <c r="P1000" s="142">
        <f t="shared" si="234"/>
        <v>27233.33</v>
      </c>
      <c r="Q1000" s="142">
        <f t="shared" si="235"/>
        <v>0</v>
      </c>
      <c r="R1000" s="142">
        <f t="shared" si="236"/>
        <v>0</v>
      </c>
      <c r="S1000" s="142">
        <f t="shared" si="237"/>
        <v>0</v>
      </c>
      <c r="T1000" s="142">
        <f t="shared" si="238"/>
        <v>0</v>
      </c>
      <c r="U1000" s="60">
        <f t="shared" si="239"/>
        <v>27233.33</v>
      </c>
    </row>
    <row r="1001" spans="1:24" x14ac:dyDescent="0.2">
      <c r="A1001" s="115"/>
      <c r="B1001" s="139" t="s">
        <v>462</v>
      </c>
      <c r="C1001" s="140" t="s">
        <v>424</v>
      </c>
      <c r="D1001" s="141">
        <v>45825</v>
      </c>
      <c r="E1001" s="141">
        <v>46068</v>
      </c>
      <c r="F1001" s="57">
        <v>18757.14</v>
      </c>
      <c r="G1001" s="58">
        <f t="shared" si="225"/>
        <v>46</v>
      </c>
      <c r="H1001" s="142">
        <f t="shared" si="226"/>
        <v>0</v>
      </c>
      <c r="I1001" s="142">
        <f t="shared" si="227"/>
        <v>0</v>
      </c>
      <c r="J1001" s="143">
        <f t="shared" si="228"/>
        <v>0</v>
      </c>
      <c r="K1001" s="143">
        <f t="shared" si="229"/>
        <v>0</v>
      </c>
      <c r="L1001" s="142">
        <f t="shared" si="230"/>
        <v>0</v>
      </c>
      <c r="M1001" s="142">
        <f t="shared" si="231"/>
        <v>0</v>
      </c>
      <c r="N1001" s="142">
        <f t="shared" si="232"/>
        <v>0</v>
      </c>
      <c r="O1001" s="59">
        <f t="shared" si="233"/>
        <v>0</v>
      </c>
      <c r="P1001" s="142">
        <f t="shared" si="234"/>
        <v>0</v>
      </c>
      <c r="Q1001" s="142">
        <f t="shared" si="235"/>
        <v>18757.14</v>
      </c>
      <c r="R1001" s="142">
        <f t="shared" si="236"/>
        <v>0</v>
      </c>
      <c r="S1001" s="142">
        <f t="shared" si="237"/>
        <v>0</v>
      </c>
      <c r="T1001" s="142">
        <f t="shared" si="238"/>
        <v>0</v>
      </c>
      <c r="U1001" s="60">
        <f t="shared" si="239"/>
        <v>18757.14</v>
      </c>
    </row>
    <row r="1002" spans="1:24" x14ac:dyDescent="0.2">
      <c r="A1002" s="115"/>
      <c r="B1002" s="139" t="s">
        <v>462</v>
      </c>
      <c r="C1002" s="140" t="s">
        <v>1009</v>
      </c>
      <c r="D1002" s="141">
        <v>46001</v>
      </c>
      <c r="E1002" s="141">
        <v>46073</v>
      </c>
      <c r="F1002" s="57">
        <v>27233.33</v>
      </c>
      <c r="G1002" s="58">
        <f t="shared" si="225"/>
        <v>51</v>
      </c>
      <c r="H1002" s="142">
        <f t="shared" si="226"/>
        <v>0</v>
      </c>
      <c r="I1002" s="142">
        <f t="shared" si="227"/>
        <v>0</v>
      </c>
      <c r="J1002" s="143">
        <f t="shared" si="228"/>
        <v>0</v>
      </c>
      <c r="K1002" s="143">
        <f t="shared" si="229"/>
        <v>0</v>
      </c>
      <c r="L1002" s="142">
        <f t="shared" si="230"/>
        <v>0</v>
      </c>
      <c r="M1002" s="142">
        <f t="shared" si="231"/>
        <v>0</v>
      </c>
      <c r="N1002" s="142">
        <f t="shared" si="232"/>
        <v>0</v>
      </c>
      <c r="O1002" s="59">
        <f t="shared" si="233"/>
        <v>0</v>
      </c>
      <c r="P1002" s="142">
        <f t="shared" si="234"/>
        <v>0</v>
      </c>
      <c r="Q1002" s="142">
        <f t="shared" si="235"/>
        <v>27233.33</v>
      </c>
      <c r="R1002" s="142">
        <f t="shared" si="236"/>
        <v>0</v>
      </c>
      <c r="S1002" s="142">
        <f t="shared" si="237"/>
        <v>0</v>
      </c>
      <c r="T1002" s="142">
        <f t="shared" si="238"/>
        <v>0</v>
      </c>
      <c r="U1002" s="60">
        <f t="shared" si="239"/>
        <v>27233.33</v>
      </c>
    </row>
    <row r="1003" spans="1:24" x14ac:dyDescent="0.2">
      <c r="A1003" s="115"/>
      <c r="B1003" s="139" t="s">
        <v>462</v>
      </c>
      <c r="C1003" s="140" t="s">
        <v>1009</v>
      </c>
      <c r="D1003" s="141">
        <v>46001</v>
      </c>
      <c r="E1003" s="141">
        <v>46101</v>
      </c>
      <c r="F1003" s="57">
        <v>27233.34</v>
      </c>
      <c r="G1003" s="58">
        <f t="shared" si="225"/>
        <v>79</v>
      </c>
      <c r="H1003" s="142">
        <f t="shared" si="226"/>
        <v>0</v>
      </c>
      <c r="I1003" s="142">
        <f t="shared" si="227"/>
        <v>0</v>
      </c>
      <c r="J1003" s="143">
        <f t="shared" si="228"/>
        <v>0</v>
      </c>
      <c r="K1003" s="143">
        <f t="shared" si="229"/>
        <v>0</v>
      </c>
      <c r="L1003" s="142">
        <f t="shared" si="230"/>
        <v>0</v>
      </c>
      <c r="M1003" s="142">
        <f t="shared" si="231"/>
        <v>0</v>
      </c>
      <c r="N1003" s="142">
        <f t="shared" si="232"/>
        <v>0</v>
      </c>
      <c r="O1003" s="59">
        <f t="shared" si="233"/>
        <v>0</v>
      </c>
      <c r="P1003" s="142">
        <f t="shared" si="234"/>
        <v>0</v>
      </c>
      <c r="Q1003" s="142">
        <f t="shared" si="235"/>
        <v>0</v>
      </c>
      <c r="R1003" s="142">
        <f t="shared" si="236"/>
        <v>27233.34</v>
      </c>
      <c r="S1003" s="142">
        <f t="shared" si="237"/>
        <v>0</v>
      </c>
      <c r="T1003" s="142">
        <f t="shared" si="238"/>
        <v>0</v>
      </c>
      <c r="U1003" s="60">
        <f t="shared" si="239"/>
        <v>27233.34</v>
      </c>
    </row>
    <row r="1004" spans="1:24" x14ac:dyDescent="0.2">
      <c r="A1004" s="115"/>
      <c r="B1004" s="139" t="s">
        <v>697</v>
      </c>
      <c r="C1004" s="140" t="s">
        <v>1010</v>
      </c>
      <c r="D1004" s="141">
        <v>46017</v>
      </c>
      <c r="E1004" s="141">
        <v>46047</v>
      </c>
      <c r="F1004" s="57">
        <v>25825</v>
      </c>
      <c r="G1004" s="58">
        <f t="shared" si="225"/>
        <v>25</v>
      </c>
      <c r="H1004" s="142">
        <f t="shared" si="226"/>
        <v>0</v>
      </c>
      <c r="I1004" s="142">
        <f t="shared" si="227"/>
        <v>0</v>
      </c>
      <c r="J1004" s="143">
        <f t="shared" si="228"/>
        <v>0</v>
      </c>
      <c r="K1004" s="143">
        <f t="shared" si="229"/>
        <v>0</v>
      </c>
      <c r="L1004" s="142">
        <f t="shared" si="230"/>
        <v>0</v>
      </c>
      <c r="M1004" s="142">
        <f t="shared" si="231"/>
        <v>0</v>
      </c>
      <c r="N1004" s="142">
        <f t="shared" si="232"/>
        <v>0</v>
      </c>
      <c r="O1004" s="59">
        <f t="shared" si="233"/>
        <v>0</v>
      </c>
      <c r="P1004" s="142">
        <f t="shared" si="234"/>
        <v>25825</v>
      </c>
      <c r="Q1004" s="142">
        <f t="shared" si="235"/>
        <v>0</v>
      </c>
      <c r="R1004" s="142">
        <f t="shared" si="236"/>
        <v>0</v>
      </c>
      <c r="S1004" s="142">
        <f t="shared" si="237"/>
        <v>0</v>
      </c>
      <c r="T1004" s="142">
        <f t="shared" si="238"/>
        <v>0</v>
      </c>
      <c r="U1004" s="60">
        <f t="shared" si="239"/>
        <v>25825</v>
      </c>
    </row>
    <row r="1005" spans="1:24" x14ac:dyDescent="0.2">
      <c r="A1005" s="115"/>
      <c r="B1005" s="139" t="s">
        <v>463</v>
      </c>
      <c r="C1005" s="140" t="s">
        <v>698</v>
      </c>
      <c r="D1005" s="141">
        <v>45908</v>
      </c>
      <c r="E1005" s="141">
        <v>46028</v>
      </c>
      <c r="F1005" s="57">
        <v>9050</v>
      </c>
      <c r="G1005" s="58">
        <f t="shared" si="225"/>
        <v>6</v>
      </c>
      <c r="H1005" s="142">
        <f t="shared" si="226"/>
        <v>0</v>
      </c>
      <c r="I1005" s="142">
        <f t="shared" si="227"/>
        <v>0</v>
      </c>
      <c r="J1005" s="143">
        <f t="shared" si="228"/>
        <v>0</v>
      </c>
      <c r="K1005" s="143">
        <f t="shared" si="229"/>
        <v>0</v>
      </c>
      <c r="L1005" s="142">
        <f t="shared" si="230"/>
        <v>0</v>
      </c>
      <c r="M1005" s="142">
        <f t="shared" si="231"/>
        <v>0</v>
      </c>
      <c r="N1005" s="142">
        <f t="shared" si="232"/>
        <v>0</v>
      </c>
      <c r="O1005" s="59">
        <f t="shared" si="233"/>
        <v>0</v>
      </c>
      <c r="P1005" s="142">
        <f t="shared" si="234"/>
        <v>9050</v>
      </c>
      <c r="Q1005" s="142">
        <f t="shared" si="235"/>
        <v>0</v>
      </c>
      <c r="R1005" s="142">
        <f t="shared" si="236"/>
        <v>0</v>
      </c>
      <c r="S1005" s="142">
        <f t="shared" si="237"/>
        <v>0</v>
      </c>
      <c r="T1005" s="142">
        <f t="shared" si="238"/>
        <v>0</v>
      </c>
      <c r="U1005" s="60">
        <f t="shared" si="239"/>
        <v>9050</v>
      </c>
    </row>
    <row r="1006" spans="1:24" x14ac:dyDescent="0.2">
      <c r="A1006" s="115"/>
      <c r="B1006" s="139" t="s">
        <v>463</v>
      </c>
      <c r="C1006" s="140" t="s">
        <v>777</v>
      </c>
      <c r="D1006" s="141">
        <v>45940</v>
      </c>
      <c r="E1006" s="141">
        <v>46029</v>
      </c>
      <c r="F1006" s="57">
        <v>13333.33</v>
      </c>
      <c r="G1006" s="58">
        <f t="shared" si="225"/>
        <v>7</v>
      </c>
      <c r="H1006" s="142">
        <f t="shared" si="226"/>
        <v>0</v>
      </c>
      <c r="I1006" s="142">
        <f t="shared" si="227"/>
        <v>0</v>
      </c>
      <c r="J1006" s="143">
        <f t="shared" si="228"/>
        <v>0</v>
      </c>
      <c r="K1006" s="143">
        <f t="shared" si="229"/>
        <v>0</v>
      </c>
      <c r="L1006" s="142">
        <f t="shared" si="230"/>
        <v>0</v>
      </c>
      <c r="M1006" s="142">
        <f t="shared" si="231"/>
        <v>0</v>
      </c>
      <c r="N1006" s="142">
        <f t="shared" si="232"/>
        <v>0</v>
      </c>
      <c r="O1006" s="59">
        <f t="shared" si="233"/>
        <v>0</v>
      </c>
      <c r="P1006" s="142">
        <f t="shared" si="234"/>
        <v>13333.33</v>
      </c>
      <c r="Q1006" s="142">
        <f t="shared" si="235"/>
        <v>0</v>
      </c>
      <c r="R1006" s="142">
        <f t="shared" si="236"/>
        <v>0</v>
      </c>
      <c r="S1006" s="142">
        <f t="shared" si="237"/>
        <v>0</v>
      </c>
      <c r="T1006" s="142">
        <f t="shared" si="238"/>
        <v>0</v>
      </c>
      <c r="U1006" s="60">
        <f t="shared" si="239"/>
        <v>13333.33</v>
      </c>
    </row>
    <row r="1007" spans="1:24" x14ac:dyDescent="0.2">
      <c r="A1007" s="115"/>
      <c r="B1007" s="139" t="s">
        <v>463</v>
      </c>
      <c r="C1007" s="140" t="s">
        <v>699</v>
      </c>
      <c r="D1007" s="141">
        <v>45916</v>
      </c>
      <c r="E1007" s="141">
        <v>46035</v>
      </c>
      <c r="F1007" s="57">
        <v>14447.67</v>
      </c>
      <c r="G1007" s="58">
        <f t="shared" si="225"/>
        <v>13</v>
      </c>
      <c r="H1007" s="142">
        <f t="shared" si="226"/>
        <v>0</v>
      </c>
      <c r="I1007" s="142">
        <f t="shared" si="227"/>
        <v>0</v>
      </c>
      <c r="J1007" s="143">
        <f t="shared" si="228"/>
        <v>0</v>
      </c>
      <c r="K1007" s="143">
        <f t="shared" si="229"/>
        <v>0</v>
      </c>
      <c r="L1007" s="142">
        <f t="shared" si="230"/>
        <v>0</v>
      </c>
      <c r="M1007" s="142">
        <f t="shared" si="231"/>
        <v>0</v>
      </c>
      <c r="N1007" s="142">
        <f t="shared" si="232"/>
        <v>0</v>
      </c>
      <c r="O1007" s="59">
        <f t="shared" si="233"/>
        <v>0</v>
      </c>
      <c r="P1007" s="142">
        <f t="shared" si="234"/>
        <v>14447.67</v>
      </c>
      <c r="Q1007" s="142">
        <f t="shared" si="235"/>
        <v>0</v>
      </c>
      <c r="R1007" s="142">
        <f t="shared" si="236"/>
        <v>0</v>
      </c>
      <c r="S1007" s="142">
        <f t="shared" si="237"/>
        <v>0</v>
      </c>
      <c r="T1007" s="142">
        <f t="shared" si="238"/>
        <v>0</v>
      </c>
      <c r="U1007" s="60">
        <f t="shared" si="239"/>
        <v>14447.67</v>
      </c>
    </row>
    <row r="1008" spans="1:24" x14ac:dyDescent="0.2">
      <c r="A1008" s="115"/>
      <c r="B1008" s="139" t="s">
        <v>463</v>
      </c>
      <c r="C1008" s="140" t="s">
        <v>700</v>
      </c>
      <c r="D1008" s="141">
        <v>45919</v>
      </c>
      <c r="E1008" s="141">
        <v>46038</v>
      </c>
      <c r="F1008" s="57">
        <v>13333.33</v>
      </c>
      <c r="G1008" s="58">
        <f t="shared" si="225"/>
        <v>16</v>
      </c>
      <c r="H1008" s="142">
        <f t="shared" si="226"/>
        <v>0</v>
      </c>
      <c r="I1008" s="142">
        <f t="shared" si="227"/>
        <v>0</v>
      </c>
      <c r="J1008" s="143">
        <f t="shared" si="228"/>
        <v>0</v>
      </c>
      <c r="K1008" s="143">
        <f t="shared" si="229"/>
        <v>0</v>
      </c>
      <c r="L1008" s="142">
        <f t="shared" si="230"/>
        <v>0</v>
      </c>
      <c r="M1008" s="142">
        <f t="shared" si="231"/>
        <v>0</v>
      </c>
      <c r="N1008" s="142">
        <f t="shared" si="232"/>
        <v>0</v>
      </c>
      <c r="O1008" s="59">
        <f t="shared" si="233"/>
        <v>0</v>
      </c>
      <c r="P1008" s="142">
        <f t="shared" si="234"/>
        <v>13333.33</v>
      </c>
      <c r="Q1008" s="142">
        <f t="shared" si="235"/>
        <v>0</v>
      </c>
      <c r="R1008" s="142">
        <f t="shared" si="236"/>
        <v>0</v>
      </c>
      <c r="S1008" s="142">
        <f t="shared" si="237"/>
        <v>0</v>
      </c>
      <c r="T1008" s="142">
        <f t="shared" si="238"/>
        <v>0</v>
      </c>
      <c r="U1008" s="60">
        <f t="shared" si="239"/>
        <v>13333.33</v>
      </c>
    </row>
    <row r="1009" spans="1:21" x14ac:dyDescent="0.2">
      <c r="A1009" s="115"/>
      <c r="B1009" s="139" t="s">
        <v>463</v>
      </c>
      <c r="C1009" s="140" t="s">
        <v>1011</v>
      </c>
      <c r="D1009" s="141">
        <v>46009</v>
      </c>
      <c r="E1009" s="141">
        <v>46038</v>
      </c>
      <c r="F1009" s="57">
        <v>27300</v>
      </c>
      <c r="G1009" s="58">
        <f t="shared" si="225"/>
        <v>16</v>
      </c>
      <c r="H1009" s="142">
        <f t="shared" si="226"/>
        <v>0</v>
      </c>
      <c r="I1009" s="142">
        <f t="shared" si="227"/>
        <v>0</v>
      </c>
      <c r="J1009" s="143">
        <f t="shared" si="228"/>
        <v>0</v>
      </c>
      <c r="K1009" s="143">
        <f t="shared" si="229"/>
        <v>0</v>
      </c>
      <c r="L1009" s="142">
        <f t="shared" si="230"/>
        <v>0</v>
      </c>
      <c r="M1009" s="142">
        <f t="shared" si="231"/>
        <v>0</v>
      </c>
      <c r="N1009" s="142">
        <f t="shared" si="232"/>
        <v>0</v>
      </c>
      <c r="O1009" s="59">
        <f t="shared" si="233"/>
        <v>0</v>
      </c>
      <c r="P1009" s="142">
        <f t="shared" si="234"/>
        <v>27300</v>
      </c>
      <c r="Q1009" s="142">
        <f t="shared" si="235"/>
        <v>0</v>
      </c>
      <c r="R1009" s="142">
        <f t="shared" si="236"/>
        <v>0</v>
      </c>
      <c r="S1009" s="142">
        <f t="shared" si="237"/>
        <v>0</v>
      </c>
      <c r="T1009" s="142">
        <f t="shared" si="238"/>
        <v>0</v>
      </c>
      <c r="U1009" s="60">
        <f t="shared" si="239"/>
        <v>27300</v>
      </c>
    </row>
    <row r="1010" spans="1:21" x14ac:dyDescent="0.2">
      <c r="A1010" s="115"/>
      <c r="B1010" s="139" t="s">
        <v>463</v>
      </c>
      <c r="C1010" s="140" t="s">
        <v>760</v>
      </c>
      <c r="D1010" s="141">
        <v>45961</v>
      </c>
      <c r="E1010" s="141">
        <v>46050</v>
      </c>
      <c r="F1010" s="57">
        <v>7300</v>
      </c>
      <c r="G1010" s="58">
        <f t="shared" si="225"/>
        <v>28</v>
      </c>
      <c r="H1010" s="142">
        <f t="shared" si="226"/>
        <v>0</v>
      </c>
      <c r="I1010" s="142">
        <f t="shared" si="227"/>
        <v>0</v>
      </c>
      <c r="J1010" s="143">
        <f t="shared" si="228"/>
        <v>0</v>
      </c>
      <c r="K1010" s="143">
        <f t="shared" si="229"/>
        <v>0</v>
      </c>
      <c r="L1010" s="142">
        <f t="shared" si="230"/>
        <v>0</v>
      </c>
      <c r="M1010" s="142">
        <f t="shared" si="231"/>
        <v>0</v>
      </c>
      <c r="N1010" s="142">
        <f t="shared" si="232"/>
        <v>0</v>
      </c>
      <c r="O1010" s="59">
        <f t="shared" si="233"/>
        <v>0</v>
      </c>
      <c r="P1010" s="142">
        <f t="shared" si="234"/>
        <v>7300</v>
      </c>
      <c r="Q1010" s="142">
        <f t="shared" si="235"/>
        <v>0</v>
      </c>
      <c r="R1010" s="142">
        <f t="shared" si="236"/>
        <v>0</v>
      </c>
      <c r="S1010" s="142">
        <f t="shared" si="237"/>
        <v>0</v>
      </c>
      <c r="T1010" s="142">
        <f t="shared" si="238"/>
        <v>0</v>
      </c>
      <c r="U1010" s="60">
        <f t="shared" si="239"/>
        <v>7300</v>
      </c>
    </row>
    <row r="1011" spans="1:21" x14ac:dyDescent="0.2">
      <c r="A1011" s="115"/>
      <c r="B1011" s="139" t="s">
        <v>463</v>
      </c>
      <c r="C1011" s="140" t="s">
        <v>777</v>
      </c>
      <c r="D1011" s="141">
        <v>45940</v>
      </c>
      <c r="E1011" s="141">
        <v>46059</v>
      </c>
      <c r="F1011" s="57">
        <v>13333.33</v>
      </c>
      <c r="G1011" s="58">
        <f t="shared" si="225"/>
        <v>37</v>
      </c>
      <c r="H1011" s="142">
        <f t="shared" si="226"/>
        <v>0</v>
      </c>
      <c r="I1011" s="142">
        <f t="shared" si="227"/>
        <v>0</v>
      </c>
      <c r="J1011" s="143">
        <f t="shared" si="228"/>
        <v>0</v>
      </c>
      <c r="K1011" s="143">
        <f t="shared" si="229"/>
        <v>0</v>
      </c>
      <c r="L1011" s="142">
        <f t="shared" si="230"/>
        <v>0</v>
      </c>
      <c r="M1011" s="142">
        <f t="shared" si="231"/>
        <v>0</v>
      </c>
      <c r="N1011" s="142">
        <f t="shared" si="232"/>
        <v>0</v>
      </c>
      <c r="O1011" s="59">
        <f t="shared" si="233"/>
        <v>0</v>
      </c>
      <c r="P1011" s="142">
        <f t="shared" si="234"/>
        <v>0</v>
      </c>
      <c r="Q1011" s="142">
        <f t="shared" si="235"/>
        <v>13333.33</v>
      </c>
      <c r="R1011" s="142">
        <f t="shared" si="236"/>
        <v>0</v>
      </c>
      <c r="S1011" s="142">
        <f t="shared" si="237"/>
        <v>0</v>
      </c>
      <c r="T1011" s="142">
        <f t="shared" si="238"/>
        <v>0</v>
      </c>
      <c r="U1011" s="60">
        <f t="shared" si="239"/>
        <v>13333.33</v>
      </c>
    </row>
    <row r="1012" spans="1:21" x14ac:dyDescent="0.2">
      <c r="A1012" s="115"/>
      <c r="B1012" s="139" t="s">
        <v>463</v>
      </c>
      <c r="C1012" s="140" t="s">
        <v>699</v>
      </c>
      <c r="D1012" s="141">
        <v>45916</v>
      </c>
      <c r="E1012" s="141">
        <v>46065</v>
      </c>
      <c r="F1012" s="57">
        <v>14447.67</v>
      </c>
      <c r="G1012" s="58">
        <f t="shared" si="225"/>
        <v>43</v>
      </c>
      <c r="H1012" s="142">
        <f t="shared" si="226"/>
        <v>0</v>
      </c>
      <c r="I1012" s="142">
        <f t="shared" si="227"/>
        <v>0</v>
      </c>
      <c r="J1012" s="143">
        <f t="shared" si="228"/>
        <v>0</v>
      </c>
      <c r="K1012" s="143">
        <f t="shared" si="229"/>
        <v>0</v>
      </c>
      <c r="L1012" s="142">
        <f t="shared" si="230"/>
        <v>0</v>
      </c>
      <c r="M1012" s="142">
        <f t="shared" si="231"/>
        <v>0</v>
      </c>
      <c r="N1012" s="142">
        <f t="shared" si="232"/>
        <v>0</v>
      </c>
      <c r="O1012" s="59">
        <f t="shared" si="233"/>
        <v>0</v>
      </c>
      <c r="P1012" s="142">
        <f t="shared" si="234"/>
        <v>0</v>
      </c>
      <c r="Q1012" s="142">
        <f t="shared" si="235"/>
        <v>14447.67</v>
      </c>
      <c r="R1012" s="142">
        <f t="shared" si="236"/>
        <v>0</v>
      </c>
      <c r="S1012" s="142">
        <f t="shared" si="237"/>
        <v>0</v>
      </c>
      <c r="T1012" s="142">
        <f t="shared" si="238"/>
        <v>0</v>
      </c>
      <c r="U1012" s="60">
        <f t="shared" si="239"/>
        <v>14447.67</v>
      </c>
    </row>
    <row r="1013" spans="1:21" x14ac:dyDescent="0.2">
      <c r="A1013" s="115"/>
      <c r="B1013" s="139" t="s">
        <v>463</v>
      </c>
      <c r="C1013" s="140" t="s">
        <v>700</v>
      </c>
      <c r="D1013" s="141">
        <v>45919</v>
      </c>
      <c r="E1013" s="141">
        <v>46068</v>
      </c>
      <c r="F1013" s="57">
        <v>13333.33</v>
      </c>
      <c r="G1013" s="58">
        <f t="shared" si="225"/>
        <v>46</v>
      </c>
      <c r="H1013" s="142">
        <f t="shared" si="226"/>
        <v>0</v>
      </c>
      <c r="I1013" s="142">
        <f t="shared" si="227"/>
        <v>0</v>
      </c>
      <c r="J1013" s="143">
        <f t="shared" si="228"/>
        <v>0</v>
      </c>
      <c r="K1013" s="143">
        <f t="shared" si="229"/>
        <v>0</v>
      </c>
      <c r="L1013" s="142">
        <f t="shared" si="230"/>
        <v>0</v>
      </c>
      <c r="M1013" s="142">
        <f t="shared" si="231"/>
        <v>0</v>
      </c>
      <c r="N1013" s="142">
        <f t="shared" si="232"/>
        <v>0</v>
      </c>
      <c r="O1013" s="59">
        <f t="shared" si="233"/>
        <v>0</v>
      </c>
      <c r="P1013" s="142">
        <f t="shared" si="234"/>
        <v>0</v>
      </c>
      <c r="Q1013" s="142">
        <f t="shared" si="235"/>
        <v>13333.33</v>
      </c>
      <c r="R1013" s="142">
        <f t="shared" si="236"/>
        <v>0</v>
      </c>
      <c r="S1013" s="142">
        <f t="shared" si="237"/>
        <v>0</v>
      </c>
      <c r="T1013" s="142">
        <f t="shared" si="238"/>
        <v>0</v>
      </c>
      <c r="U1013" s="60">
        <f t="shared" si="239"/>
        <v>13333.33</v>
      </c>
    </row>
    <row r="1014" spans="1:21" x14ac:dyDescent="0.2">
      <c r="A1014" s="115"/>
      <c r="B1014" s="139" t="s">
        <v>463</v>
      </c>
      <c r="C1014" s="140" t="s">
        <v>1011</v>
      </c>
      <c r="D1014" s="141">
        <v>46009</v>
      </c>
      <c r="E1014" s="141">
        <v>46068</v>
      </c>
      <c r="F1014" s="57">
        <v>27300</v>
      </c>
      <c r="G1014" s="58">
        <f t="shared" si="225"/>
        <v>46</v>
      </c>
      <c r="H1014" s="142">
        <f t="shared" si="226"/>
        <v>0</v>
      </c>
      <c r="I1014" s="142">
        <f t="shared" si="227"/>
        <v>0</v>
      </c>
      <c r="J1014" s="143">
        <f t="shared" si="228"/>
        <v>0</v>
      </c>
      <c r="K1014" s="143">
        <f t="shared" si="229"/>
        <v>0</v>
      </c>
      <c r="L1014" s="142">
        <f t="shared" si="230"/>
        <v>0</v>
      </c>
      <c r="M1014" s="142">
        <f t="shared" si="231"/>
        <v>0</v>
      </c>
      <c r="N1014" s="142">
        <f t="shared" si="232"/>
        <v>0</v>
      </c>
      <c r="O1014" s="59">
        <f t="shared" si="233"/>
        <v>0</v>
      </c>
      <c r="P1014" s="142">
        <f t="shared" si="234"/>
        <v>0</v>
      </c>
      <c r="Q1014" s="142">
        <f t="shared" si="235"/>
        <v>27300</v>
      </c>
      <c r="R1014" s="142">
        <f t="shared" si="236"/>
        <v>0</v>
      </c>
      <c r="S1014" s="142">
        <f t="shared" si="237"/>
        <v>0</v>
      </c>
      <c r="T1014" s="142">
        <f t="shared" si="238"/>
        <v>0</v>
      </c>
      <c r="U1014" s="60">
        <f t="shared" si="239"/>
        <v>27300</v>
      </c>
    </row>
    <row r="1015" spans="1:21" x14ac:dyDescent="0.2">
      <c r="A1015" s="115"/>
      <c r="B1015" s="139" t="s">
        <v>463</v>
      </c>
      <c r="C1015" s="140" t="s">
        <v>760</v>
      </c>
      <c r="D1015" s="141">
        <v>45961</v>
      </c>
      <c r="E1015" s="141">
        <v>46080</v>
      </c>
      <c r="F1015" s="57">
        <v>7300</v>
      </c>
      <c r="G1015" s="58">
        <f t="shared" si="225"/>
        <v>58</v>
      </c>
      <c r="H1015" s="142">
        <f t="shared" si="226"/>
        <v>0</v>
      </c>
      <c r="I1015" s="142">
        <f t="shared" si="227"/>
        <v>0</v>
      </c>
      <c r="J1015" s="143">
        <f t="shared" si="228"/>
        <v>0</v>
      </c>
      <c r="K1015" s="143">
        <f t="shared" si="229"/>
        <v>0</v>
      </c>
      <c r="L1015" s="142">
        <f t="shared" si="230"/>
        <v>0</v>
      </c>
      <c r="M1015" s="142">
        <f t="shared" si="231"/>
        <v>0</v>
      </c>
      <c r="N1015" s="142">
        <f t="shared" si="232"/>
        <v>0</v>
      </c>
      <c r="O1015" s="59">
        <f t="shared" si="233"/>
        <v>0</v>
      </c>
      <c r="P1015" s="142">
        <f t="shared" si="234"/>
        <v>0</v>
      </c>
      <c r="Q1015" s="142">
        <f t="shared" si="235"/>
        <v>7300</v>
      </c>
      <c r="R1015" s="142">
        <f t="shared" si="236"/>
        <v>0</v>
      </c>
      <c r="S1015" s="142">
        <f t="shared" si="237"/>
        <v>0</v>
      </c>
      <c r="T1015" s="142">
        <f t="shared" si="238"/>
        <v>0</v>
      </c>
      <c r="U1015" s="60">
        <f t="shared" si="239"/>
        <v>7300</v>
      </c>
    </row>
    <row r="1016" spans="1:21" x14ac:dyDescent="0.2">
      <c r="A1016" s="115"/>
      <c r="B1016" s="139" t="s">
        <v>463</v>
      </c>
      <c r="C1016" s="140" t="s">
        <v>777</v>
      </c>
      <c r="D1016" s="141">
        <v>45940</v>
      </c>
      <c r="E1016" s="141">
        <v>46089</v>
      </c>
      <c r="F1016" s="57">
        <v>13333.33</v>
      </c>
      <c r="G1016" s="58">
        <f t="shared" si="225"/>
        <v>67</v>
      </c>
      <c r="H1016" s="142">
        <f t="shared" si="226"/>
        <v>0</v>
      </c>
      <c r="I1016" s="142">
        <f t="shared" si="227"/>
        <v>0</v>
      </c>
      <c r="J1016" s="143">
        <f t="shared" si="228"/>
        <v>0</v>
      </c>
      <c r="K1016" s="143">
        <f t="shared" si="229"/>
        <v>0</v>
      </c>
      <c r="L1016" s="142">
        <f t="shared" si="230"/>
        <v>0</v>
      </c>
      <c r="M1016" s="142">
        <f t="shared" si="231"/>
        <v>0</v>
      </c>
      <c r="N1016" s="142">
        <f t="shared" si="232"/>
        <v>0</v>
      </c>
      <c r="O1016" s="59">
        <f t="shared" si="233"/>
        <v>0</v>
      </c>
      <c r="P1016" s="142">
        <f t="shared" si="234"/>
        <v>0</v>
      </c>
      <c r="Q1016" s="142">
        <f t="shared" si="235"/>
        <v>0</v>
      </c>
      <c r="R1016" s="142">
        <f t="shared" si="236"/>
        <v>13333.33</v>
      </c>
      <c r="S1016" s="142">
        <f t="shared" si="237"/>
        <v>0</v>
      </c>
      <c r="T1016" s="142">
        <f t="shared" si="238"/>
        <v>0</v>
      </c>
      <c r="U1016" s="60">
        <f t="shared" si="239"/>
        <v>13333.33</v>
      </c>
    </row>
    <row r="1017" spans="1:21" x14ac:dyDescent="0.2">
      <c r="A1017" s="115"/>
      <c r="B1017" s="139" t="s">
        <v>463</v>
      </c>
      <c r="C1017" s="140" t="s">
        <v>699</v>
      </c>
      <c r="D1017" s="141">
        <v>45916</v>
      </c>
      <c r="E1017" s="141">
        <v>46095</v>
      </c>
      <c r="F1017" s="57">
        <v>14447.65</v>
      </c>
      <c r="G1017" s="58">
        <f t="shared" si="225"/>
        <v>73</v>
      </c>
      <c r="H1017" s="142">
        <f t="shared" si="226"/>
        <v>0</v>
      </c>
      <c r="I1017" s="142">
        <f t="shared" si="227"/>
        <v>0</v>
      </c>
      <c r="J1017" s="143">
        <f t="shared" si="228"/>
        <v>0</v>
      </c>
      <c r="K1017" s="143">
        <f t="shared" si="229"/>
        <v>0</v>
      </c>
      <c r="L1017" s="142">
        <f t="shared" si="230"/>
        <v>0</v>
      </c>
      <c r="M1017" s="142">
        <f t="shared" si="231"/>
        <v>0</v>
      </c>
      <c r="N1017" s="142">
        <f t="shared" si="232"/>
        <v>0</v>
      </c>
      <c r="O1017" s="59">
        <f t="shared" si="233"/>
        <v>0</v>
      </c>
      <c r="P1017" s="142">
        <f t="shared" si="234"/>
        <v>0</v>
      </c>
      <c r="Q1017" s="142">
        <f t="shared" si="235"/>
        <v>0</v>
      </c>
      <c r="R1017" s="142">
        <f t="shared" si="236"/>
        <v>14447.65</v>
      </c>
      <c r="S1017" s="142">
        <f t="shared" si="237"/>
        <v>0</v>
      </c>
      <c r="T1017" s="142">
        <f t="shared" si="238"/>
        <v>0</v>
      </c>
      <c r="U1017" s="60">
        <f t="shared" si="239"/>
        <v>14447.65</v>
      </c>
    </row>
    <row r="1018" spans="1:21" x14ac:dyDescent="0.2">
      <c r="A1018" s="115"/>
      <c r="B1018" s="139" t="s">
        <v>463</v>
      </c>
      <c r="C1018" s="140" t="s">
        <v>700</v>
      </c>
      <c r="D1018" s="141">
        <v>45919</v>
      </c>
      <c r="E1018" s="141">
        <v>46098</v>
      </c>
      <c r="F1018" s="57">
        <v>13333.35</v>
      </c>
      <c r="G1018" s="58">
        <f t="shared" si="225"/>
        <v>76</v>
      </c>
      <c r="H1018" s="142">
        <f t="shared" si="226"/>
        <v>0</v>
      </c>
      <c r="I1018" s="142">
        <f t="shared" si="227"/>
        <v>0</v>
      </c>
      <c r="J1018" s="143">
        <f t="shared" si="228"/>
        <v>0</v>
      </c>
      <c r="K1018" s="143">
        <f t="shared" si="229"/>
        <v>0</v>
      </c>
      <c r="L1018" s="142">
        <f t="shared" si="230"/>
        <v>0</v>
      </c>
      <c r="M1018" s="142">
        <f t="shared" si="231"/>
        <v>0</v>
      </c>
      <c r="N1018" s="142">
        <f t="shared" si="232"/>
        <v>0</v>
      </c>
      <c r="O1018" s="59">
        <f t="shared" si="233"/>
        <v>0</v>
      </c>
      <c r="P1018" s="142">
        <f t="shared" si="234"/>
        <v>0</v>
      </c>
      <c r="Q1018" s="142">
        <f t="shared" si="235"/>
        <v>0</v>
      </c>
      <c r="R1018" s="142">
        <f t="shared" si="236"/>
        <v>13333.35</v>
      </c>
      <c r="S1018" s="142">
        <f t="shared" si="237"/>
        <v>0</v>
      </c>
      <c r="T1018" s="142">
        <f t="shared" si="238"/>
        <v>0</v>
      </c>
      <c r="U1018" s="60">
        <f t="shared" si="239"/>
        <v>13333.35</v>
      </c>
    </row>
    <row r="1019" spans="1:21" x14ac:dyDescent="0.2">
      <c r="A1019" s="115"/>
      <c r="B1019" s="139" t="s">
        <v>463</v>
      </c>
      <c r="C1019" s="140" t="s">
        <v>1011</v>
      </c>
      <c r="D1019" s="141">
        <v>46009</v>
      </c>
      <c r="E1019" s="141">
        <v>46098</v>
      </c>
      <c r="F1019" s="57">
        <v>27300</v>
      </c>
      <c r="G1019" s="58">
        <f t="shared" si="225"/>
        <v>76</v>
      </c>
      <c r="H1019" s="142">
        <f t="shared" si="226"/>
        <v>0</v>
      </c>
      <c r="I1019" s="142">
        <f t="shared" si="227"/>
        <v>0</v>
      </c>
      <c r="J1019" s="143">
        <f t="shared" si="228"/>
        <v>0</v>
      </c>
      <c r="K1019" s="143">
        <f t="shared" si="229"/>
        <v>0</v>
      </c>
      <c r="L1019" s="142">
        <f t="shared" si="230"/>
        <v>0</v>
      </c>
      <c r="M1019" s="142">
        <f t="shared" si="231"/>
        <v>0</v>
      </c>
      <c r="N1019" s="142">
        <f t="shared" si="232"/>
        <v>0</v>
      </c>
      <c r="O1019" s="59">
        <f t="shared" si="233"/>
        <v>0</v>
      </c>
      <c r="P1019" s="142">
        <f t="shared" si="234"/>
        <v>0</v>
      </c>
      <c r="Q1019" s="142">
        <f t="shared" si="235"/>
        <v>0</v>
      </c>
      <c r="R1019" s="142">
        <f t="shared" si="236"/>
        <v>27300</v>
      </c>
      <c r="S1019" s="142">
        <f t="shared" si="237"/>
        <v>0</v>
      </c>
      <c r="T1019" s="142">
        <f t="shared" si="238"/>
        <v>0</v>
      </c>
      <c r="U1019" s="60">
        <f t="shared" si="239"/>
        <v>27300</v>
      </c>
    </row>
    <row r="1020" spans="1:21" x14ac:dyDescent="0.2">
      <c r="A1020" s="115"/>
      <c r="B1020" s="139" t="s">
        <v>463</v>
      </c>
      <c r="C1020" s="140" t="s">
        <v>760</v>
      </c>
      <c r="D1020" s="141">
        <v>45961</v>
      </c>
      <c r="E1020" s="141">
        <v>46110</v>
      </c>
      <c r="F1020" s="57">
        <v>7300</v>
      </c>
      <c r="G1020" s="58">
        <f t="shared" si="225"/>
        <v>88</v>
      </c>
      <c r="H1020" s="142">
        <f t="shared" si="226"/>
        <v>0</v>
      </c>
      <c r="I1020" s="142">
        <f t="shared" si="227"/>
        <v>0</v>
      </c>
      <c r="J1020" s="143">
        <f t="shared" si="228"/>
        <v>0</v>
      </c>
      <c r="K1020" s="143">
        <f t="shared" si="229"/>
        <v>0</v>
      </c>
      <c r="L1020" s="142">
        <f t="shared" si="230"/>
        <v>0</v>
      </c>
      <c r="M1020" s="142">
        <f t="shared" si="231"/>
        <v>0</v>
      </c>
      <c r="N1020" s="142">
        <f t="shared" si="232"/>
        <v>0</v>
      </c>
      <c r="O1020" s="59">
        <f t="shared" si="233"/>
        <v>0</v>
      </c>
      <c r="P1020" s="142">
        <f t="shared" si="234"/>
        <v>0</v>
      </c>
      <c r="Q1020" s="142">
        <f t="shared" si="235"/>
        <v>0</v>
      </c>
      <c r="R1020" s="142">
        <f t="shared" si="236"/>
        <v>7300</v>
      </c>
      <c r="S1020" s="142">
        <f t="shared" si="237"/>
        <v>0</v>
      </c>
      <c r="T1020" s="142">
        <f t="shared" si="238"/>
        <v>0</v>
      </c>
      <c r="U1020" s="60">
        <f t="shared" si="239"/>
        <v>7300</v>
      </c>
    </row>
    <row r="1021" spans="1:21" x14ac:dyDescent="0.2">
      <c r="A1021" s="115"/>
      <c r="B1021" s="139" t="s">
        <v>463</v>
      </c>
      <c r="C1021" s="140" t="s">
        <v>777</v>
      </c>
      <c r="D1021" s="141">
        <v>45940</v>
      </c>
      <c r="E1021" s="141">
        <v>46119</v>
      </c>
      <c r="F1021" s="57">
        <v>13333.35</v>
      </c>
      <c r="G1021" s="58">
        <f t="shared" si="225"/>
        <v>97</v>
      </c>
      <c r="H1021" s="142">
        <f t="shared" si="226"/>
        <v>0</v>
      </c>
      <c r="I1021" s="142">
        <f t="shared" si="227"/>
        <v>0</v>
      </c>
      <c r="J1021" s="143">
        <f t="shared" si="228"/>
        <v>0</v>
      </c>
      <c r="K1021" s="143">
        <f t="shared" si="229"/>
        <v>0</v>
      </c>
      <c r="L1021" s="142">
        <f t="shared" si="230"/>
        <v>0</v>
      </c>
      <c r="M1021" s="142">
        <f t="shared" si="231"/>
        <v>0</v>
      </c>
      <c r="N1021" s="142">
        <f t="shared" si="232"/>
        <v>0</v>
      </c>
      <c r="O1021" s="59">
        <f t="shared" si="233"/>
        <v>0</v>
      </c>
      <c r="P1021" s="142">
        <f t="shared" si="234"/>
        <v>0</v>
      </c>
      <c r="Q1021" s="142">
        <f t="shared" si="235"/>
        <v>0</v>
      </c>
      <c r="R1021" s="142">
        <f t="shared" si="236"/>
        <v>0</v>
      </c>
      <c r="S1021" s="142">
        <f t="shared" si="237"/>
        <v>13333.35</v>
      </c>
      <c r="T1021" s="142">
        <f t="shared" si="238"/>
        <v>0</v>
      </c>
      <c r="U1021" s="60">
        <f t="shared" si="239"/>
        <v>13333.35</v>
      </c>
    </row>
    <row r="1022" spans="1:21" x14ac:dyDescent="0.2">
      <c r="A1022" s="115"/>
      <c r="B1022" s="139" t="s">
        <v>463</v>
      </c>
      <c r="C1022" s="140" t="s">
        <v>1011</v>
      </c>
      <c r="D1022" s="141">
        <v>46009</v>
      </c>
      <c r="E1022" s="141">
        <v>46128</v>
      </c>
      <c r="F1022" s="57">
        <v>27300</v>
      </c>
      <c r="G1022" s="58">
        <f t="shared" si="225"/>
        <v>106</v>
      </c>
      <c r="H1022" s="142">
        <f t="shared" si="226"/>
        <v>0</v>
      </c>
      <c r="I1022" s="142">
        <f t="shared" si="227"/>
        <v>0</v>
      </c>
      <c r="J1022" s="143">
        <f t="shared" si="228"/>
        <v>0</v>
      </c>
      <c r="K1022" s="143">
        <f t="shared" si="229"/>
        <v>0</v>
      </c>
      <c r="L1022" s="142">
        <f t="shared" si="230"/>
        <v>0</v>
      </c>
      <c r="M1022" s="142">
        <f t="shared" si="231"/>
        <v>0</v>
      </c>
      <c r="N1022" s="142">
        <f t="shared" si="232"/>
        <v>0</v>
      </c>
      <c r="O1022" s="59">
        <f t="shared" si="233"/>
        <v>0</v>
      </c>
      <c r="P1022" s="142">
        <f t="shared" si="234"/>
        <v>0</v>
      </c>
      <c r="Q1022" s="142">
        <f t="shared" si="235"/>
        <v>0</v>
      </c>
      <c r="R1022" s="142">
        <f t="shared" si="236"/>
        <v>0</v>
      </c>
      <c r="S1022" s="142">
        <f t="shared" si="237"/>
        <v>27300</v>
      </c>
      <c r="T1022" s="142">
        <f t="shared" si="238"/>
        <v>0</v>
      </c>
      <c r="U1022" s="60">
        <f t="shared" si="239"/>
        <v>27300</v>
      </c>
    </row>
    <row r="1023" spans="1:21" x14ac:dyDescent="0.2">
      <c r="A1023" s="115"/>
      <c r="B1023" s="139" t="s">
        <v>463</v>
      </c>
      <c r="C1023" s="140" t="s">
        <v>760</v>
      </c>
      <c r="D1023" s="141">
        <v>45961</v>
      </c>
      <c r="E1023" s="141">
        <v>46140</v>
      </c>
      <c r="F1023" s="57">
        <v>7300</v>
      </c>
      <c r="G1023" s="58">
        <f t="shared" si="225"/>
        <v>118</v>
      </c>
      <c r="H1023" s="142">
        <f t="shared" si="226"/>
        <v>0</v>
      </c>
      <c r="I1023" s="142">
        <f t="shared" si="227"/>
        <v>0</v>
      </c>
      <c r="J1023" s="143">
        <f t="shared" si="228"/>
        <v>0</v>
      </c>
      <c r="K1023" s="143">
        <f t="shared" si="229"/>
        <v>0</v>
      </c>
      <c r="L1023" s="142">
        <f t="shared" si="230"/>
        <v>0</v>
      </c>
      <c r="M1023" s="142">
        <f t="shared" si="231"/>
        <v>0</v>
      </c>
      <c r="N1023" s="142">
        <f t="shared" si="232"/>
        <v>0</v>
      </c>
      <c r="O1023" s="59">
        <f t="shared" si="233"/>
        <v>0</v>
      </c>
      <c r="P1023" s="142">
        <f t="shared" si="234"/>
        <v>0</v>
      </c>
      <c r="Q1023" s="142">
        <f t="shared" si="235"/>
        <v>0</v>
      </c>
      <c r="R1023" s="142">
        <f t="shared" si="236"/>
        <v>0</v>
      </c>
      <c r="S1023" s="142">
        <f t="shared" si="237"/>
        <v>7300</v>
      </c>
      <c r="T1023" s="142">
        <f t="shared" si="238"/>
        <v>0</v>
      </c>
      <c r="U1023" s="60">
        <f t="shared" si="239"/>
        <v>7300</v>
      </c>
    </row>
    <row r="1024" spans="1:21" x14ac:dyDescent="0.2">
      <c r="A1024" s="115"/>
      <c r="B1024" s="139" t="s">
        <v>463</v>
      </c>
      <c r="C1024" s="140" t="s">
        <v>1011</v>
      </c>
      <c r="D1024" s="141">
        <v>46009</v>
      </c>
      <c r="E1024" s="141">
        <v>46158</v>
      </c>
      <c r="F1024" s="57">
        <v>27300</v>
      </c>
      <c r="G1024" s="58">
        <f t="shared" si="225"/>
        <v>136</v>
      </c>
      <c r="H1024" s="142">
        <f t="shared" si="226"/>
        <v>0</v>
      </c>
      <c r="I1024" s="142">
        <f t="shared" si="227"/>
        <v>0</v>
      </c>
      <c r="J1024" s="143">
        <f t="shared" si="228"/>
        <v>0</v>
      </c>
      <c r="K1024" s="143">
        <f t="shared" si="229"/>
        <v>0</v>
      </c>
      <c r="L1024" s="142">
        <f t="shared" si="230"/>
        <v>0</v>
      </c>
      <c r="M1024" s="142">
        <f t="shared" si="231"/>
        <v>0</v>
      </c>
      <c r="N1024" s="142">
        <f t="shared" si="232"/>
        <v>0</v>
      </c>
      <c r="O1024" s="59">
        <f t="shared" si="233"/>
        <v>0</v>
      </c>
      <c r="P1024" s="142">
        <f t="shared" si="234"/>
        <v>0</v>
      </c>
      <c r="Q1024" s="142">
        <f t="shared" si="235"/>
        <v>0</v>
      </c>
      <c r="R1024" s="142">
        <f t="shared" si="236"/>
        <v>0</v>
      </c>
      <c r="S1024" s="142">
        <f t="shared" si="237"/>
        <v>0</v>
      </c>
      <c r="T1024" s="142">
        <f t="shared" si="238"/>
        <v>27300</v>
      </c>
      <c r="U1024" s="60">
        <f t="shared" si="239"/>
        <v>27300</v>
      </c>
    </row>
    <row r="1025" spans="1:24" s="194" customFormat="1" x14ac:dyDescent="0.2">
      <c r="A1025" s="184"/>
      <c r="B1025" s="185" t="s">
        <v>508</v>
      </c>
      <c r="C1025" s="186" t="s">
        <v>790</v>
      </c>
      <c r="D1025" s="187">
        <v>45940</v>
      </c>
      <c r="E1025" s="187">
        <v>46030</v>
      </c>
      <c r="F1025" s="188">
        <v>18133.34</v>
      </c>
      <c r="G1025" s="189">
        <f t="shared" si="225"/>
        <v>8</v>
      </c>
      <c r="H1025" s="190">
        <f t="shared" si="226"/>
        <v>0</v>
      </c>
      <c r="I1025" s="190">
        <f t="shared" si="227"/>
        <v>0</v>
      </c>
      <c r="J1025" s="191">
        <f t="shared" si="228"/>
        <v>0</v>
      </c>
      <c r="K1025" s="191">
        <f t="shared" si="229"/>
        <v>0</v>
      </c>
      <c r="L1025" s="190">
        <f t="shared" si="230"/>
        <v>0</v>
      </c>
      <c r="M1025" s="190">
        <f t="shared" si="231"/>
        <v>0</v>
      </c>
      <c r="N1025" s="190">
        <f t="shared" si="232"/>
        <v>0</v>
      </c>
      <c r="O1025" s="190">
        <f t="shared" si="233"/>
        <v>0</v>
      </c>
      <c r="P1025" s="190">
        <f t="shared" si="234"/>
        <v>18133.34</v>
      </c>
      <c r="Q1025" s="190">
        <f t="shared" si="235"/>
        <v>0</v>
      </c>
      <c r="R1025" s="190">
        <f t="shared" si="236"/>
        <v>0</v>
      </c>
      <c r="S1025" s="190">
        <f t="shared" si="237"/>
        <v>0</v>
      </c>
      <c r="T1025" s="190">
        <f t="shared" si="238"/>
        <v>0</v>
      </c>
      <c r="U1025" s="192">
        <f t="shared" si="239"/>
        <v>18133.34</v>
      </c>
      <c r="V1025" s="193"/>
      <c r="W1025" s="193"/>
      <c r="X1025" s="193"/>
    </row>
    <row r="1026" spans="1:24" s="194" customFormat="1" x14ac:dyDescent="0.2">
      <c r="A1026" s="184"/>
      <c r="B1026" s="185" t="s">
        <v>508</v>
      </c>
      <c r="C1026" s="186" t="s">
        <v>724</v>
      </c>
      <c r="D1026" s="187">
        <v>45961</v>
      </c>
      <c r="E1026" s="187">
        <v>46051</v>
      </c>
      <c r="F1026" s="188">
        <v>1666.66</v>
      </c>
      <c r="G1026" s="189">
        <f t="shared" si="225"/>
        <v>29</v>
      </c>
      <c r="H1026" s="190">
        <f t="shared" si="226"/>
        <v>0</v>
      </c>
      <c r="I1026" s="190">
        <f t="shared" si="227"/>
        <v>0</v>
      </c>
      <c r="J1026" s="191">
        <f t="shared" si="228"/>
        <v>0</v>
      </c>
      <c r="K1026" s="191">
        <f t="shared" si="229"/>
        <v>0</v>
      </c>
      <c r="L1026" s="190">
        <f t="shared" si="230"/>
        <v>0</v>
      </c>
      <c r="M1026" s="190">
        <f t="shared" si="231"/>
        <v>0</v>
      </c>
      <c r="N1026" s="190">
        <f t="shared" si="232"/>
        <v>0</v>
      </c>
      <c r="O1026" s="190">
        <f t="shared" si="233"/>
        <v>0</v>
      </c>
      <c r="P1026" s="190">
        <f t="shared" si="234"/>
        <v>1666.66</v>
      </c>
      <c r="Q1026" s="190">
        <f t="shared" si="235"/>
        <v>0</v>
      </c>
      <c r="R1026" s="190">
        <f t="shared" si="236"/>
        <v>0</v>
      </c>
      <c r="S1026" s="190">
        <f t="shared" si="237"/>
        <v>0</v>
      </c>
      <c r="T1026" s="190">
        <f t="shared" si="238"/>
        <v>0</v>
      </c>
      <c r="U1026" s="192">
        <f t="shared" si="239"/>
        <v>1666.66</v>
      </c>
      <c r="V1026" s="193"/>
      <c r="W1026" s="193"/>
      <c r="X1026" s="193"/>
    </row>
    <row r="1027" spans="1:24" s="194" customFormat="1" x14ac:dyDescent="0.2">
      <c r="A1027" s="184"/>
      <c r="B1027" s="185" t="s">
        <v>508</v>
      </c>
      <c r="C1027" s="186" t="s">
        <v>788</v>
      </c>
      <c r="D1027" s="187">
        <v>45961</v>
      </c>
      <c r="E1027" s="187">
        <v>46051</v>
      </c>
      <c r="F1027" s="188">
        <v>16966.66</v>
      </c>
      <c r="G1027" s="189">
        <f t="shared" si="225"/>
        <v>29</v>
      </c>
      <c r="H1027" s="190">
        <f t="shared" si="226"/>
        <v>0</v>
      </c>
      <c r="I1027" s="190">
        <f t="shared" si="227"/>
        <v>0</v>
      </c>
      <c r="J1027" s="191">
        <f t="shared" si="228"/>
        <v>0</v>
      </c>
      <c r="K1027" s="191">
        <f t="shared" si="229"/>
        <v>0</v>
      </c>
      <c r="L1027" s="190">
        <f t="shared" si="230"/>
        <v>0</v>
      </c>
      <c r="M1027" s="190">
        <f t="shared" si="231"/>
        <v>0</v>
      </c>
      <c r="N1027" s="190">
        <f t="shared" si="232"/>
        <v>0</v>
      </c>
      <c r="O1027" s="190">
        <f t="shared" si="233"/>
        <v>0</v>
      </c>
      <c r="P1027" s="190">
        <f t="shared" si="234"/>
        <v>16966.66</v>
      </c>
      <c r="Q1027" s="190">
        <f t="shared" si="235"/>
        <v>0</v>
      </c>
      <c r="R1027" s="190">
        <f t="shared" si="236"/>
        <v>0</v>
      </c>
      <c r="S1027" s="190">
        <f t="shared" si="237"/>
        <v>0</v>
      </c>
      <c r="T1027" s="190">
        <f t="shared" si="238"/>
        <v>0</v>
      </c>
      <c r="U1027" s="192">
        <f t="shared" si="239"/>
        <v>16966.66</v>
      </c>
      <c r="V1027" s="193"/>
      <c r="W1027" s="193"/>
      <c r="X1027" s="193"/>
    </row>
    <row r="1028" spans="1:24" s="194" customFormat="1" x14ac:dyDescent="0.2">
      <c r="A1028" s="184"/>
      <c r="B1028" s="185" t="s">
        <v>508</v>
      </c>
      <c r="C1028" s="186" t="s">
        <v>1012</v>
      </c>
      <c r="D1028" s="187">
        <v>46021</v>
      </c>
      <c r="E1028" s="187">
        <v>46051</v>
      </c>
      <c r="F1028" s="188">
        <v>17500</v>
      </c>
      <c r="G1028" s="189">
        <f t="shared" si="225"/>
        <v>29</v>
      </c>
      <c r="H1028" s="190">
        <f t="shared" si="226"/>
        <v>0</v>
      </c>
      <c r="I1028" s="190">
        <f t="shared" si="227"/>
        <v>0</v>
      </c>
      <c r="J1028" s="191">
        <f t="shared" si="228"/>
        <v>0</v>
      </c>
      <c r="K1028" s="191">
        <f t="shared" si="229"/>
        <v>0</v>
      </c>
      <c r="L1028" s="190">
        <f t="shared" si="230"/>
        <v>0</v>
      </c>
      <c r="M1028" s="190">
        <f t="shared" si="231"/>
        <v>0</v>
      </c>
      <c r="N1028" s="190">
        <f t="shared" si="232"/>
        <v>0</v>
      </c>
      <c r="O1028" s="190">
        <f t="shared" si="233"/>
        <v>0</v>
      </c>
      <c r="P1028" s="190">
        <f t="shared" si="234"/>
        <v>17500</v>
      </c>
      <c r="Q1028" s="190">
        <f t="shared" si="235"/>
        <v>0</v>
      </c>
      <c r="R1028" s="190">
        <f t="shared" si="236"/>
        <v>0</v>
      </c>
      <c r="S1028" s="190">
        <f t="shared" si="237"/>
        <v>0</v>
      </c>
      <c r="T1028" s="190">
        <f t="shared" si="238"/>
        <v>0</v>
      </c>
      <c r="U1028" s="192">
        <f t="shared" si="239"/>
        <v>17500</v>
      </c>
      <c r="V1028" s="193"/>
      <c r="W1028" s="193"/>
      <c r="X1028" s="193"/>
    </row>
    <row r="1029" spans="1:24" s="194" customFormat="1" x14ac:dyDescent="0.2">
      <c r="A1029" s="184"/>
      <c r="B1029" s="185" t="s">
        <v>508</v>
      </c>
      <c r="C1029" s="186" t="s">
        <v>1012</v>
      </c>
      <c r="D1029" s="187">
        <v>46021</v>
      </c>
      <c r="E1029" s="187">
        <v>46081</v>
      </c>
      <c r="F1029" s="188">
        <v>17500</v>
      </c>
      <c r="G1029" s="189">
        <f t="shared" si="225"/>
        <v>59</v>
      </c>
      <c r="H1029" s="190">
        <f t="shared" si="226"/>
        <v>0</v>
      </c>
      <c r="I1029" s="190">
        <f t="shared" si="227"/>
        <v>0</v>
      </c>
      <c r="J1029" s="191">
        <f t="shared" si="228"/>
        <v>0</v>
      </c>
      <c r="K1029" s="191">
        <f t="shared" si="229"/>
        <v>0</v>
      </c>
      <c r="L1029" s="190">
        <f t="shared" si="230"/>
        <v>0</v>
      </c>
      <c r="M1029" s="190">
        <f t="shared" si="231"/>
        <v>0</v>
      </c>
      <c r="N1029" s="190">
        <f t="shared" si="232"/>
        <v>0</v>
      </c>
      <c r="O1029" s="190">
        <f t="shared" si="233"/>
        <v>0</v>
      </c>
      <c r="P1029" s="190">
        <f t="shared" si="234"/>
        <v>0</v>
      </c>
      <c r="Q1029" s="190">
        <f t="shared" si="235"/>
        <v>17500</v>
      </c>
      <c r="R1029" s="190">
        <f t="shared" si="236"/>
        <v>0</v>
      </c>
      <c r="S1029" s="190">
        <f t="shared" si="237"/>
        <v>0</v>
      </c>
      <c r="T1029" s="190">
        <f t="shared" si="238"/>
        <v>0</v>
      </c>
      <c r="U1029" s="192">
        <f t="shared" si="239"/>
        <v>17500</v>
      </c>
      <c r="V1029" s="193"/>
      <c r="W1029" s="193"/>
      <c r="X1029" s="193"/>
    </row>
    <row r="1030" spans="1:24" s="194" customFormat="1" x14ac:dyDescent="0.2">
      <c r="A1030" s="184"/>
      <c r="B1030" s="185" t="s">
        <v>508</v>
      </c>
      <c r="C1030" s="186" t="s">
        <v>1012</v>
      </c>
      <c r="D1030" s="187">
        <v>46021</v>
      </c>
      <c r="E1030" s="187">
        <v>46111</v>
      </c>
      <c r="F1030" s="188">
        <v>17500</v>
      </c>
      <c r="G1030" s="189">
        <f t="shared" si="225"/>
        <v>89</v>
      </c>
      <c r="H1030" s="190">
        <f t="shared" si="226"/>
        <v>0</v>
      </c>
      <c r="I1030" s="190">
        <f t="shared" si="227"/>
        <v>0</v>
      </c>
      <c r="J1030" s="191">
        <f t="shared" si="228"/>
        <v>0</v>
      </c>
      <c r="K1030" s="191">
        <f t="shared" si="229"/>
        <v>0</v>
      </c>
      <c r="L1030" s="190">
        <f t="shared" si="230"/>
        <v>0</v>
      </c>
      <c r="M1030" s="190">
        <f t="shared" si="231"/>
        <v>0</v>
      </c>
      <c r="N1030" s="190">
        <f t="shared" si="232"/>
        <v>0</v>
      </c>
      <c r="O1030" s="190">
        <f t="shared" si="233"/>
        <v>0</v>
      </c>
      <c r="P1030" s="190">
        <f t="shared" si="234"/>
        <v>0</v>
      </c>
      <c r="Q1030" s="190">
        <f t="shared" si="235"/>
        <v>0</v>
      </c>
      <c r="R1030" s="190">
        <f t="shared" si="236"/>
        <v>17500</v>
      </c>
      <c r="S1030" s="190">
        <f t="shared" si="237"/>
        <v>0</v>
      </c>
      <c r="T1030" s="190">
        <f t="shared" si="238"/>
        <v>0</v>
      </c>
      <c r="U1030" s="192">
        <f t="shared" si="239"/>
        <v>17500</v>
      </c>
      <c r="V1030" s="193"/>
      <c r="W1030" s="193"/>
      <c r="X1030" s="193"/>
    </row>
    <row r="1031" spans="1:24" x14ac:dyDescent="0.2">
      <c r="A1031" s="115"/>
      <c r="B1031" s="139" t="s">
        <v>1013</v>
      </c>
      <c r="C1031" s="140" t="s">
        <v>1014</v>
      </c>
      <c r="D1031" s="141">
        <v>46020</v>
      </c>
      <c r="E1031" s="141">
        <v>46051</v>
      </c>
      <c r="F1031" s="57">
        <v>85300</v>
      </c>
      <c r="G1031" s="58">
        <f t="shared" ref="G1031:G1094" si="240">E1031-$H$3</f>
        <v>29</v>
      </c>
      <c r="H1031" s="142">
        <f t="shared" ref="H1031:H1094" si="241">IF(AND($G1031&gt;=-8000,$G1031&lt;=-181),$F1031,0)</f>
        <v>0</v>
      </c>
      <c r="I1031" s="142">
        <f t="shared" ref="I1031:I1094" si="242">IF(AND($G1031&gt;=-180,$G1031&lt;=-151),$F1031,0)</f>
        <v>0</v>
      </c>
      <c r="J1031" s="143">
        <f t="shared" ref="J1031:J1094" si="243">IF(AND($G1031&gt;=-150,$G1031&lt;=-121),$F1031,0)</f>
        <v>0</v>
      </c>
      <c r="K1031" s="143">
        <f t="shared" ref="K1031:K1094" si="244">IF(AND($G1031&gt;=-120,$G1031&lt;=-91),$F1031,0)</f>
        <v>0</v>
      </c>
      <c r="L1031" s="142">
        <f t="shared" ref="L1031:L1094" si="245">IF(AND($G1031&gt;=-90,$G1031&lt;=-61),$F1031,0)</f>
        <v>0</v>
      </c>
      <c r="M1031" s="142">
        <f t="shared" ref="M1031:M1094" si="246">IF(AND($G1031&gt;=-60,$G1031&lt;=-31),$F1031,0)</f>
        <v>0</v>
      </c>
      <c r="N1031" s="142">
        <f t="shared" ref="N1031:N1094" si="247">IF(AND($G1031&gt;=-30,$G1031&lt;=-1),$F1031,0)</f>
        <v>0</v>
      </c>
      <c r="O1031" s="59">
        <f t="shared" ref="O1031:O1094" si="248">SUM(H1031:N1031)</f>
        <v>0</v>
      </c>
      <c r="P1031" s="142">
        <f t="shared" ref="P1031:P1094" si="249">IF(AND($G1031&lt;=30,$G1031&gt;=0),$F1031,0)</f>
        <v>85300</v>
      </c>
      <c r="Q1031" s="142">
        <f t="shared" ref="Q1031:Q1094" si="250">IF(AND($G1031&lt;=60,$G1031&gt;=31),$F1031,0)</f>
        <v>0</v>
      </c>
      <c r="R1031" s="142">
        <f t="shared" ref="R1031:R1094" si="251">IF(AND($G1031&lt;=90,$G1031&gt;=61),$F1031,0)</f>
        <v>0</v>
      </c>
      <c r="S1031" s="142">
        <f t="shared" ref="S1031:S1094" si="252">IF(AND($G1031&lt;=120,$G1031&gt;=91),$F1031,0)</f>
        <v>0</v>
      </c>
      <c r="T1031" s="142">
        <f t="shared" ref="T1031:T1094" si="253">IF(G1031&gt;=121,F1031,0)</f>
        <v>0</v>
      </c>
      <c r="U1031" s="60">
        <f t="shared" ref="U1031:U1094" si="254">SUM(P1031:T1031)</f>
        <v>85300</v>
      </c>
    </row>
    <row r="1032" spans="1:24" x14ac:dyDescent="0.2">
      <c r="A1032" s="115"/>
      <c r="B1032" s="139" t="s">
        <v>915</v>
      </c>
      <c r="C1032" s="140" t="s">
        <v>916</v>
      </c>
      <c r="D1032" s="141">
        <v>45986</v>
      </c>
      <c r="E1032" s="141">
        <v>46031</v>
      </c>
      <c r="F1032" s="57">
        <v>80059</v>
      </c>
      <c r="G1032" s="58">
        <f t="shared" si="240"/>
        <v>9</v>
      </c>
      <c r="H1032" s="142">
        <f t="shared" si="241"/>
        <v>0</v>
      </c>
      <c r="I1032" s="142">
        <f t="shared" si="242"/>
        <v>0</v>
      </c>
      <c r="J1032" s="143">
        <f t="shared" si="243"/>
        <v>0</v>
      </c>
      <c r="K1032" s="143">
        <f t="shared" si="244"/>
        <v>0</v>
      </c>
      <c r="L1032" s="142">
        <f t="shared" si="245"/>
        <v>0</v>
      </c>
      <c r="M1032" s="142">
        <f t="shared" si="246"/>
        <v>0</v>
      </c>
      <c r="N1032" s="142">
        <f t="shared" si="247"/>
        <v>0</v>
      </c>
      <c r="O1032" s="59">
        <f t="shared" si="248"/>
        <v>0</v>
      </c>
      <c r="P1032" s="142">
        <f t="shared" si="249"/>
        <v>80059</v>
      </c>
      <c r="Q1032" s="142">
        <f t="shared" si="250"/>
        <v>0</v>
      </c>
      <c r="R1032" s="142">
        <f t="shared" si="251"/>
        <v>0</v>
      </c>
      <c r="S1032" s="142">
        <f t="shared" si="252"/>
        <v>0</v>
      </c>
      <c r="T1032" s="142">
        <f t="shared" si="253"/>
        <v>0</v>
      </c>
      <c r="U1032" s="60">
        <f t="shared" si="254"/>
        <v>80059</v>
      </c>
    </row>
    <row r="1033" spans="1:24" x14ac:dyDescent="0.2">
      <c r="A1033" s="115"/>
      <c r="B1033" s="139" t="s">
        <v>509</v>
      </c>
      <c r="C1033" s="140" t="s">
        <v>425</v>
      </c>
      <c r="D1033" s="141">
        <v>45800</v>
      </c>
      <c r="E1033" s="141">
        <v>45920</v>
      </c>
      <c r="F1033" s="57">
        <v>4600</v>
      </c>
      <c r="G1033" s="58">
        <f t="shared" si="240"/>
        <v>-102</v>
      </c>
      <c r="H1033" s="142">
        <f t="shared" si="241"/>
        <v>0</v>
      </c>
      <c r="I1033" s="142">
        <f t="shared" si="242"/>
        <v>0</v>
      </c>
      <c r="J1033" s="143">
        <f t="shared" si="243"/>
        <v>0</v>
      </c>
      <c r="K1033" s="143">
        <f t="shared" si="244"/>
        <v>4600</v>
      </c>
      <c r="L1033" s="142">
        <f t="shared" si="245"/>
        <v>0</v>
      </c>
      <c r="M1033" s="142">
        <f t="shared" si="246"/>
        <v>0</v>
      </c>
      <c r="N1033" s="142">
        <f t="shared" si="247"/>
        <v>0</v>
      </c>
      <c r="O1033" s="59">
        <f t="shared" si="248"/>
        <v>4600</v>
      </c>
      <c r="P1033" s="142">
        <f t="shared" si="249"/>
        <v>0</v>
      </c>
      <c r="Q1033" s="142">
        <f t="shared" si="250"/>
        <v>0</v>
      </c>
      <c r="R1033" s="142">
        <f t="shared" si="251"/>
        <v>0</v>
      </c>
      <c r="S1033" s="142">
        <f t="shared" si="252"/>
        <v>0</v>
      </c>
      <c r="T1033" s="142">
        <f t="shared" si="253"/>
        <v>0</v>
      </c>
      <c r="U1033" s="60">
        <f t="shared" si="254"/>
        <v>0</v>
      </c>
    </row>
    <row r="1034" spans="1:24" x14ac:dyDescent="0.2">
      <c r="A1034" s="115"/>
      <c r="B1034" s="139" t="s">
        <v>509</v>
      </c>
      <c r="C1034" s="140" t="s">
        <v>425</v>
      </c>
      <c r="D1034" s="141">
        <v>45800</v>
      </c>
      <c r="E1034" s="141">
        <v>45950</v>
      </c>
      <c r="F1034" s="57">
        <v>4600</v>
      </c>
      <c r="G1034" s="58">
        <f t="shared" si="240"/>
        <v>-72</v>
      </c>
      <c r="H1034" s="142">
        <f t="shared" si="241"/>
        <v>0</v>
      </c>
      <c r="I1034" s="142">
        <f t="shared" si="242"/>
        <v>0</v>
      </c>
      <c r="J1034" s="143">
        <f t="shared" si="243"/>
        <v>0</v>
      </c>
      <c r="K1034" s="143">
        <f t="shared" si="244"/>
        <v>0</v>
      </c>
      <c r="L1034" s="142">
        <f t="shared" si="245"/>
        <v>4600</v>
      </c>
      <c r="M1034" s="142">
        <f t="shared" si="246"/>
        <v>0</v>
      </c>
      <c r="N1034" s="142">
        <f t="shared" si="247"/>
        <v>0</v>
      </c>
      <c r="O1034" s="59">
        <f t="shared" si="248"/>
        <v>4600</v>
      </c>
      <c r="P1034" s="142">
        <f t="shared" si="249"/>
        <v>0</v>
      </c>
      <c r="Q1034" s="142">
        <f t="shared" si="250"/>
        <v>0</v>
      </c>
      <c r="R1034" s="142">
        <f t="shared" si="251"/>
        <v>0</v>
      </c>
      <c r="S1034" s="142">
        <f t="shared" si="252"/>
        <v>0</v>
      </c>
      <c r="T1034" s="142">
        <f t="shared" si="253"/>
        <v>0</v>
      </c>
      <c r="U1034" s="60">
        <f t="shared" si="254"/>
        <v>0</v>
      </c>
    </row>
    <row r="1035" spans="1:24" x14ac:dyDescent="0.2">
      <c r="A1035" s="115"/>
      <c r="B1035" s="139" t="s">
        <v>509</v>
      </c>
      <c r="C1035" s="140" t="s">
        <v>425</v>
      </c>
      <c r="D1035" s="141">
        <v>45800</v>
      </c>
      <c r="E1035" s="141">
        <v>45980</v>
      </c>
      <c r="F1035" s="57">
        <v>4600</v>
      </c>
      <c r="G1035" s="58">
        <f t="shared" si="240"/>
        <v>-42</v>
      </c>
      <c r="H1035" s="142">
        <f t="shared" si="241"/>
        <v>0</v>
      </c>
      <c r="I1035" s="142">
        <f t="shared" si="242"/>
        <v>0</v>
      </c>
      <c r="J1035" s="143">
        <f t="shared" si="243"/>
        <v>0</v>
      </c>
      <c r="K1035" s="143">
        <f t="shared" si="244"/>
        <v>0</v>
      </c>
      <c r="L1035" s="142">
        <f t="shared" si="245"/>
        <v>0</v>
      </c>
      <c r="M1035" s="142">
        <f t="shared" si="246"/>
        <v>4600</v>
      </c>
      <c r="N1035" s="142">
        <f t="shared" si="247"/>
        <v>0</v>
      </c>
      <c r="O1035" s="59">
        <f t="shared" si="248"/>
        <v>4600</v>
      </c>
      <c r="P1035" s="142">
        <f t="shared" si="249"/>
        <v>0</v>
      </c>
      <c r="Q1035" s="142">
        <f t="shared" si="250"/>
        <v>0</v>
      </c>
      <c r="R1035" s="142">
        <f t="shared" si="251"/>
        <v>0</v>
      </c>
      <c r="S1035" s="142">
        <f t="shared" si="252"/>
        <v>0</v>
      </c>
      <c r="T1035" s="142">
        <f t="shared" si="253"/>
        <v>0</v>
      </c>
      <c r="U1035" s="60">
        <f t="shared" si="254"/>
        <v>0</v>
      </c>
    </row>
    <row r="1036" spans="1:24" x14ac:dyDescent="0.2">
      <c r="A1036" s="115"/>
      <c r="B1036" s="139" t="s">
        <v>509</v>
      </c>
      <c r="C1036" s="140" t="s">
        <v>425</v>
      </c>
      <c r="D1036" s="141">
        <v>45800</v>
      </c>
      <c r="E1036" s="141">
        <v>46010</v>
      </c>
      <c r="F1036" s="57">
        <v>4600</v>
      </c>
      <c r="G1036" s="58">
        <f t="shared" si="240"/>
        <v>-12</v>
      </c>
      <c r="H1036" s="142">
        <f t="shared" si="241"/>
        <v>0</v>
      </c>
      <c r="I1036" s="142">
        <f t="shared" si="242"/>
        <v>0</v>
      </c>
      <c r="J1036" s="143">
        <f t="shared" si="243"/>
        <v>0</v>
      </c>
      <c r="K1036" s="143">
        <f t="shared" si="244"/>
        <v>0</v>
      </c>
      <c r="L1036" s="142">
        <f t="shared" si="245"/>
        <v>0</v>
      </c>
      <c r="M1036" s="142">
        <f t="shared" si="246"/>
        <v>0</v>
      </c>
      <c r="N1036" s="142">
        <f t="shared" si="247"/>
        <v>4600</v>
      </c>
      <c r="O1036" s="59">
        <f t="shared" si="248"/>
        <v>4600</v>
      </c>
      <c r="P1036" s="142">
        <f t="shared" si="249"/>
        <v>0</v>
      </c>
      <c r="Q1036" s="142">
        <f t="shared" si="250"/>
        <v>0</v>
      </c>
      <c r="R1036" s="142">
        <f t="shared" si="251"/>
        <v>0</v>
      </c>
      <c r="S1036" s="142">
        <f t="shared" si="252"/>
        <v>0</v>
      </c>
      <c r="T1036" s="142">
        <f t="shared" si="253"/>
        <v>0</v>
      </c>
      <c r="U1036" s="60">
        <f t="shared" si="254"/>
        <v>0</v>
      </c>
    </row>
    <row r="1037" spans="1:24" x14ac:dyDescent="0.2">
      <c r="A1037" s="115"/>
      <c r="B1037" s="139" t="s">
        <v>509</v>
      </c>
      <c r="C1037" s="140" t="s">
        <v>425</v>
      </c>
      <c r="D1037" s="141">
        <v>45800</v>
      </c>
      <c r="E1037" s="141">
        <v>46040</v>
      </c>
      <c r="F1037" s="57">
        <v>4600</v>
      </c>
      <c r="G1037" s="58">
        <f t="shared" si="240"/>
        <v>18</v>
      </c>
      <c r="H1037" s="142">
        <f t="shared" si="241"/>
        <v>0</v>
      </c>
      <c r="I1037" s="142">
        <f t="shared" si="242"/>
        <v>0</v>
      </c>
      <c r="J1037" s="143">
        <f t="shared" si="243"/>
        <v>0</v>
      </c>
      <c r="K1037" s="143">
        <f t="shared" si="244"/>
        <v>0</v>
      </c>
      <c r="L1037" s="142">
        <f t="shared" si="245"/>
        <v>0</v>
      </c>
      <c r="M1037" s="142">
        <f t="shared" si="246"/>
        <v>0</v>
      </c>
      <c r="N1037" s="142">
        <f t="shared" si="247"/>
        <v>0</v>
      </c>
      <c r="O1037" s="59">
        <f t="shared" si="248"/>
        <v>0</v>
      </c>
      <c r="P1037" s="142">
        <f t="shared" si="249"/>
        <v>4600</v>
      </c>
      <c r="Q1037" s="142">
        <f t="shared" si="250"/>
        <v>0</v>
      </c>
      <c r="R1037" s="142">
        <f t="shared" si="251"/>
        <v>0</v>
      </c>
      <c r="S1037" s="142">
        <f t="shared" si="252"/>
        <v>0</v>
      </c>
      <c r="T1037" s="142">
        <f t="shared" si="253"/>
        <v>0</v>
      </c>
      <c r="U1037" s="60">
        <f t="shared" si="254"/>
        <v>4600</v>
      </c>
    </row>
    <row r="1038" spans="1:24" x14ac:dyDescent="0.2">
      <c r="A1038" s="115"/>
      <c r="B1038" s="139" t="s">
        <v>509</v>
      </c>
      <c r="C1038" s="140" t="s">
        <v>425</v>
      </c>
      <c r="D1038" s="141">
        <v>45800</v>
      </c>
      <c r="E1038" s="141">
        <v>46070</v>
      </c>
      <c r="F1038" s="57">
        <v>4600</v>
      </c>
      <c r="G1038" s="58">
        <f t="shared" si="240"/>
        <v>48</v>
      </c>
      <c r="H1038" s="142">
        <f t="shared" si="241"/>
        <v>0</v>
      </c>
      <c r="I1038" s="142">
        <f t="shared" si="242"/>
        <v>0</v>
      </c>
      <c r="J1038" s="143">
        <f t="shared" si="243"/>
        <v>0</v>
      </c>
      <c r="K1038" s="143">
        <f t="shared" si="244"/>
        <v>0</v>
      </c>
      <c r="L1038" s="142">
        <f t="shared" si="245"/>
        <v>0</v>
      </c>
      <c r="M1038" s="142">
        <f t="shared" si="246"/>
        <v>0</v>
      </c>
      <c r="N1038" s="142">
        <f t="shared" si="247"/>
        <v>0</v>
      </c>
      <c r="O1038" s="59">
        <f t="shared" si="248"/>
        <v>0</v>
      </c>
      <c r="P1038" s="142">
        <f t="shared" si="249"/>
        <v>0</v>
      </c>
      <c r="Q1038" s="142">
        <f t="shared" si="250"/>
        <v>4600</v>
      </c>
      <c r="R1038" s="142">
        <f t="shared" si="251"/>
        <v>0</v>
      </c>
      <c r="S1038" s="142">
        <f t="shared" si="252"/>
        <v>0</v>
      </c>
      <c r="T1038" s="142">
        <f t="shared" si="253"/>
        <v>0</v>
      </c>
      <c r="U1038" s="60">
        <f t="shared" si="254"/>
        <v>4600</v>
      </c>
    </row>
    <row r="1039" spans="1:24" x14ac:dyDescent="0.2">
      <c r="A1039" s="115"/>
      <c r="B1039" s="139" t="s">
        <v>476</v>
      </c>
      <c r="C1039" s="140" t="s">
        <v>917</v>
      </c>
      <c r="D1039" s="141">
        <v>45978</v>
      </c>
      <c r="E1039" s="141">
        <v>46040</v>
      </c>
      <c r="F1039" s="57">
        <v>83671.87</v>
      </c>
      <c r="G1039" s="58">
        <f t="shared" si="240"/>
        <v>18</v>
      </c>
      <c r="H1039" s="142">
        <f t="shared" si="241"/>
        <v>0</v>
      </c>
      <c r="I1039" s="142">
        <f t="shared" si="242"/>
        <v>0</v>
      </c>
      <c r="J1039" s="143">
        <f t="shared" si="243"/>
        <v>0</v>
      </c>
      <c r="K1039" s="143">
        <f t="shared" si="244"/>
        <v>0</v>
      </c>
      <c r="L1039" s="142">
        <f t="shared" si="245"/>
        <v>0</v>
      </c>
      <c r="M1039" s="142">
        <f t="shared" si="246"/>
        <v>0</v>
      </c>
      <c r="N1039" s="142">
        <f t="shared" si="247"/>
        <v>0</v>
      </c>
      <c r="O1039" s="59">
        <f t="shared" si="248"/>
        <v>0</v>
      </c>
      <c r="P1039" s="142">
        <f t="shared" si="249"/>
        <v>83671.87</v>
      </c>
      <c r="Q1039" s="142">
        <f t="shared" si="250"/>
        <v>0</v>
      </c>
      <c r="R1039" s="142">
        <f t="shared" si="251"/>
        <v>0</v>
      </c>
      <c r="S1039" s="142">
        <f t="shared" si="252"/>
        <v>0</v>
      </c>
      <c r="T1039" s="142">
        <f t="shared" si="253"/>
        <v>0</v>
      </c>
      <c r="U1039" s="60">
        <f t="shared" si="254"/>
        <v>83671.87</v>
      </c>
    </row>
    <row r="1040" spans="1:24" x14ac:dyDescent="0.2">
      <c r="A1040" s="115"/>
      <c r="B1040" s="139" t="s">
        <v>476</v>
      </c>
      <c r="C1040" s="140" t="s">
        <v>917</v>
      </c>
      <c r="D1040" s="141">
        <v>45978</v>
      </c>
      <c r="E1040" s="141">
        <v>46071</v>
      </c>
      <c r="F1040" s="57">
        <v>83671.87</v>
      </c>
      <c r="G1040" s="58">
        <f t="shared" si="240"/>
        <v>49</v>
      </c>
      <c r="H1040" s="142">
        <f t="shared" si="241"/>
        <v>0</v>
      </c>
      <c r="I1040" s="142">
        <f t="shared" si="242"/>
        <v>0</v>
      </c>
      <c r="J1040" s="143">
        <f t="shared" si="243"/>
        <v>0</v>
      </c>
      <c r="K1040" s="143">
        <f t="shared" si="244"/>
        <v>0</v>
      </c>
      <c r="L1040" s="142">
        <f t="shared" si="245"/>
        <v>0</v>
      </c>
      <c r="M1040" s="142">
        <f t="shared" si="246"/>
        <v>0</v>
      </c>
      <c r="N1040" s="142">
        <f t="shared" si="247"/>
        <v>0</v>
      </c>
      <c r="O1040" s="59">
        <f t="shared" si="248"/>
        <v>0</v>
      </c>
      <c r="P1040" s="142">
        <f t="shared" si="249"/>
        <v>0</v>
      </c>
      <c r="Q1040" s="142">
        <f t="shared" si="250"/>
        <v>83671.87</v>
      </c>
      <c r="R1040" s="142">
        <f t="shared" si="251"/>
        <v>0</v>
      </c>
      <c r="S1040" s="142">
        <f t="shared" si="252"/>
        <v>0</v>
      </c>
      <c r="T1040" s="142">
        <f t="shared" si="253"/>
        <v>0</v>
      </c>
      <c r="U1040" s="60">
        <f t="shared" si="254"/>
        <v>83671.87</v>
      </c>
    </row>
    <row r="1041" spans="1:21" x14ac:dyDescent="0.2">
      <c r="A1041" s="115"/>
      <c r="B1041" s="139" t="s">
        <v>476</v>
      </c>
      <c r="C1041" s="140" t="s">
        <v>917</v>
      </c>
      <c r="D1041" s="141">
        <v>45978</v>
      </c>
      <c r="E1041" s="141">
        <v>46099</v>
      </c>
      <c r="F1041" s="57">
        <v>83671.87</v>
      </c>
      <c r="G1041" s="58">
        <f t="shared" si="240"/>
        <v>77</v>
      </c>
      <c r="H1041" s="142">
        <f t="shared" si="241"/>
        <v>0</v>
      </c>
      <c r="I1041" s="142">
        <f t="shared" si="242"/>
        <v>0</v>
      </c>
      <c r="J1041" s="143">
        <f t="shared" si="243"/>
        <v>0</v>
      </c>
      <c r="K1041" s="143">
        <f t="shared" si="244"/>
        <v>0</v>
      </c>
      <c r="L1041" s="142">
        <f t="shared" si="245"/>
        <v>0</v>
      </c>
      <c r="M1041" s="142">
        <f t="shared" si="246"/>
        <v>0</v>
      </c>
      <c r="N1041" s="142">
        <f t="shared" si="247"/>
        <v>0</v>
      </c>
      <c r="O1041" s="59">
        <f t="shared" si="248"/>
        <v>0</v>
      </c>
      <c r="P1041" s="142">
        <f t="shared" si="249"/>
        <v>0</v>
      </c>
      <c r="Q1041" s="142">
        <f t="shared" si="250"/>
        <v>0</v>
      </c>
      <c r="R1041" s="142">
        <f t="shared" si="251"/>
        <v>83671.87</v>
      </c>
      <c r="S1041" s="142">
        <f t="shared" si="252"/>
        <v>0</v>
      </c>
      <c r="T1041" s="142">
        <f t="shared" si="253"/>
        <v>0</v>
      </c>
      <c r="U1041" s="60">
        <f t="shared" si="254"/>
        <v>83671.87</v>
      </c>
    </row>
    <row r="1042" spans="1:21" x14ac:dyDescent="0.2">
      <c r="A1042" s="115"/>
      <c r="B1042" s="139" t="s">
        <v>476</v>
      </c>
      <c r="C1042" s="140" t="s">
        <v>917</v>
      </c>
      <c r="D1042" s="141">
        <v>45978</v>
      </c>
      <c r="E1042" s="141">
        <v>46132</v>
      </c>
      <c r="F1042" s="57">
        <v>83671.87</v>
      </c>
      <c r="G1042" s="58">
        <f t="shared" si="240"/>
        <v>110</v>
      </c>
      <c r="H1042" s="142">
        <f t="shared" si="241"/>
        <v>0</v>
      </c>
      <c r="I1042" s="142">
        <f t="shared" si="242"/>
        <v>0</v>
      </c>
      <c r="J1042" s="143">
        <f t="shared" si="243"/>
        <v>0</v>
      </c>
      <c r="K1042" s="143">
        <f t="shared" si="244"/>
        <v>0</v>
      </c>
      <c r="L1042" s="142">
        <f t="shared" si="245"/>
        <v>0</v>
      </c>
      <c r="M1042" s="142">
        <f t="shared" si="246"/>
        <v>0</v>
      </c>
      <c r="N1042" s="142">
        <f t="shared" si="247"/>
        <v>0</v>
      </c>
      <c r="O1042" s="59">
        <f t="shared" si="248"/>
        <v>0</v>
      </c>
      <c r="P1042" s="142">
        <f t="shared" si="249"/>
        <v>0</v>
      </c>
      <c r="Q1042" s="142">
        <f t="shared" si="250"/>
        <v>0</v>
      </c>
      <c r="R1042" s="142">
        <f t="shared" si="251"/>
        <v>0</v>
      </c>
      <c r="S1042" s="142">
        <f t="shared" si="252"/>
        <v>83671.87</v>
      </c>
      <c r="T1042" s="142">
        <f t="shared" si="253"/>
        <v>0</v>
      </c>
      <c r="U1042" s="60">
        <f t="shared" si="254"/>
        <v>83671.87</v>
      </c>
    </row>
    <row r="1043" spans="1:21" x14ac:dyDescent="0.2">
      <c r="A1043" s="115"/>
      <c r="B1043" s="139" t="s">
        <v>476</v>
      </c>
      <c r="C1043" s="140" t="s">
        <v>917</v>
      </c>
      <c r="D1043" s="141">
        <v>45978</v>
      </c>
      <c r="E1043" s="141">
        <v>46160</v>
      </c>
      <c r="F1043" s="57">
        <v>83671.87</v>
      </c>
      <c r="G1043" s="58">
        <f t="shared" si="240"/>
        <v>138</v>
      </c>
      <c r="H1043" s="142">
        <f t="shared" si="241"/>
        <v>0</v>
      </c>
      <c r="I1043" s="142">
        <f t="shared" si="242"/>
        <v>0</v>
      </c>
      <c r="J1043" s="143">
        <f t="shared" si="243"/>
        <v>0</v>
      </c>
      <c r="K1043" s="143">
        <f t="shared" si="244"/>
        <v>0</v>
      </c>
      <c r="L1043" s="142">
        <f t="shared" si="245"/>
        <v>0</v>
      </c>
      <c r="M1043" s="142">
        <f t="shared" si="246"/>
        <v>0</v>
      </c>
      <c r="N1043" s="142">
        <f t="shared" si="247"/>
        <v>0</v>
      </c>
      <c r="O1043" s="59">
        <f t="shared" si="248"/>
        <v>0</v>
      </c>
      <c r="P1043" s="142">
        <f t="shared" si="249"/>
        <v>0</v>
      </c>
      <c r="Q1043" s="142">
        <f t="shared" si="250"/>
        <v>0</v>
      </c>
      <c r="R1043" s="142">
        <f t="shared" si="251"/>
        <v>0</v>
      </c>
      <c r="S1043" s="142">
        <f t="shared" si="252"/>
        <v>0</v>
      </c>
      <c r="T1043" s="142">
        <f t="shared" si="253"/>
        <v>83671.87</v>
      </c>
      <c r="U1043" s="60">
        <f t="shared" si="254"/>
        <v>83671.87</v>
      </c>
    </row>
    <row r="1044" spans="1:21" x14ac:dyDescent="0.2">
      <c r="A1044" s="115"/>
      <c r="B1044" s="139" t="s">
        <v>476</v>
      </c>
      <c r="C1044" s="140" t="s">
        <v>917</v>
      </c>
      <c r="D1044" s="141">
        <v>45978</v>
      </c>
      <c r="E1044" s="141">
        <v>46191</v>
      </c>
      <c r="F1044" s="57">
        <v>83671.850000000006</v>
      </c>
      <c r="G1044" s="58">
        <f t="shared" si="240"/>
        <v>169</v>
      </c>
      <c r="H1044" s="142">
        <f t="shared" si="241"/>
        <v>0</v>
      </c>
      <c r="I1044" s="142">
        <f t="shared" si="242"/>
        <v>0</v>
      </c>
      <c r="J1044" s="143">
        <f t="shared" si="243"/>
        <v>0</v>
      </c>
      <c r="K1044" s="143">
        <f t="shared" si="244"/>
        <v>0</v>
      </c>
      <c r="L1044" s="142">
        <f t="shared" si="245"/>
        <v>0</v>
      </c>
      <c r="M1044" s="142">
        <f t="shared" si="246"/>
        <v>0</v>
      </c>
      <c r="N1044" s="142">
        <f t="shared" si="247"/>
        <v>0</v>
      </c>
      <c r="O1044" s="59">
        <f t="shared" si="248"/>
        <v>0</v>
      </c>
      <c r="P1044" s="142">
        <f t="shared" si="249"/>
        <v>0</v>
      </c>
      <c r="Q1044" s="142">
        <f t="shared" si="250"/>
        <v>0</v>
      </c>
      <c r="R1044" s="142">
        <f t="shared" si="251"/>
        <v>0</v>
      </c>
      <c r="S1044" s="142">
        <f t="shared" si="252"/>
        <v>0</v>
      </c>
      <c r="T1044" s="142">
        <f t="shared" si="253"/>
        <v>83671.850000000006</v>
      </c>
      <c r="U1044" s="60">
        <f t="shared" si="254"/>
        <v>83671.850000000006</v>
      </c>
    </row>
    <row r="1045" spans="1:21" x14ac:dyDescent="0.2">
      <c r="A1045" s="115"/>
      <c r="B1045" s="139" t="s">
        <v>64</v>
      </c>
      <c r="C1045" s="140" t="s">
        <v>372</v>
      </c>
      <c r="D1045" s="141">
        <v>45678</v>
      </c>
      <c r="E1045" s="141">
        <v>45733</v>
      </c>
      <c r="F1045" s="57">
        <v>59050</v>
      </c>
      <c r="G1045" s="58">
        <f t="shared" si="240"/>
        <v>-289</v>
      </c>
      <c r="H1045" s="142">
        <f t="shared" si="241"/>
        <v>59050</v>
      </c>
      <c r="I1045" s="142">
        <f t="shared" si="242"/>
        <v>0</v>
      </c>
      <c r="J1045" s="143">
        <f t="shared" si="243"/>
        <v>0</v>
      </c>
      <c r="K1045" s="143">
        <f t="shared" si="244"/>
        <v>0</v>
      </c>
      <c r="L1045" s="142">
        <f t="shared" si="245"/>
        <v>0</v>
      </c>
      <c r="M1045" s="142">
        <f t="shared" si="246"/>
        <v>0</v>
      </c>
      <c r="N1045" s="142">
        <f t="shared" si="247"/>
        <v>0</v>
      </c>
      <c r="O1045" s="59">
        <f t="shared" si="248"/>
        <v>59050</v>
      </c>
      <c r="P1045" s="142">
        <f t="shared" si="249"/>
        <v>0</v>
      </c>
      <c r="Q1045" s="142">
        <f t="shared" si="250"/>
        <v>0</v>
      </c>
      <c r="R1045" s="142">
        <f t="shared" si="251"/>
        <v>0</v>
      </c>
      <c r="S1045" s="142">
        <f t="shared" si="252"/>
        <v>0</v>
      </c>
      <c r="T1045" s="142">
        <f t="shared" si="253"/>
        <v>0</v>
      </c>
      <c r="U1045" s="60">
        <f t="shared" si="254"/>
        <v>0</v>
      </c>
    </row>
    <row r="1046" spans="1:21" x14ac:dyDescent="0.2">
      <c r="A1046" s="115"/>
      <c r="B1046" s="139" t="s">
        <v>64</v>
      </c>
      <c r="C1046" s="140" t="s">
        <v>381</v>
      </c>
      <c r="D1046" s="141">
        <v>45700</v>
      </c>
      <c r="E1046" s="141">
        <v>45740</v>
      </c>
      <c r="F1046" s="57">
        <v>43886.66</v>
      </c>
      <c r="G1046" s="58">
        <f t="shared" si="240"/>
        <v>-282</v>
      </c>
      <c r="H1046" s="142">
        <f t="shared" si="241"/>
        <v>43886.66</v>
      </c>
      <c r="I1046" s="142">
        <f t="shared" si="242"/>
        <v>0</v>
      </c>
      <c r="J1046" s="143">
        <f t="shared" si="243"/>
        <v>0</v>
      </c>
      <c r="K1046" s="143">
        <f t="shared" si="244"/>
        <v>0</v>
      </c>
      <c r="L1046" s="142">
        <f t="shared" si="245"/>
        <v>0</v>
      </c>
      <c r="M1046" s="142">
        <f t="shared" si="246"/>
        <v>0</v>
      </c>
      <c r="N1046" s="142">
        <f t="shared" si="247"/>
        <v>0</v>
      </c>
      <c r="O1046" s="59">
        <f t="shared" si="248"/>
        <v>43886.66</v>
      </c>
      <c r="P1046" s="142">
        <f t="shared" si="249"/>
        <v>0</v>
      </c>
      <c r="Q1046" s="142">
        <f t="shared" si="250"/>
        <v>0</v>
      </c>
      <c r="R1046" s="142">
        <f t="shared" si="251"/>
        <v>0</v>
      </c>
      <c r="S1046" s="142">
        <f t="shared" si="252"/>
        <v>0</v>
      </c>
      <c r="T1046" s="142">
        <f t="shared" si="253"/>
        <v>0</v>
      </c>
      <c r="U1046" s="60">
        <f t="shared" si="254"/>
        <v>0</v>
      </c>
    </row>
    <row r="1047" spans="1:21" x14ac:dyDescent="0.2">
      <c r="A1047" s="115"/>
      <c r="B1047" s="139" t="s">
        <v>64</v>
      </c>
      <c r="C1047" s="140" t="s">
        <v>383</v>
      </c>
      <c r="D1047" s="141">
        <v>45700</v>
      </c>
      <c r="E1047" s="141">
        <v>45745</v>
      </c>
      <c r="F1047" s="57">
        <v>21770</v>
      </c>
      <c r="G1047" s="58">
        <f t="shared" si="240"/>
        <v>-277</v>
      </c>
      <c r="H1047" s="142">
        <f t="shared" si="241"/>
        <v>21770</v>
      </c>
      <c r="I1047" s="142">
        <f t="shared" si="242"/>
        <v>0</v>
      </c>
      <c r="J1047" s="143">
        <f t="shared" si="243"/>
        <v>0</v>
      </c>
      <c r="K1047" s="143">
        <f t="shared" si="244"/>
        <v>0</v>
      </c>
      <c r="L1047" s="142">
        <f t="shared" si="245"/>
        <v>0</v>
      </c>
      <c r="M1047" s="142">
        <f t="shared" si="246"/>
        <v>0</v>
      </c>
      <c r="N1047" s="142">
        <f t="shared" si="247"/>
        <v>0</v>
      </c>
      <c r="O1047" s="59">
        <f t="shared" si="248"/>
        <v>21770</v>
      </c>
      <c r="P1047" s="142">
        <f t="shared" si="249"/>
        <v>0</v>
      </c>
      <c r="Q1047" s="142">
        <f t="shared" si="250"/>
        <v>0</v>
      </c>
      <c r="R1047" s="142">
        <f t="shared" si="251"/>
        <v>0</v>
      </c>
      <c r="S1047" s="142">
        <f t="shared" si="252"/>
        <v>0</v>
      </c>
      <c r="T1047" s="142">
        <f t="shared" si="253"/>
        <v>0</v>
      </c>
      <c r="U1047" s="60">
        <f t="shared" si="254"/>
        <v>0</v>
      </c>
    </row>
    <row r="1048" spans="1:21" x14ac:dyDescent="0.2">
      <c r="A1048" s="115"/>
      <c r="B1048" s="139" t="s">
        <v>64</v>
      </c>
      <c r="C1048" s="140" t="s">
        <v>384</v>
      </c>
      <c r="D1048" s="141">
        <v>45708</v>
      </c>
      <c r="E1048" s="141">
        <v>45751</v>
      </c>
      <c r="F1048" s="57">
        <v>41866.68</v>
      </c>
      <c r="G1048" s="58">
        <f t="shared" si="240"/>
        <v>-271</v>
      </c>
      <c r="H1048" s="142">
        <f t="shared" si="241"/>
        <v>41866.68</v>
      </c>
      <c r="I1048" s="142">
        <f t="shared" si="242"/>
        <v>0</v>
      </c>
      <c r="J1048" s="143">
        <f t="shared" si="243"/>
        <v>0</v>
      </c>
      <c r="K1048" s="143">
        <f t="shared" si="244"/>
        <v>0</v>
      </c>
      <c r="L1048" s="142">
        <f t="shared" si="245"/>
        <v>0</v>
      </c>
      <c r="M1048" s="142">
        <f t="shared" si="246"/>
        <v>0</v>
      </c>
      <c r="N1048" s="142">
        <f t="shared" si="247"/>
        <v>0</v>
      </c>
      <c r="O1048" s="59">
        <f t="shared" si="248"/>
        <v>41866.68</v>
      </c>
      <c r="P1048" s="142">
        <f t="shared" si="249"/>
        <v>0</v>
      </c>
      <c r="Q1048" s="142">
        <f t="shared" si="250"/>
        <v>0</v>
      </c>
      <c r="R1048" s="142">
        <f t="shared" si="251"/>
        <v>0</v>
      </c>
      <c r="S1048" s="142">
        <f t="shared" si="252"/>
        <v>0</v>
      </c>
      <c r="T1048" s="142">
        <f t="shared" si="253"/>
        <v>0</v>
      </c>
      <c r="U1048" s="60">
        <f t="shared" si="254"/>
        <v>0</v>
      </c>
    </row>
    <row r="1049" spans="1:21" x14ac:dyDescent="0.2">
      <c r="A1049" s="115"/>
      <c r="B1049" s="139" t="s">
        <v>64</v>
      </c>
      <c r="C1049" s="140" t="s">
        <v>385</v>
      </c>
      <c r="D1049" s="141">
        <v>45709</v>
      </c>
      <c r="E1049" s="141">
        <v>45754</v>
      </c>
      <c r="F1049" s="57">
        <v>12910</v>
      </c>
      <c r="G1049" s="58">
        <f t="shared" si="240"/>
        <v>-268</v>
      </c>
      <c r="H1049" s="142">
        <f t="shared" si="241"/>
        <v>12910</v>
      </c>
      <c r="I1049" s="142">
        <f t="shared" si="242"/>
        <v>0</v>
      </c>
      <c r="J1049" s="143">
        <f t="shared" si="243"/>
        <v>0</v>
      </c>
      <c r="K1049" s="143">
        <f t="shared" si="244"/>
        <v>0</v>
      </c>
      <c r="L1049" s="142">
        <f t="shared" si="245"/>
        <v>0</v>
      </c>
      <c r="M1049" s="142">
        <f t="shared" si="246"/>
        <v>0</v>
      </c>
      <c r="N1049" s="142">
        <f t="shared" si="247"/>
        <v>0</v>
      </c>
      <c r="O1049" s="59">
        <f t="shared" si="248"/>
        <v>12910</v>
      </c>
      <c r="P1049" s="142">
        <f t="shared" si="249"/>
        <v>0</v>
      </c>
      <c r="Q1049" s="142">
        <f t="shared" si="250"/>
        <v>0</v>
      </c>
      <c r="R1049" s="142">
        <f t="shared" si="251"/>
        <v>0</v>
      </c>
      <c r="S1049" s="142">
        <f t="shared" si="252"/>
        <v>0</v>
      </c>
      <c r="T1049" s="142">
        <f t="shared" si="253"/>
        <v>0</v>
      </c>
      <c r="U1049" s="60">
        <f t="shared" si="254"/>
        <v>0</v>
      </c>
    </row>
    <row r="1050" spans="1:21" x14ac:dyDescent="0.2">
      <c r="A1050" s="115"/>
      <c r="B1050" s="139" t="s">
        <v>64</v>
      </c>
      <c r="C1050" s="140" t="s">
        <v>386</v>
      </c>
      <c r="D1050" s="141">
        <v>45713</v>
      </c>
      <c r="E1050" s="141">
        <v>45758</v>
      </c>
      <c r="F1050" s="57">
        <v>5760</v>
      </c>
      <c r="G1050" s="58">
        <f t="shared" si="240"/>
        <v>-264</v>
      </c>
      <c r="H1050" s="142">
        <f t="shared" si="241"/>
        <v>5760</v>
      </c>
      <c r="I1050" s="142">
        <f t="shared" si="242"/>
        <v>0</v>
      </c>
      <c r="J1050" s="143">
        <f t="shared" si="243"/>
        <v>0</v>
      </c>
      <c r="K1050" s="143">
        <f t="shared" si="244"/>
        <v>0</v>
      </c>
      <c r="L1050" s="142">
        <f t="shared" si="245"/>
        <v>0</v>
      </c>
      <c r="M1050" s="142">
        <f t="shared" si="246"/>
        <v>0</v>
      </c>
      <c r="N1050" s="142">
        <f t="shared" si="247"/>
        <v>0</v>
      </c>
      <c r="O1050" s="59">
        <f t="shared" si="248"/>
        <v>5760</v>
      </c>
      <c r="P1050" s="142">
        <f t="shared" si="249"/>
        <v>0</v>
      </c>
      <c r="Q1050" s="142">
        <f t="shared" si="250"/>
        <v>0</v>
      </c>
      <c r="R1050" s="142">
        <f t="shared" si="251"/>
        <v>0</v>
      </c>
      <c r="S1050" s="142">
        <f t="shared" si="252"/>
        <v>0</v>
      </c>
      <c r="T1050" s="142">
        <f t="shared" si="253"/>
        <v>0</v>
      </c>
      <c r="U1050" s="60">
        <f t="shared" si="254"/>
        <v>0</v>
      </c>
    </row>
    <row r="1051" spans="1:21" x14ac:dyDescent="0.2">
      <c r="A1051" s="115"/>
      <c r="B1051" s="139" t="s">
        <v>64</v>
      </c>
      <c r="C1051" s="140" t="s">
        <v>381</v>
      </c>
      <c r="D1051" s="141">
        <v>45700</v>
      </c>
      <c r="E1051" s="141">
        <v>45770</v>
      </c>
      <c r="F1051" s="57">
        <v>43886.67</v>
      </c>
      <c r="G1051" s="58">
        <f t="shared" si="240"/>
        <v>-252</v>
      </c>
      <c r="H1051" s="142">
        <f t="shared" si="241"/>
        <v>43886.67</v>
      </c>
      <c r="I1051" s="142">
        <f t="shared" si="242"/>
        <v>0</v>
      </c>
      <c r="J1051" s="143">
        <f t="shared" si="243"/>
        <v>0</v>
      </c>
      <c r="K1051" s="143">
        <f t="shared" si="244"/>
        <v>0</v>
      </c>
      <c r="L1051" s="142">
        <f t="shared" si="245"/>
        <v>0</v>
      </c>
      <c r="M1051" s="142">
        <f t="shared" si="246"/>
        <v>0</v>
      </c>
      <c r="N1051" s="142">
        <f t="shared" si="247"/>
        <v>0</v>
      </c>
      <c r="O1051" s="59">
        <f t="shared" si="248"/>
        <v>43886.67</v>
      </c>
      <c r="P1051" s="142">
        <f t="shared" si="249"/>
        <v>0</v>
      </c>
      <c r="Q1051" s="142">
        <f t="shared" si="250"/>
        <v>0</v>
      </c>
      <c r="R1051" s="142">
        <f t="shared" si="251"/>
        <v>0</v>
      </c>
      <c r="S1051" s="142">
        <f t="shared" si="252"/>
        <v>0</v>
      </c>
      <c r="T1051" s="142">
        <f t="shared" si="253"/>
        <v>0</v>
      </c>
      <c r="U1051" s="60">
        <f t="shared" si="254"/>
        <v>0</v>
      </c>
    </row>
    <row r="1052" spans="1:21" x14ac:dyDescent="0.2">
      <c r="A1052" s="115"/>
      <c r="B1052" s="139" t="s">
        <v>64</v>
      </c>
      <c r="C1052" s="140" t="s">
        <v>382</v>
      </c>
      <c r="D1052" s="141">
        <v>45700</v>
      </c>
      <c r="E1052" s="141">
        <v>45770</v>
      </c>
      <c r="F1052" s="57">
        <v>51215</v>
      </c>
      <c r="G1052" s="58">
        <f t="shared" si="240"/>
        <v>-252</v>
      </c>
      <c r="H1052" s="142">
        <f t="shared" si="241"/>
        <v>51215</v>
      </c>
      <c r="I1052" s="142">
        <f t="shared" si="242"/>
        <v>0</v>
      </c>
      <c r="J1052" s="143">
        <f t="shared" si="243"/>
        <v>0</v>
      </c>
      <c r="K1052" s="143">
        <f t="shared" si="244"/>
        <v>0</v>
      </c>
      <c r="L1052" s="142">
        <f t="shared" si="245"/>
        <v>0</v>
      </c>
      <c r="M1052" s="142">
        <f t="shared" si="246"/>
        <v>0</v>
      </c>
      <c r="N1052" s="142">
        <f t="shared" si="247"/>
        <v>0</v>
      </c>
      <c r="O1052" s="59">
        <f t="shared" si="248"/>
        <v>51215</v>
      </c>
      <c r="P1052" s="142">
        <f t="shared" si="249"/>
        <v>0</v>
      </c>
      <c r="Q1052" s="142">
        <f t="shared" si="250"/>
        <v>0</v>
      </c>
      <c r="R1052" s="142">
        <f t="shared" si="251"/>
        <v>0</v>
      </c>
      <c r="S1052" s="142">
        <f t="shared" si="252"/>
        <v>0</v>
      </c>
      <c r="T1052" s="142">
        <f t="shared" si="253"/>
        <v>0</v>
      </c>
      <c r="U1052" s="60">
        <f t="shared" si="254"/>
        <v>0</v>
      </c>
    </row>
    <row r="1053" spans="1:21" x14ac:dyDescent="0.2">
      <c r="A1053" s="115"/>
      <c r="B1053" s="139" t="s">
        <v>64</v>
      </c>
      <c r="C1053" s="140" t="s">
        <v>395</v>
      </c>
      <c r="D1053" s="141">
        <v>45730</v>
      </c>
      <c r="E1053" s="141">
        <v>45774</v>
      </c>
      <c r="F1053" s="57">
        <v>45833.34</v>
      </c>
      <c r="G1053" s="58">
        <f t="shared" si="240"/>
        <v>-248</v>
      </c>
      <c r="H1053" s="142">
        <f t="shared" si="241"/>
        <v>45833.34</v>
      </c>
      <c r="I1053" s="142">
        <f t="shared" si="242"/>
        <v>0</v>
      </c>
      <c r="J1053" s="143">
        <f t="shared" si="243"/>
        <v>0</v>
      </c>
      <c r="K1053" s="143">
        <f t="shared" si="244"/>
        <v>0</v>
      </c>
      <c r="L1053" s="142">
        <f t="shared" si="245"/>
        <v>0</v>
      </c>
      <c r="M1053" s="142">
        <f t="shared" si="246"/>
        <v>0</v>
      </c>
      <c r="N1053" s="142">
        <f t="shared" si="247"/>
        <v>0</v>
      </c>
      <c r="O1053" s="59">
        <f t="shared" si="248"/>
        <v>45833.34</v>
      </c>
      <c r="P1053" s="142">
        <f t="shared" si="249"/>
        <v>0</v>
      </c>
      <c r="Q1053" s="142">
        <f t="shared" si="250"/>
        <v>0</v>
      </c>
      <c r="R1053" s="142">
        <f t="shared" si="251"/>
        <v>0</v>
      </c>
      <c r="S1053" s="142">
        <f t="shared" si="252"/>
        <v>0</v>
      </c>
      <c r="T1053" s="142">
        <f t="shared" si="253"/>
        <v>0</v>
      </c>
      <c r="U1053" s="60">
        <f t="shared" si="254"/>
        <v>0</v>
      </c>
    </row>
    <row r="1054" spans="1:21" x14ac:dyDescent="0.2">
      <c r="A1054" s="115"/>
      <c r="B1054" s="139" t="s">
        <v>64</v>
      </c>
      <c r="C1054" s="140" t="s">
        <v>396</v>
      </c>
      <c r="D1054" s="141">
        <v>45730</v>
      </c>
      <c r="E1054" s="141">
        <v>45774</v>
      </c>
      <c r="F1054" s="57">
        <v>39303.339999999997</v>
      </c>
      <c r="G1054" s="58">
        <f t="shared" si="240"/>
        <v>-248</v>
      </c>
      <c r="H1054" s="142">
        <f t="shared" si="241"/>
        <v>39303.339999999997</v>
      </c>
      <c r="I1054" s="142">
        <f t="shared" si="242"/>
        <v>0</v>
      </c>
      <c r="J1054" s="143">
        <f t="shared" si="243"/>
        <v>0</v>
      </c>
      <c r="K1054" s="143">
        <f t="shared" si="244"/>
        <v>0</v>
      </c>
      <c r="L1054" s="142">
        <f t="shared" si="245"/>
        <v>0</v>
      </c>
      <c r="M1054" s="142">
        <f t="shared" si="246"/>
        <v>0</v>
      </c>
      <c r="N1054" s="142">
        <f t="shared" si="247"/>
        <v>0</v>
      </c>
      <c r="O1054" s="59">
        <f t="shared" si="248"/>
        <v>39303.339999999997</v>
      </c>
      <c r="P1054" s="142">
        <f t="shared" si="249"/>
        <v>0</v>
      </c>
      <c r="Q1054" s="142">
        <f t="shared" si="250"/>
        <v>0</v>
      </c>
      <c r="R1054" s="142">
        <f t="shared" si="251"/>
        <v>0</v>
      </c>
      <c r="S1054" s="142">
        <f t="shared" si="252"/>
        <v>0</v>
      </c>
      <c r="T1054" s="142">
        <f t="shared" si="253"/>
        <v>0</v>
      </c>
      <c r="U1054" s="60">
        <f t="shared" si="254"/>
        <v>0</v>
      </c>
    </row>
    <row r="1055" spans="1:21" x14ac:dyDescent="0.2">
      <c r="A1055" s="115"/>
      <c r="B1055" s="139" t="s">
        <v>64</v>
      </c>
      <c r="C1055" s="140" t="s">
        <v>397</v>
      </c>
      <c r="D1055" s="141">
        <v>45730</v>
      </c>
      <c r="E1055" s="141">
        <v>45774</v>
      </c>
      <c r="F1055" s="57">
        <v>46790</v>
      </c>
      <c r="G1055" s="58">
        <f t="shared" si="240"/>
        <v>-248</v>
      </c>
      <c r="H1055" s="142">
        <f t="shared" si="241"/>
        <v>46790</v>
      </c>
      <c r="I1055" s="142">
        <f t="shared" si="242"/>
        <v>0</v>
      </c>
      <c r="J1055" s="143">
        <f t="shared" si="243"/>
        <v>0</v>
      </c>
      <c r="K1055" s="143">
        <f t="shared" si="244"/>
        <v>0</v>
      </c>
      <c r="L1055" s="142">
        <f t="shared" si="245"/>
        <v>0</v>
      </c>
      <c r="M1055" s="142">
        <f t="shared" si="246"/>
        <v>0</v>
      </c>
      <c r="N1055" s="142">
        <f t="shared" si="247"/>
        <v>0</v>
      </c>
      <c r="O1055" s="59">
        <f t="shared" si="248"/>
        <v>46790</v>
      </c>
      <c r="P1055" s="142">
        <f t="shared" si="249"/>
        <v>0</v>
      </c>
      <c r="Q1055" s="142">
        <f t="shared" si="250"/>
        <v>0</v>
      </c>
      <c r="R1055" s="142">
        <f t="shared" si="251"/>
        <v>0</v>
      </c>
      <c r="S1055" s="142">
        <f t="shared" si="252"/>
        <v>0</v>
      </c>
      <c r="T1055" s="142">
        <f t="shared" si="253"/>
        <v>0</v>
      </c>
      <c r="U1055" s="60">
        <f t="shared" si="254"/>
        <v>0</v>
      </c>
    </row>
    <row r="1056" spans="1:21" x14ac:dyDescent="0.2">
      <c r="A1056" s="115"/>
      <c r="B1056" s="139" t="s">
        <v>64</v>
      </c>
      <c r="C1056" s="140" t="s">
        <v>399</v>
      </c>
      <c r="D1056" s="141">
        <v>45730</v>
      </c>
      <c r="E1056" s="141">
        <v>45774</v>
      </c>
      <c r="F1056" s="57">
        <v>59833.34</v>
      </c>
      <c r="G1056" s="58">
        <f t="shared" si="240"/>
        <v>-248</v>
      </c>
      <c r="H1056" s="142">
        <f t="shared" si="241"/>
        <v>59833.34</v>
      </c>
      <c r="I1056" s="142">
        <f t="shared" si="242"/>
        <v>0</v>
      </c>
      <c r="J1056" s="143">
        <f t="shared" si="243"/>
        <v>0</v>
      </c>
      <c r="K1056" s="143">
        <f t="shared" si="244"/>
        <v>0</v>
      </c>
      <c r="L1056" s="142">
        <f t="shared" si="245"/>
        <v>0</v>
      </c>
      <c r="M1056" s="142">
        <f t="shared" si="246"/>
        <v>0</v>
      </c>
      <c r="N1056" s="142">
        <f t="shared" si="247"/>
        <v>0</v>
      </c>
      <c r="O1056" s="59">
        <f t="shared" si="248"/>
        <v>59833.34</v>
      </c>
      <c r="P1056" s="142">
        <f t="shared" si="249"/>
        <v>0</v>
      </c>
      <c r="Q1056" s="142">
        <f t="shared" si="250"/>
        <v>0</v>
      </c>
      <c r="R1056" s="142">
        <f t="shared" si="251"/>
        <v>0</v>
      </c>
      <c r="S1056" s="142">
        <f t="shared" si="252"/>
        <v>0</v>
      </c>
      <c r="T1056" s="142">
        <f t="shared" si="253"/>
        <v>0</v>
      </c>
      <c r="U1056" s="60">
        <f t="shared" si="254"/>
        <v>0</v>
      </c>
    </row>
    <row r="1057" spans="1:21" x14ac:dyDescent="0.2">
      <c r="A1057" s="115"/>
      <c r="B1057" s="139" t="s">
        <v>64</v>
      </c>
      <c r="C1057" s="140" t="s">
        <v>398</v>
      </c>
      <c r="D1057" s="141">
        <v>45730</v>
      </c>
      <c r="E1057" s="141">
        <v>45775</v>
      </c>
      <c r="F1057" s="57">
        <v>40210</v>
      </c>
      <c r="G1057" s="58">
        <f t="shared" si="240"/>
        <v>-247</v>
      </c>
      <c r="H1057" s="142">
        <f t="shared" si="241"/>
        <v>40210</v>
      </c>
      <c r="I1057" s="142">
        <f t="shared" si="242"/>
        <v>0</v>
      </c>
      <c r="J1057" s="143">
        <f t="shared" si="243"/>
        <v>0</v>
      </c>
      <c r="K1057" s="143">
        <f t="shared" si="244"/>
        <v>0</v>
      </c>
      <c r="L1057" s="142">
        <f t="shared" si="245"/>
        <v>0</v>
      </c>
      <c r="M1057" s="142">
        <f t="shared" si="246"/>
        <v>0</v>
      </c>
      <c r="N1057" s="142">
        <f t="shared" si="247"/>
        <v>0</v>
      </c>
      <c r="O1057" s="59">
        <f t="shared" si="248"/>
        <v>40210</v>
      </c>
      <c r="P1057" s="142">
        <f t="shared" si="249"/>
        <v>0</v>
      </c>
      <c r="Q1057" s="142">
        <f t="shared" si="250"/>
        <v>0</v>
      </c>
      <c r="R1057" s="142">
        <f t="shared" si="251"/>
        <v>0</v>
      </c>
      <c r="S1057" s="142">
        <f t="shared" si="252"/>
        <v>0</v>
      </c>
      <c r="T1057" s="142">
        <f t="shared" si="253"/>
        <v>0</v>
      </c>
      <c r="U1057" s="60">
        <f t="shared" si="254"/>
        <v>0</v>
      </c>
    </row>
    <row r="1058" spans="1:21" x14ac:dyDescent="0.2">
      <c r="A1058" s="115"/>
      <c r="B1058" s="139" t="s">
        <v>64</v>
      </c>
      <c r="C1058" s="140" t="s">
        <v>384</v>
      </c>
      <c r="D1058" s="141">
        <v>45708</v>
      </c>
      <c r="E1058" s="141">
        <v>45781</v>
      </c>
      <c r="F1058" s="57">
        <v>41866.660000000003</v>
      </c>
      <c r="G1058" s="58">
        <f t="shared" si="240"/>
        <v>-241</v>
      </c>
      <c r="H1058" s="142">
        <f t="shared" si="241"/>
        <v>41866.660000000003</v>
      </c>
      <c r="I1058" s="142">
        <f t="shared" si="242"/>
        <v>0</v>
      </c>
      <c r="J1058" s="143">
        <f t="shared" si="243"/>
        <v>0</v>
      </c>
      <c r="K1058" s="143">
        <f t="shared" si="244"/>
        <v>0</v>
      </c>
      <c r="L1058" s="142">
        <f t="shared" si="245"/>
        <v>0</v>
      </c>
      <c r="M1058" s="142">
        <f t="shared" si="246"/>
        <v>0</v>
      </c>
      <c r="N1058" s="142">
        <f t="shared" si="247"/>
        <v>0</v>
      </c>
      <c r="O1058" s="59">
        <f t="shared" si="248"/>
        <v>41866.660000000003</v>
      </c>
      <c r="P1058" s="142">
        <f t="shared" si="249"/>
        <v>0</v>
      </c>
      <c r="Q1058" s="142">
        <f t="shared" si="250"/>
        <v>0</v>
      </c>
      <c r="R1058" s="142">
        <f t="shared" si="251"/>
        <v>0</v>
      </c>
      <c r="S1058" s="142">
        <f t="shared" si="252"/>
        <v>0</v>
      </c>
      <c r="T1058" s="142">
        <f t="shared" si="253"/>
        <v>0</v>
      </c>
      <c r="U1058" s="60">
        <f t="shared" si="254"/>
        <v>0</v>
      </c>
    </row>
    <row r="1059" spans="1:21" x14ac:dyDescent="0.2">
      <c r="A1059" s="115"/>
      <c r="B1059" s="139" t="s">
        <v>64</v>
      </c>
      <c r="C1059" s="140" t="s">
        <v>381</v>
      </c>
      <c r="D1059" s="141">
        <v>45700</v>
      </c>
      <c r="E1059" s="141">
        <v>45800</v>
      </c>
      <c r="F1059" s="57">
        <v>43886.67</v>
      </c>
      <c r="G1059" s="58">
        <f t="shared" si="240"/>
        <v>-222</v>
      </c>
      <c r="H1059" s="142">
        <f t="shared" si="241"/>
        <v>43886.67</v>
      </c>
      <c r="I1059" s="142">
        <f t="shared" si="242"/>
        <v>0</v>
      </c>
      <c r="J1059" s="143">
        <f t="shared" si="243"/>
        <v>0</v>
      </c>
      <c r="K1059" s="143">
        <f t="shared" si="244"/>
        <v>0</v>
      </c>
      <c r="L1059" s="142">
        <f t="shared" si="245"/>
        <v>0</v>
      </c>
      <c r="M1059" s="142">
        <f t="shared" si="246"/>
        <v>0</v>
      </c>
      <c r="N1059" s="142">
        <f t="shared" si="247"/>
        <v>0</v>
      </c>
      <c r="O1059" s="59">
        <f t="shared" si="248"/>
        <v>43886.67</v>
      </c>
      <c r="P1059" s="142">
        <f t="shared" si="249"/>
        <v>0</v>
      </c>
      <c r="Q1059" s="142">
        <f t="shared" si="250"/>
        <v>0</v>
      </c>
      <c r="R1059" s="142">
        <f t="shared" si="251"/>
        <v>0</v>
      </c>
      <c r="S1059" s="142">
        <f t="shared" si="252"/>
        <v>0</v>
      </c>
      <c r="T1059" s="142">
        <f t="shared" si="253"/>
        <v>0</v>
      </c>
      <c r="U1059" s="60">
        <f t="shared" si="254"/>
        <v>0</v>
      </c>
    </row>
    <row r="1060" spans="1:21" x14ac:dyDescent="0.2">
      <c r="A1060" s="115"/>
      <c r="B1060" s="139" t="s">
        <v>64</v>
      </c>
      <c r="C1060" s="140" t="s">
        <v>395</v>
      </c>
      <c r="D1060" s="141">
        <v>45730</v>
      </c>
      <c r="E1060" s="141">
        <v>45804</v>
      </c>
      <c r="F1060" s="57">
        <v>45833.33</v>
      </c>
      <c r="G1060" s="58">
        <f t="shared" si="240"/>
        <v>-218</v>
      </c>
      <c r="H1060" s="142">
        <f t="shared" si="241"/>
        <v>45833.33</v>
      </c>
      <c r="I1060" s="142">
        <f t="shared" si="242"/>
        <v>0</v>
      </c>
      <c r="J1060" s="143">
        <f t="shared" si="243"/>
        <v>0</v>
      </c>
      <c r="K1060" s="143">
        <f t="shared" si="244"/>
        <v>0</v>
      </c>
      <c r="L1060" s="142">
        <f t="shared" si="245"/>
        <v>0</v>
      </c>
      <c r="M1060" s="142">
        <f t="shared" si="246"/>
        <v>0</v>
      </c>
      <c r="N1060" s="142">
        <f t="shared" si="247"/>
        <v>0</v>
      </c>
      <c r="O1060" s="59">
        <f t="shared" si="248"/>
        <v>45833.33</v>
      </c>
      <c r="P1060" s="142">
        <f t="shared" si="249"/>
        <v>0</v>
      </c>
      <c r="Q1060" s="142">
        <f t="shared" si="250"/>
        <v>0</v>
      </c>
      <c r="R1060" s="142">
        <f t="shared" si="251"/>
        <v>0</v>
      </c>
      <c r="S1060" s="142">
        <f t="shared" si="252"/>
        <v>0</v>
      </c>
      <c r="T1060" s="142">
        <f t="shared" si="253"/>
        <v>0</v>
      </c>
      <c r="U1060" s="60">
        <f t="shared" si="254"/>
        <v>0</v>
      </c>
    </row>
    <row r="1061" spans="1:21" x14ac:dyDescent="0.2">
      <c r="A1061" s="115"/>
      <c r="B1061" s="139" t="s">
        <v>64</v>
      </c>
      <c r="C1061" s="140" t="s">
        <v>396</v>
      </c>
      <c r="D1061" s="141">
        <v>45730</v>
      </c>
      <c r="E1061" s="141">
        <v>45804</v>
      </c>
      <c r="F1061" s="57">
        <v>39303.33</v>
      </c>
      <c r="G1061" s="58">
        <f t="shared" si="240"/>
        <v>-218</v>
      </c>
      <c r="H1061" s="142">
        <f t="shared" si="241"/>
        <v>39303.33</v>
      </c>
      <c r="I1061" s="142">
        <f t="shared" si="242"/>
        <v>0</v>
      </c>
      <c r="J1061" s="143">
        <f t="shared" si="243"/>
        <v>0</v>
      </c>
      <c r="K1061" s="143">
        <f t="shared" si="244"/>
        <v>0</v>
      </c>
      <c r="L1061" s="142">
        <f t="shared" si="245"/>
        <v>0</v>
      </c>
      <c r="M1061" s="142">
        <f t="shared" si="246"/>
        <v>0</v>
      </c>
      <c r="N1061" s="142">
        <f t="shared" si="247"/>
        <v>0</v>
      </c>
      <c r="O1061" s="59">
        <f t="shared" si="248"/>
        <v>39303.33</v>
      </c>
      <c r="P1061" s="142">
        <f t="shared" si="249"/>
        <v>0</v>
      </c>
      <c r="Q1061" s="142">
        <f t="shared" si="250"/>
        <v>0</v>
      </c>
      <c r="R1061" s="142">
        <f t="shared" si="251"/>
        <v>0</v>
      </c>
      <c r="S1061" s="142">
        <f t="shared" si="252"/>
        <v>0</v>
      </c>
      <c r="T1061" s="142">
        <f t="shared" si="253"/>
        <v>0</v>
      </c>
      <c r="U1061" s="60">
        <f t="shared" si="254"/>
        <v>0</v>
      </c>
    </row>
    <row r="1062" spans="1:21" x14ac:dyDescent="0.2">
      <c r="A1062" s="115"/>
      <c r="B1062" s="139" t="s">
        <v>64</v>
      </c>
      <c r="C1062" s="140" t="s">
        <v>397</v>
      </c>
      <c r="D1062" s="141">
        <v>45730</v>
      </c>
      <c r="E1062" s="141">
        <v>45804</v>
      </c>
      <c r="F1062" s="57">
        <v>46790</v>
      </c>
      <c r="G1062" s="58">
        <f t="shared" si="240"/>
        <v>-218</v>
      </c>
      <c r="H1062" s="142">
        <f t="shared" si="241"/>
        <v>46790</v>
      </c>
      <c r="I1062" s="142">
        <f t="shared" si="242"/>
        <v>0</v>
      </c>
      <c r="J1062" s="143">
        <f t="shared" si="243"/>
        <v>0</v>
      </c>
      <c r="K1062" s="143">
        <f t="shared" si="244"/>
        <v>0</v>
      </c>
      <c r="L1062" s="142">
        <f t="shared" si="245"/>
        <v>0</v>
      </c>
      <c r="M1062" s="142">
        <f t="shared" si="246"/>
        <v>0</v>
      </c>
      <c r="N1062" s="142">
        <f t="shared" si="247"/>
        <v>0</v>
      </c>
      <c r="O1062" s="59">
        <f t="shared" si="248"/>
        <v>46790</v>
      </c>
      <c r="P1062" s="142">
        <f t="shared" si="249"/>
        <v>0</v>
      </c>
      <c r="Q1062" s="142">
        <f t="shared" si="250"/>
        <v>0</v>
      </c>
      <c r="R1062" s="142">
        <f t="shared" si="251"/>
        <v>0</v>
      </c>
      <c r="S1062" s="142">
        <f t="shared" si="252"/>
        <v>0</v>
      </c>
      <c r="T1062" s="142">
        <f t="shared" si="253"/>
        <v>0</v>
      </c>
      <c r="U1062" s="60">
        <f t="shared" si="254"/>
        <v>0</v>
      </c>
    </row>
    <row r="1063" spans="1:21" x14ac:dyDescent="0.2">
      <c r="A1063" s="115"/>
      <c r="B1063" s="139" t="s">
        <v>64</v>
      </c>
      <c r="C1063" s="140" t="s">
        <v>399</v>
      </c>
      <c r="D1063" s="141">
        <v>45730</v>
      </c>
      <c r="E1063" s="141">
        <v>45804</v>
      </c>
      <c r="F1063" s="57">
        <v>59833.33</v>
      </c>
      <c r="G1063" s="58">
        <f t="shared" si="240"/>
        <v>-218</v>
      </c>
      <c r="H1063" s="142">
        <f t="shared" si="241"/>
        <v>59833.33</v>
      </c>
      <c r="I1063" s="142">
        <f t="shared" si="242"/>
        <v>0</v>
      </c>
      <c r="J1063" s="143">
        <f t="shared" si="243"/>
        <v>0</v>
      </c>
      <c r="K1063" s="143">
        <f t="shared" si="244"/>
        <v>0</v>
      </c>
      <c r="L1063" s="142">
        <f t="shared" si="245"/>
        <v>0</v>
      </c>
      <c r="M1063" s="142">
        <f t="shared" si="246"/>
        <v>0</v>
      </c>
      <c r="N1063" s="142">
        <f t="shared" si="247"/>
        <v>0</v>
      </c>
      <c r="O1063" s="59">
        <f t="shared" si="248"/>
        <v>59833.33</v>
      </c>
      <c r="P1063" s="142">
        <f t="shared" si="249"/>
        <v>0</v>
      </c>
      <c r="Q1063" s="142">
        <f t="shared" si="250"/>
        <v>0</v>
      </c>
      <c r="R1063" s="142">
        <f t="shared" si="251"/>
        <v>0</v>
      </c>
      <c r="S1063" s="142">
        <f t="shared" si="252"/>
        <v>0</v>
      </c>
      <c r="T1063" s="142">
        <f t="shared" si="253"/>
        <v>0</v>
      </c>
      <c r="U1063" s="60">
        <f t="shared" si="254"/>
        <v>0</v>
      </c>
    </row>
    <row r="1064" spans="1:21" x14ac:dyDescent="0.2">
      <c r="A1064" s="115"/>
      <c r="B1064" s="139" t="s">
        <v>64</v>
      </c>
      <c r="C1064" s="140" t="s">
        <v>384</v>
      </c>
      <c r="D1064" s="141">
        <v>45708</v>
      </c>
      <c r="E1064" s="141">
        <v>45812</v>
      </c>
      <c r="F1064" s="57">
        <v>41866.660000000003</v>
      </c>
      <c r="G1064" s="58">
        <f t="shared" si="240"/>
        <v>-210</v>
      </c>
      <c r="H1064" s="142">
        <f t="shared" si="241"/>
        <v>41866.660000000003</v>
      </c>
      <c r="I1064" s="142">
        <f t="shared" si="242"/>
        <v>0</v>
      </c>
      <c r="J1064" s="143">
        <f t="shared" si="243"/>
        <v>0</v>
      </c>
      <c r="K1064" s="143">
        <f t="shared" si="244"/>
        <v>0</v>
      </c>
      <c r="L1064" s="142">
        <f t="shared" si="245"/>
        <v>0</v>
      </c>
      <c r="M1064" s="142">
        <f t="shared" si="246"/>
        <v>0</v>
      </c>
      <c r="N1064" s="142">
        <f t="shared" si="247"/>
        <v>0</v>
      </c>
      <c r="O1064" s="59">
        <f t="shared" si="248"/>
        <v>41866.660000000003</v>
      </c>
      <c r="P1064" s="142">
        <f t="shared" si="249"/>
        <v>0</v>
      </c>
      <c r="Q1064" s="142">
        <f t="shared" si="250"/>
        <v>0</v>
      </c>
      <c r="R1064" s="142">
        <f t="shared" si="251"/>
        <v>0</v>
      </c>
      <c r="S1064" s="142">
        <f t="shared" si="252"/>
        <v>0</v>
      </c>
      <c r="T1064" s="142">
        <f t="shared" si="253"/>
        <v>0</v>
      </c>
      <c r="U1064" s="60">
        <f t="shared" si="254"/>
        <v>0</v>
      </c>
    </row>
    <row r="1065" spans="1:21" x14ac:dyDescent="0.2">
      <c r="A1065" s="115"/>
      <c r="B1065" s="139" t="s">
        <v>64</v>
      </c>
      <c r="C1065" s="140" t="s">
        <v>426</v>
      </c>
      <c r="D1065" s="141">
        <v>45786</v>
      </c>
      <c r="E1065" s="141">
        <v>45831</v>
      </c>
      <c r="F1065" s="57">
        <v>125410</v>
      </c>
      <c r="G1065" s="58">
        <f t="shared" si="240"/>
        <v>-191</v>
      </c>
      <c r="H1065" s="142">
        <f t="shared" si="241"/>
        <v>125410</v>
      </c>
      <c r="I1065" s="142">
        <f t="shared" si="242"/>
        <v>0</v>
      </c>
      <c r="J1065" s="143">
        <f t="shared" si="243"/>
        <v>0</v>
      </c>
      <c r="K1065" s="143">
        <f t="shared" si="244"/>
        <v>0</v>
      </c>
      <c r="L1065" s="142">
        <f t="shared" si="245"/>
        <v>0</v>
      </c>
      <c r="M1065" s="142">
        <f t="shared" si="246"/>
        <v>0</v>
      </c>
      <c r="N1065" s="142">
        <f t="shared" si="247"/>
        <v>0</v>
      </c>
      <c r="O1065" s="59">
        <f t="shared" si="248"/>
        <v>125410</v>
      </c>
      <c r="P1065" s="142">
        <f t="shared" si="249"/>
        <v>0</v>
      </c>
      <c r="Q1065" s="142">
        <f t="shared" si="250"/>
        <v>0</v>
      </c>
      <c r="R1065" s="142">
        <f t="shared" si="251"/>
        <v>0</v>
      </c>
      <c r="S1065" s="142">
        <f t="shared" si="252"/>
        <v>0</v>
      </c>
      <c r="T1065" s="142">
        <f t="shared" si="253"/>
        <v>0</v>
      </c>
      <c r="U1065" s="60">
        <f t="shared" si="254"/>
        <v>0</v>
      </c>
    </row>
    <row r="1066" spans="1:21" x14ac:dyDescent="0.2">
      <c r="A1066" s="115"/>
      <c r="B1066" s="139" t="s">
        <v>64</v>
      </c>
      <c r="C1066" s="140" t="s">
        <v>395</v>
      </c>
      <c r="D1066" s="141">
        <v>45730</v>
      </c>
      <c r="E1066" s="141">
        <v>45834</v>
      </c>
      <c r="F1066" s="57">
        <v>45833.33</v>
      </c>
      <c r="G1066" s="58">
        <f t="shared" si="240"/>
        <v>-188</v>
      </c>
      <c r="H1066" s="142">
        <f t="shared" si="241"/>
        <v>45833.33</v>
      </c>
      <c r="I1066" s="142">
        <f t="shared" si="242"/>
        <v>0</v>
      </c>
      <c r="J1066" s="143">
        <f t="shared" si="243"/>
        <v>0</v>
      </c>
      <c r="K1066" s="143">
        <f t="shared" si="244"/>
        <v>0</v>
      </c>
      <c r="L1066" s="142">
        <f t="shared" si="245"/>
        <v>0</v>
      </c>
      <c r="M1066" s="142">
        <f t="shared" si="246"/>
        <v>0</v>
      </c>
      <c r="N1066" s="142">
        <f t="shared" si="247"/>
        <v>0</v>
      </c>
      <c r="O1066" s="59">
        <f t="shared" si="248"/>
        <v>45833.33</v>
      </c>
      <c r="P1066" s="142">
        <f t="shared" si="249"/>
        <v>0</v>
      </c>
      <c r="Q1066" s="142">
        <f t="shared" si="250"/>
        <v>0</v>
      </c>
      <c r="R1066" s="142">
        <f t="shared" si="251"/>
        <v>0</v>
      </c>
      <c r="S1066" s="142">
        <f t="shared" si="252"/>
        <v>0</v>
      </c>
      <c r="T1066" s="142">
        <f t="shared" si="253"/>
        <v>0</v>
      </c>
      <c r="U1066" s="60">
        <f t="shared" si="254"/>
        <v>0</v>
      </c>
    </row>
    <row r="1067" spans="1:21" x14ac:dyDescent="0.2">
      <c r="A1067" s="115"/>
      <c r="B1067" s="139" t="s">
        <v>64</v>
      </c>
      <c r="C1067" s="140" t="s">
        <v>396</v>
      </c>
      <c r="D1067" s="141">
        <v>45730</v>
      </c>
      <c r="E1067" s="141">
        <v>45834</v>
      </c>
      <c r="F1067" s="57">
        <v>39303.33</v>
      </c>
      <c r="G1067" s="58">
        <f t="shared" si="240"/>
        <v>-188</v>
      </c>
      <c r="H1067" s="142">
        <f t="shared" si="241"/>
        <v>39303.33</v>
      </c>
      <c r="I1067" s="142">
        <f t="shared" si="242"/>
        <v>0</v>
      </c>
      <c r="J1067" s="143">
        <f t="shared" si="243"/>
        <v>0</v>
      </c>
      <c r="K1067" s="143">
        <f t="shared" si="244"/>
        <v>0</v>
      </c>
      <c r="L1067" s="142">
        <f t="shared" si="245"/>
        <v>0</v>
      </c>
      <c r="M1067" s="142">
        <f t="shared" si="246"/>
        <v>0</v>
      </c>
      <c r="N1067" s="142">
        <f t="shared" si="247"/>
        <v>0</v>
      </c>
      <c r="O1067" s="59">
        <f t="shared" si="248"/>
        <v>39303.33</v>
      </c>
      <c r="P1067" s="142">
        <f t="shared" si="249"/>
        <v>0</v>
      </c>
      <c r="Q1067" s="142">
        <f t="shared" si="250"/>
        <v>0</v>
      </c>
      <c r="R1067" s="142">
        <f t="shared" si="251"/>
        <v>0</v>
      </c>
      <c r="S1067" s="142">
        <f t="shared" si="252"/>
        <v>0</v>
      </c>
      <c r="T1067" s="142">
        <f t="shared" si="253"/>
        <v>0</v>
      </c>
      <c r="U1067" s="60">
        <f t="shared" si="254"/>
        <v>0</v>
      </c>
    </row>
    <row r="1068" spans="1:21" x14ac:dyDescent="0.2">
      <c r="A1068" s="115"/>
      <c r="B1068" s="139" t="s">
        <v>64</v>
      </c>
      <c r="C1068" s="140" t="s">
        <v>397</v>
      </c>
      <c r="D1068" s="141">
        <v>45730</v>
      </c>
      <c r="E1068" s="141">
        <v>45834</v>
      </c>
      <c r="F1068" s="57">
        <v>46790</v>
      </c>
      <c r="G1068" s="58">
        <f t="shared" si="240"/>
        <v>-188</v>
      </c>
      <c r="H1068" s="142">
        <f t="shared" si="241"/>
        <v>46790</v>
      </c>
      <c r="I1068" s="142">
        <f t="shared" si="242"/>
        <v>0</v>
      </c>
      <c r="J1068" s="143">
        <f t="shared" si="243"/>
        <v>0</v>
      </c>
      <c r="K1068" s="143">
        <f t="shared" si="244"/>
        <v>0</v>
      </c>
      <c r="L1068" s="142">
        <f t="shared" si="245"/>
        <v>0</v>
      </c>
      <c r="M1068" s="142">
        <f t="shared" si="246"/>
        <v>0</v>
      </c>
      <c r="N1068" s="142">
        <f t="shared" si="247"/>
        <v>0</v>
      </c>
      <c r="O1068" s="59">
        <f t="shared" si="248"/>
        <v>46790</v>
      </c>
      <c r="P1068" s="142">
        <f t="shared" si="249"/>
        <v>0</v>
      </c>
      <c r="Q1068" s="142">
        <f t="shared" si="250"/>
        <v>0</v>
      </c>
      <c r="R1068" s="142">
        <f t="shared" si="251"/>
        <v>0</v>
      </c>
      <c r="S1068" s="142">
        <f t="shared" si="252"/>
        <v>0</v>
      </c>
      <c r="T1068" s="142">
        <f t="shared" si="253"/>
        <v>0</v>
      </c>
      <c r="U1068" s="60">
        <f t="shared" si="254"/>
        <v>0</v>
      </c>
    </row>
    <row r="1069" spans="1:21" x14ac:dyDescent="0.2">
      <c r="A1069" s="115"/>
      <c r="B1069" s="139" t="s">
        <v>64</v>
      </c>
      <c r="C1069" s="140" t="s">
        <v>399</v>
      </c>
      <c r="D1069" s="141">
        <v>45730</v>
      </c>
      <c r="E1069" s="141">
        <v>45834</v>
      </c>
      <c r="F1069" s="57">
        <v>59833.33</v>
      </c>
      <c r="G1069" s="58">
        <f t="shared" si="240"/>
        <v>-188</v>
      </c>
      <c r="H1069" s="142">
        <f t="shared" si="241"/>
        <v>59833.33</v>
      </c>
      <c r="I1069" s="142">
        <f t="shared" si="242"/>
        <v>0</v>
      </c>
      <c r="J1069" s="143">
        <f t="shared" si="243"/>
        <v>0</v>
      </c>
      <c r="K1069" s="143">
        <f t="shared" si="244"/>
        <v>0</v>
      </c>
      <c r="L1069" s="142">
        <f t="shared" si="245"/>
        <v>0</v>
      </c>
      <c r="M1069" s="142">
        <f t="shared" si="246"/>
        <v>0</v>
      </c>
      <c r="N1069" s="142">
        <f t="shared" si="247"/>
        <v>0</v>
      </c>
      <c r="O1069" s="59">
        <f t="shared" si="248"/>
        <v>59833.33</v>
      </c>
      <c r="P1069" s="142">
        <f t="shared" si="249"/>
        <v>0</v>
      </c>
      <c r="Q1069" s="142">
        <f t="shared" si="250"/>
        <v>0</v>
      </c>
      <c r="R1069" s="142">
        <f t="shared" si="251"/>
        <v>0</v>
      </c>
      <c r="S1069" s="142">
        <f t="shared" si="252"/>
        <v>0</v>
      </c>
      <c r="T1069" s="142">
        <f t="shared" si="253"/>
        <v>0</v>
      </c>
      <c r="U1069" s="60">
        <f t="shared" si="254"/>
        <v>0</v>
      </c>
    </row>
    <row r="1070" spans="1:21" x14ac:dyDescent="0.2">
      <c r="A1070" s="115"/>
      <c r="B1070" s="139" t="s">
        <v>64</v>
      </c>
      <c r="C1070" s="140" t="s">
        <v>427</v>
      </c>
      <c r="D1070" s="141">
        <v>45806</v>
      </c>
      <c r="E1070" s="141">
        <v>45851</v>
      </c>
      <c r="F1070" s="57">
        <v>28167.43</v>
      </c>
      <c r="G1070" s="58">
        <f t="shared" si="240"/>
        <v>-171</v>
      </c>
      <c r="H1070" s="142">
        <f t="shared" si="241"/>
        <v>0</v>
      </c>
      <c r="I1070" s="142">
        <f t="shared" si="242"/>
        <v>28167.43</v>
      </c>
      <c r="J1070" s="143">
        <f t="shared" si="243"/>
        <v>0</v>
      </c>
      <c r="K1070" s="143">
        <f t="shared" si="244"/>
        <v>0</v>
      </c>
      <c r="L1070" s="142">
        <f t="shared" si="245"/>
        <v>0</v>
      </c>
      <c r="M1070" s="142">
        <f t="shared" si="246"/>
        <v>0</v>
      </c>
      <c r="N1070" s="142">
        <f t="shared" si="247"/>
        <v>0</v>
      </c>
      <c r="O1070" s="59">
        <f t="shared" si="248"/>
        <v>28167.43</v>
      </c>
      <c r="P1070" s="142">
        <f t="shared" si="249"/>
        <v>0</v>
      </c>
      <c r="Q1070" s="142">
        <f t="shared" si="250"/>
        <v>0</v>
      </c>
      <c r="R1070" s="142">
        <f t="shared" si="251"/>
        <v>0</v>
      </c>
      <c r="S1070" s="142">
        <f t="shared" si="252"/>
        <v>0</v>
      </c>
      <c r="T1070" s="142">
        <f t="shared" si="253"/>
        <v>0</v>
      </c>
      <c r="U1070" s="60">
        <f t="shared" si="254"/>
        <v>0</v>
      </c>
    </row>
    <row r="1071" spans="1:21" x14ac:dyDescent="0.2">
      <c r="A1071" s="115"/>
      <c r="B1071" s="139" t="s">
        <v>64</v>
      </c>
      <c r="C1071" s="140" t="s">
        <v>464</v>
      </c>
      <c r="D1071" s="141">
        <v>45812</v>
      </c>
      <c r="E1071" s="141">
        <v>45900</v>
      </c>
      <c r="F1071" s="57">
        <v>38470</v>
      </c>
      <c r="G1071" s="58">
        <f t="shared" si="240"/>
        <v>-122</v>
      </c>
      <c r="H1071" s="142">
        <f t="shared" si="241"/>
        <v>0</v>
      </c>
      <c r="I1071" s="142">
        <f t="shared" si="242"/>
        <v>0</v>
      </c>
      <c r="J1071" s="143">
        <f t="shared" si="243"/>
        <v>38470</v>
      </c>
      <c r="K1071" s="143">
        <f t="shared" si="244"/>
        <v>0</v>
      </c>
      <c r="L1071" s="142">
        <f t="shared" si="245"/>
        <v>0</v>
      </c>
      <c r="M1071" s="142">
        <f t="shared" si="246"/>
        <v>0</v>
      </c>
      <c r="N1071" s="142">
        <f t="shared" si="247"/>
        <v>0</v>
      </c>
      <c r="O1071" s="59">
        <f t="shared" si="248"/>
        <v>38470</v>
      </c>
      <c r="P1071" s="142">
        <f t="shared" si="249"/>
        <v>0</v>
      </c>
      <c r="Q1071" s="142">
        <f t="shared" si="250"/>
        <v>0</v>
      </c>
      <c r="R1071" s="142">
        <f t="shared" si="251"/>
        <v>0</v>
      </c>
      <c r="S1071" s="142">
        <f t="shared" si="252"/>
        <v>0</v>
      </c>
      <c r="T1071" s="142">
        <f t="shared" si="253"/>
        <v>0</v>
      </c>
      <c r="U1071" s="60">
        <f t="shared" si="254"/>
        <v>0</v>
      </c>
    </row>
    <row r="1072" spans="1:21" x14ac:dyDescent="0.2">
      <c r="A1072" s="115"/>
      <c r="B1072" s="139" t="s">
        <v>64</v>
      </c>
      <c r="C1072" s="140" t="s">
        <v>465</v>
      </c>
      <c r="D1072" s="141">
        <v>45812</v>
      </c>
      <c r="E1072" s="141">
        <v>45900</v>
      </c>
      <c r="F1072" s="57">
        <v>57700</v>
      </c>
      <c r="G1072" s="58">
        <f t="shared" si="240"/>
        <v>-122</v>
      </c>
      <c r="H1072" s="142">
        <f t="shared" si="241"/>
        <v>0</v>
      </c>
      <c r="I1072" s="142">
        <f t="shared" si="242"/>
        <v>0</v>
      </c>
      <c r="J1072" s="143">
        <f t="shared" si="243"/>
        <v>57700</v>
      </c>
      <c r="K1072" s="143">
        <f t="shared" si="244"/>
        <v>0</v>
      </c>
      <c r="L1072" s="142">
        <f t="shared" si="245"/>
        <v>0</v>
      </c>
      <c r="M1072" s="142">
        <f t="shared" si="246"/>
        <v>0</v>
      </c>
      <c r="N1072" s="142">
        <f t="shared" si="247"/>
        <v>0</v>
      </c>
      <c r="O1072" s="59">
        <f t="shared" si="248"/>
        <v>57700</v>
      </c>
      <c r="P1072" s="142">
        <f t="shared" si="249"/>
        <v>0</v>
      </c>
      <c r="Q1072" s="142">
        <f t="shared" si="250"/>
        <v>0</v>
      </c>
      <c r="R1072" s="142">
        <f t="shared" si="251"/>
        <v>0</v>
      </c>
      <c r="S1072" s="142">
        <f t="shared" si="252"/>
        <v>0</v>
      </c>
      <c r="T1072" s="142">
        <f t="shared" si="253"/>
        <v>0</v>
      </c>
      <c r="U1072" s="60">
        <f t="shared" si="254"/>
        <v>0</v>
      </c>
    </row>
    <row r="1073" spans="1:21" x14ac:dyDescent="0.2">
      <c r="A1073" s="115"/>
      <c r="B1073" s="139" t="s">
        <v>64</v>
      </c>
      <c r="C1073" s="140" t="s">
        <v>466</v>
      </c>
      <c r="D1073" s="141">
        <v>45819</v>
      </c>
      <c r="E1073" s="141">
        <v>45903</v>
      </c>
      <c r="F1073" s="57">
        <v>56271.67</v>
      </c>
      <c r="G1073" s="58">
        <f t="shared" si="240"/>
        <v>-119</v>
      </c>
      <c r="H1073" s="142">
        <f t="shared" si="241"/>
        <v>0</v>
      </c>
      <c r="I1073" s="142">
        <f t="shared" si="242"/>
        <v>0</v>
      </c>
      <c r="J1073" s="143">
        <f t="shared" si="243"/>
        <v>0</v>
      </c>
      <c r="K1073" s="143">
        <f t="shared" si="244"/>
        <v>56271.67</v>
      </c>
      <c r="L1073" s="142">
        <f t="shared" si="245"/>
        <v>0</v>
      </c>
      <c r="M1073" s="142">
        <f t="shared" si="246"/>
        <v>0</v>
      </c>
      <c r="N1073" s="142">
        <f t="shared" si="247"/>
        <v>0</v>
      </c>
      <c r="O1073" s="59">
        <f t="shared" si="248"/>
        <v>56271.67</v>
      </c>
      <c r="P1073" s="142">
        <f t="shared" si="249"/>
        <v>0</v>
      </c>
      <c r="Q1073" s="142">
        <f t="shared" si="250"/>
        <v>0</v>
      </c>
      <c r="R1073" s="142">
        <f t="shared" si="251"/>
        <v>0</v>
      </c>
      <c r="S1073" s="142">
        <f t="shared" si="252"/>
        <v>0</v>
      </c>
      <c r="T1073" s="142">
        <f t="shared" si="253"/>
        <v>0</v>
      </c>
      <c r="U1073" s="60">
        <f t="shared" si="254"/>
        <v>0</v>
      </c>
    </row>
    <row r="1074" spans="1:21" x14ac:dyDescent="0.2">
      <c r="A1074" s="115"/>
      <c r="B1074" s="139" t="s">
        <v>64</v>
      </c>
      <c r="C1074" s="140" t="s">
        <v>467</v>
      </c>
      <c r="D1074" s="141">
        <v>45819</v>
      </c>
      <c r="E1074" s="141">
        <v>45909</v>
      </c>
      <c r="F1074" s="57">
        <v>38136.68</v>
      </c>
      <c r="G1074" s="58">
        <f t="shared" si="240"/>
        <v>-113</v>
      </c>
      <c r="H1074" s="142">
        <f t="shared" si="241"/>
        <v>0</v>
      </c>
      <c r="I1074" s="142">
        <f t="shared" si="242"/>
        <v>0</v>
      </c>
      <c r="J1074" s="143">
        <f t="shared" si="243"/>
        <v>0</v>
      </c>
      <c r="K1074" s="143">
        <f t="shared" si="244"/>
        <v>38136.68</v>
      </c>
      <c r="L1074" s="142">
        <f t="shared" si="245"/>
        <v>0</v>
      </c>
      <c r="M1074" s="142">
        <f t="shared" si="246"/>
        <v>0</v>
      </c>
      <c r="N1074" s="142">
        <f t="shared" si="247"/>
        <v>0</v>
      </c>
      <c r="O1074" s="59">
        <f t="shared" si="248"/>
        <v>38136.68</v>
      </c>
      <c r="P1074" s="142">
        <f t="shared" si="249"/>
        <v>0</v>
      </c>
      <c r="Q1074" s="142">
        <f t="shared" si="250"/>
        <v>0</v>
      </c>
      <c r="R1074" s="142">
        <f t="shared" si="251"/>
        <v>0</v>
      </c>
      <c r="S1074" s="142">
        <f t="shared" si="252"/>
        <v>0</v>
      </c>
      <c r="T1074" s="142">
        <f t="shared" si="253"/>
        <v>0</v>
      </c>
      <c r="U1074" s="60">
        <f t="shared" si="254"/>
        <v>0</v>
      </c>
    </row>
    <row r="1075" spans="1:21" x14ac:dyDescent="0.2">
      <c r="A1075" s="115"/>
      <c r="B1075" s="139" t="s">
        <v>64</v>
      </c>
      <c r="C1075" s="140" t="s">
        <v>468</v>
      </c>
      <c r="D1075" s="141">
        <v>45833</v>
      </c>
      <c r="E1075" s="141">
        <v>45921</v>
      </c>
      <c r="F1075" s="57">
        <v>38175</v>
      </c>
      <c r="G1075" s="58">
        <f t="shared" si="240"/>
        <v>-101</v>
      </c>
      <c r="H1075" s="142">
        <f t="shared" si="241"/>
        <v>0</v>
      </c>
      <c r="I1075" s="142">
        <f t="shared" si="242"/>
        <v>0</v>
      </c>
      <c r="J1075" s="143">
        <f t="shared" si="243"/>
        <v>0</v>
      </c>
      <c r="K1075" s="143">
        <f t="shared" si="244"/>
        <v>38175</v>
      </c>
      <c r="L1075" s="142">
        <f t="shared" si="245"/>
        <v>0</v>
      </c>
      <c r="M1075" s="142">
        <f t="shared" si="246"/>
        <v>0</v>
      </c>
      <c r="N1075" s="142">
        <f t="shared" si="247"/>
        <v>0</v>
      </c>
      <c r="O1075" s="59">
        <f t="shared" si="248"/>
        <v>38175</v>
      </c>
      <c r="P1075" s="142">
        <f t="shared" si="249"/>
        <v>0</v>
      </c>
      <c r="Q1075" s="142">
        <f t="shared" si="250"/>
        <v>0</v>
      </c>
      <c r="R1075" s="142">
        <f t="shared" si="251"/>
        <v>0</v>
      </c>
      <c r="S1075" s="142">
        <f t="shared" si="252"/>
        <v>0</v>
      </c>
      <c r="T1075" s="142">
        <f t="shared" si="253"/>
        <v>0</v>
      </c>
      <c r="U1075" s="60">
        <f t="shared" si="254"/>
        <v>0</v>
      </c>
    </row>
    <row r="1076" spans="1:21" x14ac:dyDescent="0.2">
      <c r="A1076" s="115"/>
      <c r="B1076" s="139" t="s">
        <v>64</v>
      </c>
      <c r="C1076" s="140" t="s">
        <v>464</v>
      </c>
      <c r="D1076" s="141">
        <v>45812</v>
      </c>
      <c r="E1076" s="141">
        <v>45930</v>
      </c>
      <c r="F1076" s="57">
        <v>38470</v>
      </c>
      <c r="G1076" s="58">
        <f t="shared" si="240"/>
        <v>-92</v>
      </c>
      <c r="H1076" s="142">
        <f t="shared" si="241"/>
        <v>0</v>
      </c>
      <c r="I1076" s="142">
        <f t="shared" si="242"/>
        <v>0</v>
      </c>
      <c r="J1076" s="143">
        <f t="shared" si="243"/>
        <v>0</v>
      </c>
      <c r="K1076" s="143">
        <f t="shared" si="244"/>
        <v>38470</v>
      </c>
      <c r="L1076" s="142">
        <f t="shared" si="245"/>
        <v>0</v>
      </c>
      <c r="M1076" s="142">
        <f t="shared" si="246"/>
        <v>0</v>
      </c>
      <c r="N1076" s="142">
        <f t="shared" si="247"/>
        <v>0</v>
      </c>
      <c r="O1076" s="59">
        <f t="shared" si="248"/>
        <v>38470</v>
      </c>
      <c r="P1076" s="142">
        <f t="shared" si="249"/>
        <v>0</v>
      </c>
      <c r="Q1076" s="142">
        <f t="shared" si="250"/>
        <v>0</v>
      </c>
      <c r="R1076" s="142">
        <f t="shared" si="251"/>
        <v>0</v>
      </c>
      <c r="S1076" s="142">
        <f t="shared" si="252"/>
        <v>0</v>
      </c>
      <c r="T1076" s="142">
        <f t="shared" si="253"/>
        <v>0</v>
      </c>
      <c r="U1076" s="60">
        <f t="shared" si="254"/>
        <v>0</v>
      </c>
    </row>
    <row r="1077" spans="1:21" x14ac:dyDescent="0.2">
      <c r="A1077" s="115"/>
      <c r="B1077" s="139" t="s">
        <v>64</v>
      </c>
      <c r="C1077" s="140" t="s">
        <v>465</v>
      </c>
      <c r="D1077" s="141">
        <v>45812</v>
      </c>
      <c r="E1077" s="141">
        <v>45930</v>
      </c>
      <c r="F1077" s="57">
        <v>57700</v>
      </c>
      <c r="G1077" s="58">
        <f t="shared" si="240"/>
        <v>-92</v>
      </c>
      <c r="H1077" s="142">
        <f t="shared" si="241"/>
        <v>0</v>
      </c>
      <c r="I1077" s="142">
        <f t="shared" si="242"/>
        <v>0</v>
      </c>
      <c r="J1077" s="143">
        <f t="shared" si="243"/>
        <v>0</v>
      </c>
      <c r="K1077" s="143">
        <f t="shared" si="244"/>
        <v>57700</v>
      </c>
      <c r="L1077" s="142">
        <f t="shared" si="245"/>
        <v>0</v>
      </c>
      <c r="M1077" s="142">
        <f t="shared" si="246"/>
        <v>0</v>
      </c>
      <c r="N1077" s="142">
        <f t="shared" si="247"/>
        <v>0</v>
      </c>
      <c r="O1077" s="59">
        <f t="shared" si="248"/>
        <v>57700</v>
      </c>
      <c r="P1077" s="142">
        <f t="shared" si="249"/>
        <v>0</v>
      </c>
      <c r="Q1077" s="142">
        <f t="shared" si="250"/>
        <v>0</v>
      </c>
      <c r="R1077" s="142">
        <f t="shared" si="251"/>
        <v>0</v>
      </c>
      <c r="S1077" s="142">
        <f t="shared" si="252"/>
        <v>0</v>
      </c>
      <c r="T1077" s="142">
        <f t="shared" si="253"/>
        <v>0</v>
      </c>
      <c r="U1077" s="60">
        <f t="shared" si="254"/>
        <v>0</v>
      </c>
    </row>
    <row r="1078" spans="1:21" x14ac:dyDescent="0.2">
      <c r="A1078" s="115"/>
      <c r="B1078" s="139" t="s">
        <v>64</v>
      </c>
      <c r="C1078" s="140" t="s">
        <v>466</v>
      </c>
      <c r="D1078" s="141">
        <v>45819</v>
      </c>
      <c r="E1078" s="141">
        <v>45933</v>
      </c>
      <c r="F1078" s="57">
        <v>56271.67</v>
      </c>
      <c r="G1078" s="58">
        <f t="shared" si="240"/>
        <v>-89</v>
      </c>
      <c r="H1078" s="142">
        <f t="shared" si="241"/>
        <v>0</v>
      </c>
      <c r="I1078" s="142">
        <f t="shared" si="242"/>
        <v>0</v>
      </c>
      <c r="J1078" s="143">
        <f t="shared" si="243"/>
        <v>0</v>
      </c>
      <c r="K1078" s="143">
        <f t="shared" si="244"/>
        <v>0</v>
      </c>
      <c r="L1078" s="142">
        <f t="shared" si="245"/>
        <v>56271.67</v>
      </c>
      <c r="M1078" s="142">
        <f t="shared" si="246"/>
        <v>0</v>
      </c>
      <c r="N1078" s="142">
        <f t="shared" si="247"/>
        <v>0</v>
      </c>
      <c r="O1078" s="59">
        <f t="shared" si="248"/>
        <v>56271.67</v>
      </c>
      <c r="P1078" s="142">
        <f t="shared" si="249"/>
        <v>0</v>
      </c>
      <c r="Q1078" s="142">
        <f t="shared" si="250"/>
        <v>0</v>
      </c>
      <c r="R1078" s="142">
        <f t="shared" si="251"/>
        <v>0</v>
      </c>
      <c r="S1078" s="142">
        <f t="shared" si="252"/>
        <v>0</v>
      </c>
      <c r="T1078" s="142">
        <f t="shared" si="253"/>
        <v>0</v>
      </c>
      <c r="U1078" s="60">
        <f t="shared" si="254"/>
        <v>0</v>
      </c>
    </row>
    <row r="1079" spans="1:21" x14ac:dyDescent="0.2">
      <c r="A1079" s="115"/>
      <c r="B1079" s="139" t="s">
        <v>64</v>
      </c>
      <c r="C1079" s="140" t="s">
        <v>467</v>
      </c>
      <c r="D1079" s="141">
        <v>45819</v>
      </c>
      <c r="E1079" s="141">
        <v>45939</v>
      </c>
      <c r="F1079" s="57">
        <v>38136.660000000003</v>
      </c>
      <c r="G1079" s="58">
        <f t="shared" si="240"/>
        <v>-83</v>
      </c>
      <c r="H1079" s="142">
        <f t="shared" si="241"/>
        <v>0</v>
      </c>
      <c r="I1079" s="142">
        <f t="shared" si="242"/>
        <v>0</v>
      </c>
      <c r="J1079" s="143">
        <f t="shared" si="243"/>
        <v>0</v>
      </c>
      <c r="K1079" s="143">
        <f t="shared" si="244"/>
        <v>0</v>
      </c>
      <c r="L1079" s="142">
        <f t="shared" si="245"/>
        <v>38136.660000000003</v>
      </c>
      <c r="M1079" s="142">
        <f t="shared" si="246"/>
        <v>0</v>
      </c>
      <c r="N1079" s="142">
        <f t="shared" si="247"/>
        <v>0</v>
      </c>
      <c r="O1079" s="59">
        <f t="shared" si="248"/>
        <v>38136.660000000003</v>
      </c>
      <c r="P1079" s="142">
        <f t="shared" si="249"/>
        <v>0</v>
      </c>
      <c r="Q1079" s="142">
        <f t="shared" si="250"/>
        <v>0</v>
      </c>
      <c r="R1079" s="142">
        <f t="shared" si="251"/>
        <v>0</v>
      </c>
      <c r="S1079" s="142">
        <f t="shared" si="252"/>
        <v>0</v>
      </c>
      <c r="T1079" s="142">
        <f t="shared" si="253"/>
        <v>0</v>
      </c>
      <c r="U1079" s="60">
        <f t="shared" si="254"/>
        <v>0</v>
      </c>
    </row>
    <row r="1080" spans="1:21" x14ac:dyDescent="0.2">
      <c r="A1080" s="115"/>
      <c r="B1080" s="139" t="s">
        <v>64</v>
      </c>
      <c r="C1080" s="140" t="s">
        <v>560</v>
      </c>
      <c r="D1080" s="141">
        <v>45860</v>
      </c>
      <c r="E1080" s="141">
        <v>45946</v>
      </c>
      <c r="F1080" s="57">
        <v>67533.83</v>
      </c>
      <c r="G1080" s="58">
        <f t="shared" si="240"/>
        <v>-76</v>
      </c>
      <c r="H1080" s="142">
        <f t="shared" si="241"/>
        <v>0</v>
      </c>
      <c r="I1080" s="142">
        <f t="shared" si="242"/>
        <v>0</v>
      </c>
      <c r="J1080" s="143">
        <f t="shared" si="243"/>
        <v>0</v>
      </c>
      <c r="K1080" s="143">
        <f t="shared" si="244"/>
        <v>0</v>
      </c>
      <c r="L1080" s="142">
        <f t="shared" si="245"/>
        <v>67533.83</v>
      </c>
      <c r="M1080" s="142">
        <f t="shared" si="246"/>
        <v>0</v>
      </c>
      <c r="N1080" s="142">
        <f t="shared" si="247"/>
        <v>0</v>
      </c>
      <c r="O1080" s="59">
        <f t="shared" si="248"/>
        <v>67533.83</v>
      </c>
      <c r="P1080" s="142">
        <f t="shared" si="249"/>
        <v>0</v>
      </c>
      <c r="Q1080" s="142">
        <f t="shared" si="250"/>
        <v>0</v>
      </c>
      <c r="R1080" s="142">
        <f t="shared" si="251"/>
        <v>0</v>
      </c>
      <c r="S1080" s="142">
        <f t="shared" si="252"/>
        <v>0</v>
      </c>
      <c r="T1080" s="142">
        <f t="shared" si="253"/>
        <v>0</v>
      </c>
      <c r="U1080" s="60">
        <f t="shared" si="254"/>
        <v>0</v>
      </c>
    </row>
    <row r="1081" spans="1:21" x14ac:dyDescent="0.2">
      <c r="A1081" s="115"/>
      <c r="B1081" s="139" t="s">
        <v>64</v>
      </c>
      <c r="C1081" s="140" t="s">
        <v>468</v>
      </c>
      <c r="D1081" s="141">
        <v>45833</v>
      </c>
      <c r="E1081" s="141">
        <v>45951</v>
      </c>
      <c r="F1081" s="57">
        <v>38175</v>
      </c>
      <c r="G1081" s="58">
        <f t="shared" si="240"/>
        <v>-71</v>
      </c>
      <c r="H1081" s="142">
        <f t="shared" si="241"/>
        <v>0</v>
      </c>
      <c r="I1081" s="142">
        <f t="shared" si="242"/>
        <v>0</v>
      </c>
      <c r="J1081" s="143">
        <f t="shared" si="243"/>
        <v>0</v>
      </c>
      <c r="K1081" s="143">
        <f t="shared" si="244"/>
        <v>0</v>
      </c>
      <c r="L1081" s="142">
        <f t="shared" si="245"/>
        <v>38175</v>
      </c>
      <c r="M1081" s="142">
        <f t="shared" si="246"/>
        <v>0</v>
      </c>
      <c r="N1081" s="142">
        <f t="shared" si="247"/>
        <v>0</v>
      </c>
      <c r="O1081" s="59">
        <f t="shared" si="248"/>
        <v>38175</v>
      </c>
      <c r="P1081" s="142">
        <f t="shared" si="249"/>
        <v>0</v>
      </c>
      <c r="Q1081" s="142">
        <f t="shared" si="250"/>
        <v>0</v>
      </c>
      <c r="R1081" s="142">
        <f t="shared" si="251"/>
        <v>0</v>
      </c>
      <c r="S1081" s="142">
        <f t="shared" si="252"/>
        <v>0</v>
      </c>
      <c r="T1081" s="142">
        <f t="shared" si="253"/>
        <v>0</v>
      </c>
      <c r="U1081" s="60">
        <f t="shared" si="254"/>
        <v>0</v>
      </c>
    </row>
    <row r="1082" spans="1:21" x14ac:dyDescent="0.2">
      <c r="A1082" s="115"/>
      <c r="B1082" s="139" t="s">
        <v>64</v>
      </c>
      <c r="C1082" s="140" t="s">
        <v>628</v>
      </c>
      <c r="D1082" s="141">
        <v>45891</v>
      </c>
      <c r="E1082" s="141">
        <v>45951</v>
      </c>
      <c r="F1082" s="57">
        <v>278460</v>
      </c>
      <c r="G1082" s="58">
        <f t="shared" si="240"/>
        <v>-71</v>
      </c>
      <c r="H1082" s="142">
        <f t="shared" si="241"/>
        <v>0</v>
      </c>
      <c r="I1082" s="142">
        <f t="shared" si="242"/>
        <v>0</v>
      </c>
      <c r="J1082" s="143">
        <f t="shared" si="243"/>
        <v>0</v>
      </c>
      <c r="K1082" s="143">
        <f t="shared" si="244"/>
        <v>0</v>
      </c>
      <c r="L1082" s="142">
        <f t="shared" si="245"/>
        <v>278460</v>
      </c>
      <c r="M1082" s="142">
        <f t="shared" si="246"/>
        <v>0</v>
      </c>
      <c r="N1082" s="142">
        <f t="shared" si="247"/>
        <v>0</v>
      </c>
      <c r="O1082" s="59">
        <f t="shared" si="248"/>
        <v>278460</v>
      </c>
      <c r="P1082" s="142">
        <f t="shared" si="249"/>
        <v>0</v>
      </c>
      <c r="Q1082" s="142">
        <f t="shared" si="250"/>
        <v>0</v>
      </c>
      <c r="R1082" s="142">
        <f t="shared" si="251"/>
        <v>0</v>
      </c>
      <c r="S1082" s="142">
        <f t="shared" si="252"/>
        <v>0</v>
      </c>
      <c r="T1082" s="142">
        <f t="shared" si="253"/>
        <v>0</v>
      </c>
      <c r="U1082" s="60">
        <f t="shared" si="254"/>
        <v>0</v>
      </c>
    </row>
    <row r="1083" spans="1:21" x14ac:dyDescent="0.2">
      <c r="A1083" s="115"/>
      <c r="B1083" s="139" t="s">
        <v>64</v>
      </c>
      <c r="C1083" s="140" t="s">
        <v>561</v>
      </c>
      <c r="D1083" s="141">
        <v>45869</v>
      </c>
      <c r="E1083" s="141">
        <v>45959</v>
      </c>
      <c r="F1083" s="57">
        <v>64541</v>
      </c>
      <c r="G1083" s="58">
        <f t="shared" si="240"/>
        <v>-63</v>
      </c>
      <c r="H1083" s="142">
        <f t="shared" si="241"/>
        <v>0</v>
      </c>
      <c r="I1083" s="142">
        <f t="shared" si="242"/>
        <v>0</v>
      </c>
      <c r="J1083" s="143">
        <f t="shared" si="243"/>
        <v>0</v>
      </c>
      <c r="K1083" s="143">
        <f t="shared" si="244"/>
        <v>0</v>
      </c>
      <c r="L1083" s="142">
        <f t="shared" si="245"/>
        <v>64541</v>
      </c>
      <c r="M1083" s="142">
        <f t="shared" si="246"/>
        <v>0</v>
      </c>
      <c r="N1083" s="142">
        <f t="shared" si="247"/>
        <v>0</v>
      </c>
      <c r="O1083" s="59">
        <f t="shared" si="248"/>
        <v>64541</v>
      </c>
      <c r="P1083" s="142">
        <f t="shared" si="249"/>
        <v>0</v>
      </c>
      <c r="Q1083" s="142">
        <f t="shared" si="250"/>
        <v>0</v>
      </c>
      <c r="R1083" s="142">
        <f t="shared" si="251"/>
        <v>0</v>
      </c>
      <c r="S1083" s="142">
        <f t="shared" si="252"/>
        <v>0</v>
      </c>
      <c r="T1083" s="142">
        <f t="shared" si="253"/>
        <v>0</v>
      </c>
      <c r="U1083" s="60">
        <f t="shared" si="254"/>
        <v>0</v>
      </c>
    </row>
    <row r="1084" spans="1:21" x14ac:dyDescent="0.2">
      <c r="A1084" s="115"/>
      <c r="B1084" s="139" t="s">
        <v>64</v>
      </c>
      <c r="C1084" s="140" t="s">
        <v>562</v>
      </c>
      <c r="D1084" s="141">
        <v>45869</v>
      </c>
      <c r="E1084" s="141">
        <v>45959</v>
      </c>
      <c r="F1084" s="57">
        <v>5616</v>
      </c>
      <c r="G1084" s="58">
        <f t="shared" si="240"/>
        <v>-63</v>
      </c>
      <c r="H1084" s="142">
        <f t="shared" si="241"/>
        <v>0</v>
      </c>
      <c r="I1084" s="142">
        <f t="shared" si="242"/>
        <v>0</v>
      </c>
      <c r="J1084" s="143">
        <f t="shared" si="243"/>
        <v>0</v>
      </c>
      <c r="K1084" s="143">
        <f t="shared" si="244"/>
        <v>0</v>
      </c>
      <c r="L1084" s="142">
        <f t="shared" si="245"/>
        <v>5616</v>
      </c>
      <c r="M1084" s="142">
        <f t="shared" si="246"/>
        <v>0</v>
      </c>
      <c r="N1084" s="142">
        <f t="shared" si="247"/>
        <v>0</v>
      </c>
      <c r="O1084" s="59">
        <f t="shared" si="248"/>
        <v>5616</v>
      </c>
      <c r="P1084" s="142">
        <f t="shared" si="249"/>
        <v>0</v>
      </c>
      <c r="Q1084" s="142">
        <f t="shared" si="250"/>
        <v>0</v>
      </c>
      <c r="R1084" s="142">
        <f t="shared" si="251"/>
        <v>0</v>
      </c>
      <c r="S1084" s="142">
        <f t="shared" si="252"/>
        <v>0</v>
      </c>
      <c r="T1084" s="142">
        <f t="shared" si="253"/>
        <v>0</v>
      </c>
      <c r="U1084" s="60">
        <f t="shared" si="254"/>
        <v>0</v>
      </c>
    </row>
    <row r="1085" spans="1:21" x14ac:dyDescent="0.2">
      <c r="A1085" s="115"/>
      <c r="B1085" s="139" t="s">
        <v>64</v>
      </c>
      <c r="C1085" s="140" t="s">
        <v>464</v>
      </c>
      <c r="D1085" s="141">
        <v>45812</v>
      </c>
      <c r="E1085" s="141">
        <v>45960</v>
      </c>
      <c r="F1085" s="57">
        <v>38470</v>
      </c>
      <c r="G1085" s="58">
        <f t="shared" si="240"/>
        <v>-62</v>
      </c>
      <c r="H1085" s="142">
        <f t="shared" si="241"/>
        <v>0</v>
      </c>
      <c r="I1085" s="142">
        <f t="shared" si="242"/>
        <v>0</v>
      </c>
      <c r="J1085" s="143">
        <f t="shared" si="243"/>
        <v>0</v>
      </c>
      <c r="K1085" s="143">
        <f t="shared" si="244"/>
        <v>0</v>
      </c>
      <c r="L1085" s="142">
        <f t="shared" si="245"/>
        <v>38470</v>
      </c>
      <c r="M1085" s="142">
        <f t="shared" si="246"/>
        <v>0</v>
      </c>
      <c r="N1085" s="142">
        <f t="shared" si="247"/>
        <v>0</v>
      </c>
      <c r="O1085" s="59">
        <f t="shared" si="248"/>
        <v>38470</v>
      </c>
      <c r="P1085" s="142">
        <f t="shared" si="249"/>
        <v>0</v>
      </c>
      <c r="Q1085" s="142">
        <f t="shared" si="250"/>
        <v>0</v>
      </c>
      <c r="R1085" s="142">
        <f t="shared" si="251"/>
        <v>0</v>
      </c>
      <c r="S1085" s="142">
        <f t="shared" si="252"/>
        <v>0</v>
      </c>
      <c r="T1085" s="142">
        <f t="shared" si="253"/>
        <v>0</v>
      </c>
      <c r="U1085" s="60">
        <f t="shared" si="254"/>
        <v>0</v>
      </c>
    </row>
    <row r="1086" spans="1:21" x14ac:dyDescent="0.2">
      <c r="A1086" s="115"/>
      <c r="B1086" s="139" t="s">
        <v>64</v>
      </c>
      <c r="C1086" s="140" t="s">
        <v>466</v>
      </c>
      <c r="D1086" s="141">
        <v>45819</v>
      </c>
      <c r="E1086" s="141">
        <v>45963</v>
      </c>
      <c r="F1086" s="57">
        <v>56271.67</v>
      </c>
      <c r="G1086" s="58">
        <f t="shared" si="240"/>
        <v>-59</v>
      </c>
      <c r="H1086" s="142">
        <f t="shared" si="241"/>
        <v>0</v>
      </c>
      <c r="I1086" s="142">
        <f t="shared" si="242"/>
        <v>0</v>
      </c>
      <c r="J1086" s="143">
        <f t="shared" si="243"/>
        <v>0</v>
      </c>
      <c r="K1086" s="143">
        <f t="shared" si="244"/>
        <v>0</v>
      </c>
      <c r="L1086" s="142">
        <f t="shared" si="245"/>
        <v>0</v>
      </c>
      <c r="M1086" s="142">
        <f t="shared" si="246"/>
        <v>56271.67</v>
      </c>
      <c r="N1086" s="142">
        <f t="shared" si="247"/>
        <v>0</v>
      </c>
      <c r="O1086" s="59">
        <f t="shared" si="248"/>
        <v>56271.67</v>
      </c>
      <c r="P1086" s="142">
        <f t="shared" si="249"/>
        <v>0</v>
      </c>
      <c r="Q1086" s="142">
        <f t="shared" si="250"/>
        <v>0</v>
      </c>
      <c r="R1086" s="142">
        <f t="shared" si="251"/>
        <v>0</v>
      </c>
      <c r="S1086" s="142">
        <f t="shared" si="252"/>
        <v>0</v>
      </c>
      <c r="T1086" s="142">
        <f t="shared" si="253"/>
        <v>0</v>
      </c>
      <c r="U1086" s="60">
        <f t="shared" si="254"/>
        <v>0</v>
      </c>
    </row>
    <row r="1087" spans="1:21" x14ac:dyDescent="0.2">
      <c r="A1087" s="115"/>
      <c r="B1087" s="139" t="s">
        <v>64</v>
      </c>
      <c r="C1087" s="140" t="s">
        <v>625</v>
      </c>
      <c r="D1087" s="141">
        <v>45877</v>
      </c>
      <c r="E1087" s="141">
        <v>45967</v>
      </c>
      <c r="F1087" s="57">
        <v>123101.62</v>
      </c>
      <c r="G1087" s="58">
        <f t="shared" si="240"/>
        <v>-55</v>
      </c>
      <c r="H1087" s="142">
        <f t="shared" si="241"/>
        <v>0</v>
      </c>
      <c r="I1087" s="142">
        <f t="shared" si="242"/>
        <v>0</v>
      </c>
      <c r="J1087" s="143">
        <f t="shared" si="243"/>
        <v>0</v>
      </c>
      <c r="K1087" s="143">
        <f t="shared" si="244"/>
        <v>0</v>
      </c>
      <c r="L1087" s="142">
        <f t="shared" si="245"/>
        <v>0</v>
      </c>
      <c r="M1087" s="142">
        <f t="shared" si="246"/>
        <v>123101.62</v>
      </c>
      <c r="N1087" s="142">
        <f t="shared" si="247"/>
        <v>0</v>
      </c>
      <c r="O1087" s="59">
        <f t="shared" si="248"/>
        <v>123101.62</v>
      </c>
      <c r="P1087" s="142">
        <f t="shared" si="249"/>
        <v>0</v>
      </c>
      <c r="Q1087" s="142">
        <f t="shared" si="250"/>
        <v>0</v>
      </c>
      <c r="R1087" s="142">
        <f t="shared" si="251"/>
        <v>0</v>
      </c>
      <c r="S1087" s="142">
        <f t="shared" si="252"/>
        <v>0</v>
      </c>
      <c r="T1087" s="142">
        <f t="shared" si="253"/>
        <v>0</v>
      </c>
      <c r="U1087" s="60">
        <f t="shared" si="254"/>
        <v>0</v>
      </c>
    </row>
    <row r="1088" spans="1:21" x14ac:dyDescent="0.2">
      <c r="A1088" s="115"/>
      <c r="B1088" s="139" t="s">
        <v>64</v>
      </c>
      <c r="C1088" s="140" t="s">
        <v>467</v>
      </c>
      <c r="D1088" s="141">
        <v>45819</v>
      </c>
      <c r="E1088" s="141">
        <v>45969</v>
      </c>
      <c r="F1088" s="57">
        <v>38136.660000000003</v>
      </c>
      <c r="G1088" s="58">
        <f t="shared" si="240"/>
        <v>-53</v>
      </c>
      <c r="H1088" s="142">
        <f t="shared" si="241"/>
        <v>0</v>
      </c>
      <c r="I1088" s="142">
        <f t="shared" si="242"/>
        <v>0</v>
      </c>
      <c r="J1088" s="143">
        <f t="shared" si="243"/>
        <v>0</v>
      </c>
      <c r="K1088" s="143">
        <f t="shared" si="244"/>
        <v>0</v>
      </c>
      <c r="L1088" s="142">
        <f t="shared" si="245"/>
        <v>0</v>
      </c>
      <c r="M1088" s="142">
        <f t="shared" si="246"/>
        <v>38136.660000000003</v>
      </c>
      <c r="N1088" s="142">
        <f t="shared" si="247"/>
        <v>0</v>
      </c>
      <c r="O1088" s="59">
        <f t="shared" si="248"/>
        <v>38136.660000000003</v>
      </c>
      <c r="P1088" s="142">
        <f t="shared" si="249"/>
        <v>0</v>
      </c>
      <c r="Q1088" s="142">
        <f t="shared" si="250"/>
        <v>0</v>
      </c>
      <c r="R1088" s="142">
        <f t="shared" si="251"/>
        <v>0</v>
      </c>
      <c r="S1088" s="142">
        <f t="shared" si="252"/>
        <v>0</v>
      </c>
      <c r="T1088" s="142">
        <f t="shared" si="253"/>
        <v>0</v>
      </c>
      <c r="U1088" s="60">
        <f t="shared" si="254"/>
        <v>0</v>
      </c>
    </row>
    <row r="1089" spans="1:21" x14ac:dyDescent="0.2">
      <c r="A1089" s="115"/>
      <c r="B1089" s="139" t="s">
        <v>64</v>
      </c>
      <c r="C1089" s="140" t="s">
        <v>626</v>
      </c>
      <c r="D1089" s="141">
        <v>45883</v>
      </c>
      <c r="E1089" s="141">
        <v>45970</v>
      </c>
      <c r="F1089" s="57">
        <v>59382.8</v>
      </c>
      <c r="G1089" s="58">
        <f t="shared" si="240"/>
        <v>-52</v>
      </c>
      <c r="H1089" s="142">
        <f t="shared" si="241"/>
        <v>0</v>
      </c>
      <c r="I1089" s="142">
        <f t="shared" si="242"/>
        <v>0</v>
      </c>
      <c r="J1089" s="143">
        <f t="shared" si="243"/>
        <v>0</v>
      </c>
      <c r="K1089" s="143">
        <f t="shared" si="244"/>
        <v>0</v>
      </c>
      <c r="L1089" s="142">
        <f t="shared" si="245"/>
        <v>0</v>
      </c>
      <c r="M1089" s="142">
        <f t="shared" si="246"/>
        <v>59382.8</v>
      </c>
      <c r="N1089" s="142">
        <f t="shared" si="247"/>
        <v>0</v>
      </c>
      <c r="O1089" s="59">
        <f t="shared" si="248"/>
        <v>59382.8</v>
      </c>
      <c r="P1089" s="142">
        <f t="shared" si="249"/>
        <v>0</v>
      </c>
      <c r="Q1089" s="142">
        <f t="shared" si="250"/>
        <v>0</v>
      </c>
      <c r="R1089" s="142">
        <f t="shared" si="251"/>
        <v>0</v>
      </c>
      <c r="S1089" s="142">
        <f t="shared" si="252"/>
        <v>0</v>
      </c>
      <c r="T1089" s="142">
        <f t="shared" si="253"/>
        <v>0</v>
      </c>
      <c r="U1089" s="60">
        <f t="shared" si="254"/>
        <v>0</v>
      </c>
    </row>
    <row r="1090" spans="1:21" x14ac:dyDescent="0.2">
      <c r="A1090" s="115"/>
      <c r="B1090" s="139" t="s">
        <v>64</v>
      </c>
      <c r="C1090" s="140" t="s">
        <v>703</v>
      </c>
      <c r="D1090" s="141">
        <v>45912</v>
      </c>
      <c r="E1090" s="141">
        <v>45972</v>
      </c>
      <c r="F1090" s="57">
        <v>5120</v>
      </c>
      <c r="G1090" s="58">
        <f t="shared" si="240"/>
        <v>-50</v>
      </c>
      <c r="H1090" s="142">
        <f t="shared" si="241"/>
        <v>0</v>
      </c>
      <c r="I1090" s="142">
        <f t="shared" si="242"/>
        <v>0</v>
      </c>
      <c r="J1090" s="143">
        <f t="shared" si="243"/>
        <v>0</v>
      </c>
      <c r="K1090" s="143">
        <f t="shared" si="244"/>
        <v>0</v>
      </c>
      <c r="L1090" s="142">
        <f t="shared" si="245"/>
        <v>0</v>
      </c>
      <c r="M1090" s="142">
        <f t="shared" si="246"/>
        <v>5120</v>
      </c>
      <c r="N1090" s="142">
        <f t="shared" si="247"/>
        <v>0</v>
      </c>
      <c r="O1090" s="59">
        <f t="shared" si="248"/>
        <v>5120</v>
      </c>
      <c r="P1090" s="142">
        <f t="shared" si="249"/>
        <v>0</v>
      </c>
      <c r="Q1090" s="142">
        <f t="shared" si="250"/>
        <v>0</v>
      </c>
      <c r="R1090" s="142">
        <f t="shared" si="251"/>
        <v>0</v>
      </c>
      <c r="S1090" s="142">
        <f t="shared" si="252"/>
        <v>0</v>
      </c>
      <c r="T1090" s="142">
        <f t="shared" si="253"/>
        <v>0</v>
      </c>
      <c r="U1090" s="60">
        <f t="shared" si="254"/>
        <v>0</v>
      </c>
    </row>
    <row r="1091" spans="1:21" x14ac:dyDescent="0.2">
      <c r="A1091" s="115"/>
      <c r="B1091" s="139" t="s">
        <v>64</v>
      </c>
      <c r="C1091" s="140" t="s">
        <v>560</v>
      </c>
      <c r="D1091" s="141">
        <v>45860</v>
      </c>
      <c r="E1091" s="141">
        <v>45976</v>
      </c>
      <c r="F1091" s="57">
        <v>67533.83</v>
      </c>
      <c r="G1091" s="58">
        <f t="shared" si="240"/>
        <v>-46</v>
      </c>
      <c r="H1091" s="142">
        <f t="shared" si="241"/>
        <v>0</v>
      </c>
      <c r="I1091" s="142">
        <f t="shared" si="242"/>
        <v>0</v>
      </c>
      <c r="J1091" s="143">
        <f t="shared" si="243"/>
        <v>0</v>
      </c>
      <c r="K1091" s="143">
        <f t="shared" si="244"/>
        <v>0</v>
      </c>
      <c r="L1091" s="142">
        <f t="shared" si="245"/>
        <v>0</v>
      </c>
      <c r="M1091" s="142">
        <f t="shared" si="246"/>
        <v>67533.83</v>
      </c>
      <c r="N1091" s="142">
        <f t="shared" si="247"/>
        <v>0</v>
      </c>
      <c r="O1091" s="59">
        <f t="shared" si="248"/>
        <v>67533.83</v>
      </c>
      <c r="P1091" s="142">
        <f t="shared" si="249"/>
        <v>0</v>
      </c>
      <c r="Q1091" s="142">
        <f t="shared" si="250"/>
        <v>0</v>
      </c>
      <c r="R1091" s="142">
        <f t="shared" si="251"/>
        <v>0</v>
      </c>
      <c r="S1091" s="142">
        <f t="shared" si="252"/>
        <v>0</v>
      </c>
      <c r="T1091" s="142">
        <f t="shared" si="253"/>
        <v>0</v>
      </c>
      <c r="U1091" s="60">
        <f t="shared" si="254"/>
        <v>0</v>
      </c>
    </row>
    <row r="1092" spans="1:21" x14ac:dyDescent="0.2">
      <c r="A1092" s="115"/>
      <c r="B1092" s="139" t="s">
        <v>64</v>
      </c>
      <c r="C1092" s="140" t="s">
        <v>707</v>
      </c>
      <c r="D1092" s="141">
        <v>45919</v>
      </c>
      <c r="E1092" s="141">
        <v>45978</v>
      </c>
      <c r="F1092" s="57">
        <v>26967.43</v>
      </c>
      <c r="G1092" s="58">
        <f t="shared" si="240"/>
        <v>-44</v>
      </c>
      <c r="H1092" s="142">
        <f t="shared" si="241"/>
        <v>0</v>
      </c>
      <c r="I1092" s="142">
        <f t="shared" si="242"/>
        <v>0</v>
      </c>
      <c r="J1092" s="143">
        <f t="shared" si="243"/>
        <v>0</v>
      </c>
      <c r="K1092" s="143">
        <f t="shared" si="244"/>
        <v>0</v>
      </c>
      <c r="L1092" s="142">
        <f t="shared" si="245"/>
        <v>0</v>
      </c>
      <c r="M1092" s="142">
        <f t="shared" si="246"/>
        <v>26967.43</v>
      </c>
      <c r="N1092" s="142">
        <f t="shared" si="247"/>
        <v>0</v>
      </c>
      <c r="O1092" s="59">
        <f t="shared" si="248"/>
        <v>26967.43</v>
      </c>
      <c r="P1092" s="142">
        <f t="shared" si="249"/>
        <v>0</v>
      </c>
      <c r="Q1092" s="142">
        <f t="shared" si="250"/>
        <v>0</v>
      </c>
      <c r="R1092" s="142">
        <f t="shared" si="251"/>
        <v>0</v>
      </c>
      <c r="S1092" s="142">
        <f t="shared" si="252"/>
        <v>0</v>
      </c>
      <c r="T1092" s="142">
        <f t="shared" si="253"/>
        <v>0</v>
      </c>
      <c r="U1092" s="60">
        <f t="shared" si="254"/>
        <v>0</v>
      </c>
    </row>
    <row r="1093" spans="1:21" x14ac:dyDescent="0.2">
      <c r="A1093" s="115"/>
      <c r="B1093" s="139" t="s">
        <v>64</v>
      </c>
      <c r="C1093" s="140" t="s">
        <v>704</v>
      </c>
      <c r="D1093" s="141">
        <v>45919</v>
      </c>
      <c r="E1093" s="141">
        <v>45979</v>
      </c>
      <c r="F1093" s="57">
        <v>16157.43</v>
      </c>
      <c r="G1093" s="58">
        <f t="shared" si="240"/>
        <v>-43</v>
      </c>
      <c r="H1093" s="142">
        <f t="shared" si="241"/>
        <v>0</v>
      </c>
      <c r="I1093" s="142">
        <f t="shared" si="242"/>
        <v>0</v>
      </c>
      <c r="J1093" s="143">
        <f t="shared" si="243"/>
        <v>0</v>
      </c>
      <c r="K1093" s="143">
        <f t="shared" si="244"/>
        <v>0</v>
      </c>
      <c r="L1093" s="142">
        <f t="shared" si="245"/>
        <v>0</v>
      </c>
      <c r="M1093" s="142">
        <f t="shared" si="246"/>
        <v>16157.43</v>
      </c>
      <c r="N1093" s="142">
        <f t="shared" si="247"/>
        <v>0</v>
      </c>
      <c r="O1093" s="59">
        <f t="shared" si="248"/>
        <v>16157.43</v>
      </c>
      <c r="P1093" s="142">
        <f t="shared" si="249"/>
        <v>0</v>
      </c>
      <c r="Q1093" s="142">
        <f t="shared" si="250"/>
        <v>0</v>
      </c>
      <c r="R1093" s="142">
        <f t="shared" si="251"/>
        <v>0</v>
      </c>
      <c r="S1093" s="142">
        <f t="shared" si="252"/>
        <v>0</v>
      </c>
      <c r="T1093" s="142">
        <f t="shared" si="253"/>
        <v>0</v>
      </c>
      <c r="U1093" s="60">
        <f t="shared" si="254"/>
        <v>0</v>
      </c>
    </row>
    <row r="1094" spans="1:21" x14ac:dyDescent="0.2">
      <c r="A1094" s="115"/>
      <c r="B1094" s="139" t="s">
        <v>64</v>
      </c>
      <c r="C1094" s="140" t="s">
        <v>705</v>
      </c>
      <c r="D1094" s="141">
        <v>45919</v>
      </c>
      <c r="E1094" s="141">
        <v>45979</v>
      </c>
      <c r="F1094" s="57">
        <v>15157.43</v>
      </c>
      <c r="G1094" s="58">
        <f t="shared" si="240"/>
        <v>-43</v>
      </c>
      <c r="H1094" s="142">
        <f t="shared" si="241"/>
        <v>0</v>
      </c>
      <c r="I1094" s="142">
        <f t="shared" si="242"/>
        <v>0</v>
      </c>
      <c r="J1094" s="143">
        <f t="shared" si="243"/>
        <v>0</v>
      </c>
      <c r="K1094" s="143">
        <f t="shared" si="244"/>
        <v>0</v>
      </c>
      <c r="L1094" s="142">
        <f t="shared" si="245"/>
        <v>0</v>
      </c>
      <c r="M1094" s="142">
        <f t="shared" si="246"/>
        <v>15157.43</v>
      </c>
      <c r="N1094" s="142">
        <f t="shared" si="247"/>
        <v>0</v>
      </c>
      <c r="O1094" s="59">
        <f t="shared" si="248"/>
        <v>15157.43</v>
      </c>
      <c r="P1094" s="142">
        <f t="shared" si="249"/>
        <v>0</v>
      </c>
      <c r="Q1094" s="142">
        <f t="shared" si="250"/>
        <v>0</v>
      </c>
      <c r="R1094" s="142">
        <f t="shared" si="251"/>
        <v>0</v>
      </c>
      <c r="S1094" s="142">
        <f t="shared" si="252"/>
        <v>0</v>
      </c>
      <c r="T1094" s="142">
        <f t="shared" si="253"/>
        <v>0</v>
      </c>
      <c r="U1094" s="60">
        <f t="shared" si="254"/>
        <v>0</v>
      </c>
    </row>
    <row r="1095" spans="1:21" x14ac:dyDescent="0.2">
      <c r="A1095" s="115"/>
      <c r="B1095" s="139" t="s">
        <v>64</v>
      </c>
      <c r="C1095" s="140" t="s">
        <v>706</v>
      </c>
      <c r="D1095" s="141">
        <v>45919</v>
      </c>
      <c r="E1095" s="141">
        <v>45979</v>
      </c>
      <c r="F1095" s="57">
        <v>21767.43</v>
      </c>
      <c r="G1095" s="58">
        <f t="shared" ref="G1095:G1158" si="255">E1095-$H$3</f>
        <v>-43</v>
      </c>
      <c r="H1095" s="142">
        <f t="shared" ref="H1095:H1158" si="256">IF(AND($G1095&gt;=-8000,$G1095&lt;=-181),$F1095,0)</f>
        <v>0</v>
      </c>
      <c r="I1095" s="142">
        <f t="shared" ref="I1095:I1158" si="257">IF(AND($G1095&gt;=-180,$G1095&lt;=-151),$F1095,0)</f>
        <v>0</v>
      </c>
      <c r="J1095" s="143">
        <f t="shared" ref="J1095:J1158" si="258">IF(AND($G1095&gt;=-150,$G1095&lt;=-121),$F1095,0)</f>
        <v>0</v>
      </c>
      <c r="K1095" s="143">
        <f t="shared" ref="K1095:K1158" si="259">IF(AND($G1095&gt;=-120,$G1095&lt;=-91),$F1095,0)</f>
        <v>0</v>
      </c>
      <c r="L1095" s="142">
        <f t="shared" ref="L1095:L1158" si="260">IF(AND($G1095&gt;=-90,$G1095&lt;=-61),$F1095,0)</f>
        <v>0</v>
      </c>
      <c r="M1095" s="142">
        <f t="shared" ref="M1095:M1158" si="261">IF(AND($G1095&gt;=-60,$G1095&lt;=-31),$F1095,0)</f>
        <v>21767.43</v>
      </c>
      <c r="N1095" s="142">
        <f t="shared" ref="N1095:N1158" si="262">IF(AND($G1095&gt;=-30,$G1095&lt;=-1),$F1095,0)</f>
        <v>0</v>
      </c>
      <c r="O1095" s="59">
        <f t="shared" ref="O1095:O1158" si="263">SUM(H1095:N1095)</f>
        <v>21767.43</v>
      </c>
      <c r="P1095" s="142">
        <f t="shared" ref="P1095:P1158" si="264">IF(AND($G1095&lt;=30,$G1095&gt;=0),$F1095,0)</f>
        <v>0</v>
      </c>
      <c r="Q1095" s="142">
        <f t="shared" ref="Q1095:Q1158" si="265">IF(AND($G1095&lt;=60,$G1095&gt;=31),$F1095,0)</f>
        <v>0</v>
      </c>
      <c r="R1095" s="142">
        <f t="shared" ref="R1095:R1158" si="266">IF(AND($G1095&lt;=90,$G1095&gt;=61),$F1095,0)</f>
        <v>0</v>
      </c>
      <c r="S1095" s="142">
        <f t="shared" ref="S1095:S1158" si="267">IF(AND($G1095&lt;=120,$G1095&gt;=91),$F1095,0)</f>
        <v>0</v>
      </c>
      <c r="T1095" s="142">
        <f t="shared" ref="T1095:T1158" si="268">IF(G1095&gt;=121,F1095,0)</f>
        <v>0</v>
      </c>
      <c r="U1095" s="60">
        <f t="shared" ref="U1095:U1158" si="269">SUM(P1095:T1095)</f>
        <v>0</v>
      </c>
    </row>
    <row r="1096" spans="1:21" x14ac:dyDescent="0.2">
      <c r="A1096" s="115"/>
      <c r="B1096" s="139" t="s">
        <v>64</v>
      </c>
      <c r="C1096" s="140" t="s">
        <v>708</v>
      </c>
      <c r="D1096" s="141">
        <v>45922</v>
      </c>
      <c r="E1096" s="141">
        <v>45979</v>
      </c>
      <c r="F1096" s="57">
        <v>7787.43</v>
      </c>
      <c r="G1096" s="58">
        <f t="shared" si="255"/>
        <v>-43</v>
      </c>
      <c r="H1096" s="142">
        <f t="shared" si="256"/>
        <v>0</v>
      </c>
      <c r="I1096" s="142">
        <f t="shared" si="257"/>
        <v>0</v>
      </c>
      <c r="J1096" s="143">
        <f t="shared" si="258"/>
        <v>0</v>
      </c>
      <c r="K1096" s="143">
        <f t="shared" si="259"/>
        <v>0</v>
      </c>
      <c r="L1096" s="142">
        <f t="shared" si="260"/>
        <v>0</v>
      </c>
      <c r="M1096" s="142">
        <f t="shared" si="261"/>
        <v>7787.43</v>
      </c>
      <c r="N1096" s="142">
        <f t="shared" si="262"/>
        <v>0</v>
      </c>
      <c r="O1096" s="59">
        <f t="shared" si="263"/>
        <v>7787.43</v>
      </c>
      <c r="P1096" s="142">
        <f t="shared" si="264"/>
        <v>0</v>
      </c>
      <c r="Q1096" s="142">
        <f t="shared" si="265"/>
        <v>0</v>
      </c>
      <c r="R1096" s="142">
        <f t="shared" si="266"/>
        <v>0</v>
      </c>
      <c r="S1096" s="142">
        <f t="shared" si="267"/>
        <v>0</v>
      </c>
      <c r="T1096" s="142">
        <f t="shared" si="268"/>
        <v>0</v>
      </c>
      <c r="U1096" s="60">
        <f t="shared" si="269"/>
        <v>0</v>
      </c>
    </row>
    <row r="1097" spans="1:21" x14ac:dyDescent="0.2">
      <c r="A1097" s="115"/>
      <c r="B1097" s="139" t="s">
        <v>64</v>
      </c>
      <c r="C1097" s="140" t="s">
        <v>627</v>
      </c>
      <c r="D1097" s="141">
        <v>45890</v>
      </c>
      <c r="E1097" s="141">
        <v>45980</v>
      </c>
      <c r="F1097" s="57">
        <v>5120</v>
      </c>
      <c r="G1097" s="58">
        <f t="shared" si="255"/>
        <v>-42</v>
      </c>
      <c r="H1097" s="142">
        <f t="shared" si="256"/>
        <v>0</v>
      </c>
      <c r="I1097" s="142">
        <f t="shared" si="257"/>
        <v>0</v>
      </c>
      <c r="J1097" s="143">
        <f t="shared" si="258"/>
        <v>0</v>
      </c>
      <c r="K1097" s="143">
        <f t="shared" si="259"/>
        <v>0</v>
      </c>
      <c r="L1097" s="142">
        <f t="shared" si="260"/>
        <v>0</v>
      </c>
      <c r="M1097" s="142">
        <f t="shared" si="261"/>
        <v>5120</v>
      </c>
      <c r="N1097" s="142">
        <f t="shared" si="262"/>
        <v>0</v>
      </c>
      <c r="O1097" s="59">
        <f t="shared" si="263"/>
        <v>5120</v>
      </c>
      <c r="P1097" s="142">
        <f t="shared" si="264"/>
        <v>0</v>
      </c>
      <c r="Q1097" s="142">
        <f t="shared" si="265"/>
        <v>0</v>
      </c>
      <c r="R1097" s="142">
        <f t="shared" si="266"/>
        <v>0</v>
      </c>
      <c r="S1097" s="142">
        <f t="shared" si="267"/>
        <v>0</v>
      </c>
      <c r="T1097" s="142">
        <f t="shared" si="268"/>
        <v>0</v>
      </c>
      <c r="U1097" s="60">
        <f t="shared" si="269"/>
        <v>0</v>
      </c>
    </row>
    <row r="1098" spans="1:21" x14ac:dyDescent="0.2">
      <c r="A1098" s="115"/>
      <c r="B1098" s="139" t="s">
        <v>64</v>
      </c>
      <c r="C1098" s="140" t="s">
        <v>709</v>
      </c>
      <c r="D1098" s="141">
        <v>45925</v>
      </c>
      <c r="E1098" s="141">
        <v>45984</v>
      </c>
      <c r="F1098" s="57">
        <v>10757.43</v>
      </c>
      <c r="G1098" s="58">
        <f t="shared" si="255"/>
        <v>-38</v>
      </c>
      <c r="H1098" s="142">
        <f t="shared" si="256"/>
        <v>0</v>
      </c>
      <c r="I1098" s="142">
        <f t="shared" si="257"/>
        <v>0</v>
      </c>
      <c r="J1098" s="143">
        <f t="shared" si="258"/>
        <v>0</v>
      </c>
      <c r="K1098" s="143">
        <f t="shared" si="259"/>
        <v>0</v>
      </c>
      <c r="L1098" s="142">
        <f t="shared" si="260"/>
        <v>0</v>
      </c>
      <c r="M1098" s="142">
        <f t="shared" si="261"/>
        <v>10757.43</v>
      </c>
      <c r="N1098" s="142">
        <f t="shared" si="262"/>
        <v>0</v>
      </c>
      <c r="O1098" s="59">
        <f t="shared" si="263"/>
        <v>10757.43</v>
      </c>
      <c r="P1098" s="142">
        <f t="shared" si="264"/>
        <v>0</v>
      </c>
      <c r="Q1098" s="142">
        <f t="shared" si="265"/>
        <v>0</v>
      </c>
      <c r="R1098" s="142">
        <f t="shared" si="266"/>
        <v>0</v>
      </c>
      <c r="S1098" s="142">
        <f t="shared" si="267"/>
        <v>0</v>
      </c>
      <c r="T1098" s="142">
        <f t="shared" si="268"/>
        <v>0</v>
      </c>
      <c r="U1098" s="60">
        <f t="shared" si="269"/>
        <v>0</v>
      </c>
    </row>
    <row r="1099" spans="1:21" x14ac:dyDescent="0.2">
      <c r="A1099" s="115"/>
      <c r="B1099" s="139" t="s">
        <v>64</v>
      </c>
      <c r="C1099" s="140" t="s">
        <v>561</v>
      </c>
      <c r="D1099" s="141">
        <v>45869</v>
      </c>
      <c r="E1099" s="141">
        <v>45989</v>
      </c>
      <c r="F1099" s="57">
        <v>64541</v>
      </c>
      <c r="G1099" s="58">
        <f t="shared" si="255"/>
        <v>-33</v>
      </c>
      <c r="H1099" s="142">
        <f t="shared" si="256"/>
        <v>0</v>
      </c>
      <c r="I1099" s="142">
        <f t="shared" si="257"/>
        <v>0</v>
      </c>
      <c r="J1099" s="143">
        <f t="shared" si="258"/>
        <v>0</v>
      </c>
      <c r="K1099" s="143">
        <f t="shared" si="259"/>
        <v>0</v>
      </c>
      <c r="L1099" s="142">
        <f t="shared" si="260"/>
        <v>0</v>
      </c>
      <c r="M1099" s="142">
        <f t="shared" si="261"/>
        <v>64541</v>
      </c>
      <c r="N1099" s="142">
        <f t="shared" si="262"/>
        <v>0</v>
      </c>
      <c r="O1099" s="59">
        <f t="shared" si="263"/>
        <v>64541</v>
      </c>
      <c r="P1099" s="142">
        <f t="shared" si="264"/>
        <v>0</v>
      </c>
      <c r="Q1099" s="142">
        <f t="shared" si="265"/>
        <v>0</v>
      </c>
      <c r="R1099" s="142">
        <f t="shared" si="266"/>
        <v>0</v>
      </c>
      <c r="S1099" s="142">
        <f t="shared" si="267"/>
        <v>0</v>
      </c>
      <c r="T1099" s="142">
        <f t="shared" si="268"/>
        <v>0</v>
      </c>
      <c r="U1099" s="60">
        <f t="shared" si="269"/>
        <v>0</v>
      </c>
    </row>
    <row r="1100" spans="1:21" x14ac:dyDescent="0.2">
      <c r="A1100" s="115"/>
      <c r="B1100" s="139" t="s">
        <v>64</v>
      </c>
      <c r="C1100" s="140" t="s">
        <v>465</v>
      </c>
      <c r="D1100" s="141">
        <v>45812</v>
      </c>
      <c r="E1100" s="141">
        <v>45991</v>
      </c>
      <c r="F1100" s="57">
        <v>57700</v>
      </c>
      <c r="G1100" s="58">
        <f t="shared" si="255"/>
        <v>-31</v>
      </c>
      <c r="H1100" s="142">
        <f t="shared" si="256"/>
        <v>0</v>
      </c>
      <c r="I1100" s="142">
        <f t="shared" si="257"/>
        <v>0</v>
      </c>
      <c r="J1100" s="143">
        <f t="shared" si="258"/>
        <v>0</v>
      </c>
      <c r="K1100" s="143">
        <f t="shared" si="259"/>
        <v>0</v>
      </c>
      <c r="L1100" s="142">
        <f t="shared" si="260"/>
        <v>0</v>
      </c>
      <c r="M1100" s="142">
        <f t="shared" si="261"/>
        <v>57700</v>
      </c>
      <c r="N1100" s="142">
        <f t="shared" si="262"/>
        <v>0</v>
      </c>
      <c r="O1100" s="59">
        <f t="shared" si="263"/>
        <v>57700</v>
      </c>
      <c r="P1100" s="142">
        <f t="shared" si="264"/>
        <v>0</v>
      </c>
      <c r="Q1100" s="142">
        <f t="shared" si="265"/>
        <v>0</v>
      </c>
      <c r="R1100" s="142">
        <f t="shared" si="266"/>
        <v>0</v>
      </c>
      <c r="S1100" s="142">
        <f t="shared" si="267"/>
        <v>0</v>
      </c>
      <c r="T1100" s="142">
        <f t="shared" si="268"/>
        <v>0</v>
      </c>
      <c r="U1100" s="60">
        <f t="shared" si="269"/>
        <v>0</v>
      </c>
    </row>
    <row r="1101" spans="1:21" x14ac:dyDescent="0.2">
      <c r="A1101" s="115"/>
      <c r="B1101" s="139" t="s">
        <v>64</v>
      </c>
      <c r="C1101" s="140" t="s">
        <v>765</v>
      </c>
      <c r="D1101" s="141">
        <v>45932</v>
      </c>
      <c r="E1101" s="141">
        <v>45992</v>
      </c>
      <c r="F1101" s="57">
        <v>8810</v>
      </c>
      <c r="G1101" s="58">
        <f t="shared" si="255"/>
        <v>-30</v>
      </c>
      <c r="H1101" s="142">
        <f t="shared" si="256"/>
        <v>0</v>
      </c>
      <c r="I1101" s="142">
        <f t="shared" si="257"/>
        <v>0</v>
      </c>
      <c r="J1101" s="143">
        <f t="shared" si="258"/>
        <v>0</v>
      </c>
      <c r="K1101" s="143">
        <f t="shared" si="259"/>
        <v>0</v>
      </c>
      <c r="L1101" s="142">
        <f t="shared" si="260"/>
        <v>0</v>
      </c>
      <c r="M1101" s="142">
        <f t="shared" si="261"/>
        <v>0</v>
      </c>
      <c r="N1101" s="142">
        <f t="shared" si="262"/>
        <v>8810</v>
      </c>
      <c r="O1101" s="59">
        <f t="shared" si="263"/>
        <v>8810</v>
      </c>
      <c r="P1101" s="142">
        <f t="shared" si="264"/>
        <v>0</v>
      </c>
      <c r="Q1101" s="142">
        <f t="shared" si="265"/>
        <v>0</v>
      </c>
      <c r="R1101" s="142">
        <f t="shared" si="266"/>
        <v>0</v>
      </c>
      <c r="S1101" s="142">
        <f t="shared" si="267"/>
        <v>0</v>
      </c>
      <c r="T1101" s="142">
        <f t="shared" si="268"/>
        <v>0</v>
      </c>
      <c r="U1101" s="60">
        <f t="shared" si="269"/>
        <v>0</v>
      </c>
    </row>
    <row r="1102" spans="1:21" x14ac:dyDescent="0.2">
      <c r="A1102" s="115"/>
      <c r="B1102" s="139" t="s">
        <v>64</v>
      </c>
      <c r="C1102" s="140" t="s">
        <v>775</v>
      </c>
      <c r="D1102" s="141">
        <v>45932</v>
      </c>
      <c r="E1102" s="141">
        <v>45992</v>
      </c>
      <c r="F1102" s="57">
        <v>12457.43</v>
      </c>
      <c r="G1102" s="58">
        <f t="shared" si="255"/>
        <v>-30</v>
      </c>
      <c r="H1102" s="142">
        <f t="shared" si="256"/>
        <v>0</v>
      </c>
      <c r="I1102" s="142">
        <f t="shared" si="257"/>
        <v>0</v>
      </c>
      <c r="J1102" s="143">
        <f t="shared" si="258"/>
        <v>0</v>
      </c>
      <c r="K1102" s="143">
        <f t="shared" si="259"/>
        <v>0</v>
      </c>
      <c r="L1102" s="142">
        <f t="shared" si="260"/>
        <v>0</v>
      </c>
      <c r="M1102" s="142">
        <f t="shared" si="261"/>
        <v>0</v>
      </c>
      <c r="N1102" s="142">
        <f t="shared" si="262"/>
        <v>12457.43</v>
      </c>
      <c r="O1102" s="59">
        <f t="shared" si="263"/>
        <v>12457.43</v>
      </c>
      <c r="P1102" s="142">
        <f t="shared" si="264"/>
        <v>0</v>
      </c>
      <c r="Q1102" s="142">
        <f t="shared" si="265"/>
        <v>0</v>
      </c>
      <c r="R1102" s="142">
        <f t="shared" si="266"/>
        <v>0</v>
      </c>
      <c r="S1102" s="142">
        <f t="shared" si="267"/>
        <v>0</v>
      </c>
      <c r="T1102" s="142">
        <f t="shared" si="268"/>
        <v>0</v>
      </c>
      <c r="U1102" s="60">
        <f t="shared" si="269"/>
        <v>0</v>
      </c>
    </row>
    <row r="1103" spans="1:21" x14ac:dyDescent="0.2">
      <c r="A1103" s="115"/>
      <c r="B1103" s="139" t="s">
        <v>64</v>
      </c>
      <c r="C1103" s="140" t="s">
        <v>466</v>
      </c>
      <c r="D1103" s="141">
        <v>45819</v>
      </c>
      <c r="E1103" s="141">
        <v>45993</v>
      </c>
      <c r="F1103" s="57">
        <v>56271.67</v>
      </c>
      <c r="G1103" s="58">
        <f t="shared" si="255"/>
        <v>-29</v>
      </c>
      <c r="H1103" s="142">
        <f t="shared" si="256"/>
        <v>0</v>
      </c>
      <c r="I1103" s="142">
        <f t="shared" si="257"/>
        <v>0</v>
      </c>
      <c r="J1103" s="143">
        <f t="shared" si="258"/>
        <v>0</v>
      </c>
      <c r="K1103" s="143">
        <f t="shared" si="259"/>
        <v>0</v>
      </c>
      <c r="L1103" s="142">
        <f t="shared" si="260"/>
        <v>0</v>
      </c>
      <c r="M1103" s="142">
        <f t="shared" si="261"/>
        <v>0</v>
      </c>
      <c r="N1103" s="142">
        <f t="shared" si="262"/>
        <v>56271.67</v>
      </c>
      <c r="O1103" s="59">
        <f t="shared" si="263"/>
        <v>56271.67</v>
      </c>
      <c r="P1103" s="142">
        <f t="shared" si="264"/>
        <v>0</v>
      </c>
      <c r="Q1103" s="142">
        <f t="shared" si="265"/>
        <v>0</v>
      </c>
      <c r="R1103" s="142">
        <f t="shared" si="266"/>
        <v>0</v>
      </c>
      <c r="S1103" s="142">
        <f t="shared" si="267"/>
        <v>0</v>
      </c>
      <c r="T1103" s="142">
        <f t="shared" si="268"/>
        <v>0</v>
      </c>
      <c r="U1103" s="60">
        <f t="shared" si="269"/>
        <v>0</v>
      </c>
    </row>
    <row r="1104" spans="1:21" x14ac:dyDescent="0.2">
      <c r="A1104" s="115"/>
      <c r="B1104" s="139" t="s">
        <v>64</v>
      </c>
      <c r="C1104" s="140" t="s">
        <v>701</v>
      </c>
      <c r="D1104" s="141">
        <v>45905</v>
      </c>
      <c r="E1104" s="141">
        <v>45993</v>
      </c>
      <c r="F1104" s="57">
        <v>49707.5</v>
      </c>
      <c r="G1104" s="58">
        <f t="shared" si="255"/>
        <v>-29</v>
      </c>
      <c r="H1104" s="142">
        <f t="shared" si="256"/>
        <v>0</v>
      </c>
      <c r="I1104" s="142">
        <f t="shared" si="257"/>
        <v>0</v>
      </c>
      <c r="J1104" s="143">
        <f t="shared" si="258"/>
        <v>0</v>
      </c>
      <c r="K1104" s="143">
        <f t="shared" si="259"/>
        <v>0</v>
      </c>
      <c r="L1104" s="142">
        <f t="shared" si="260"/>
        <v>0</v>
      </c>
      <c r="M1104" s="142">
        <f t="shared" si="261"/>
        <v>0</v>
      </c>
      <c r="N1104" s="142">
        <f t="shared" si="262"/>
        <v>49707.5</v>
      </c>
      <c r="O1104" s="59">
        <f t="shared" si="263"/>
        <v>49707.5</v>
      </c>
      <c r="P1104" s="142">
        <f t="shared" si="264"/>
        <v>0</v>
      </c>
      <c r="Q1104" s="142">
        <f t="shared" si="265"/>
        <v>0</v>
      </c>
      <c r="R1104" s="142">
        <f t="shared" si="266"/>
        <v>0</v>
      </c>
      <c r="S1104" s="142">
        <f t="shared" si="267"/>
        <v>0</v>
      </c>
      <c r="T1104" s="142">
        <f t="shared" si="268"/>
        <v>0</v>
      </c>
      <c r="U1104" s="60">
        <f t="shared" si="269"/>
        <v>0</v>
      </c>
    </row>
    <row r="1105" spans="1:21" x14ac:dyDescent="0.2">
      <c r="A1105" s="115"/>
      <c r="B1105" s="139" t="s">
        <v>64</v>
      </c>
      <c r="C1105" s="140" t="s">
        <v>702</v>
      </c>
      <c r="D1105" s="141">
        <v>45905</v>
      </c>
      <c r="E1105" s="141">
        <v>45993</v>
      </c>
      <c r="F1105" s="57">
        <v>45480.44</v>
      </c>
      <c r="G1105" s="58">
        <f t="shared" si="255"/>
        <v>-29</v>
      </c>
      <c r="H1105" s="142">
        <f t="shared" si="256"/>
        <v>0</v>
      </c>
      <c r="I1105" s="142">
        <f t="shared" si="257"/>
        <v>0</v>
      </c>
      <c r="J1105" s="143">
        <f t="shared" si="258"/>
        <v>0</v>
      </c>
      <c r="K1105" s="143">
        <f t="shared" si="259"/>
        <v>0</v>
      </c>
      <c r="L1105" s="142">
        <f t="shared" si="260"/>
        <v>0</v>
      </c>
      <c r="M1105" s="142">
        <f t="shared" si="261"/>
        <v>0</v>
      </c>
      <c r="N1105" s="142">
        <f t="shared" si="262"/>
        <v>45480.44</v>
      </c>
      <c r="O1105" s="59">
        <f t="shared" si="263"/>
        <v>45480.44</v>
      </c>
      <c r="P1105" s="142">
        <f t="shared" si="264"/>
        <v>0</v>
      </c>
      <c r="Q1105" s="142">
        <f t="shared" si="265"/>
        <v>0</v>
      </c>
      <c r="R1105" s="142">
        <f t="shared" si="266"/>
        <v>0</v>
      </c>
      <c r="S1105" s="142">
        <f t="shared" si="267"/>
        <v>0</v>
      </c>
      <c r="T1105" s="142">
        <f t="shared" si="268"/>
        <v>0</v>
      </c>
      <c r="U1105" s="60">
        <f t="shared" si="269"/>
        <v>0</v>
      </c>
    </row>
    <row r="1106" spans="1:21" x14ac:dyDescent="0.2">
      <c r="A1106" s="115"/>
      <c r="B1106" s="139" t="s">
        <v>64</v>
      </c>
      <c r="C1106" s="140" t="s">
        <v>780</v>
      </c>
      <c r="D1106" s="141">
        <v>45938</v>
      </c>
      <c r="E1106" s="141">
        <v>45996</v>
      </c>
      <c r="F1106" s="57">
        <v>13457.43</v>
      </c>
      <c r="G1106" s="58">
        <f t="shared" si="255"/>
        <v>-26</v>
      </c>
      <c r="H1106" s="142">
        <f t="shared" si="256"/>
        <v>0</v>
      </c>
      <c r="I1106" s="142">
        <f t="shared" si="257"/>
        <v>0</v>
      </c>
      <c r="J1106" s="143">
        <f t="shared" si="258"/>
        <v>0</v>
      </c>
      <c r="K1106" s="143">
        <f t="shared" si="259"/>
        <v>0</v>
      </c>
      <c r="L1106" s="142">
        <f t="shared" si="260"/>
        <v>0</v>
      </c>
      <c r="M1106" s="142">
        <f t="shared" si="261"/>
        <v>0</v>
      </c>
      <c r="N1106" s="142">
        <f t="shared" si="262"/>
        <v>13457.43</v>
      </c>
      <c r="O1106" s="59">
        <f t="shared" si="263"/>
        <v>13457.43</v>
      </c>
      <c r="P1106" s="142">
        <f t="shared" si="264"/>
        <v>0</v>
      </c>
      <c r="Q1106" s="142">
        <f t="shared" si="265"/>
        <v>0</v>
      </c>
      <c r="R1106" s="142">
        <f t="shared" si="266"/>
        <v>0</v>
      </c>
      <c r="S1106" s="142">
        <f t="shared" si="267"/>
        <v>0</v>
      </c>
      <c r="T1106" s="142">
        <f t="shared" si="268"/>
        <v>0</v>
      </c>
      <c r="U1106" s="60">
        <f t="shared" si="269"/>
        <v>0</v>
      </c>
    </row>
    <row r="1107" spans="1:21" x14ac:dyDescent="0.2">
      <c r="A1107" s="115"/>
      <c r="B1107" s="139" t="s">
        <v>64</v>
      </c>
      <c r="C1107" s="140" t="s">
        <v>626</v>
      </c>
      <c r="D1107" s="141">
        <v>45883</v>
      </c>
      <c r="E1107" s="141">
        <v>46000</v>
      </c>
      <c r="F1107" s="57">
        <v>59382.8</v>
      </c>
      <c r="G1107" s="58">
        <f t="shared" si="255"/>
        <v>-22</v>
      </c>
      <c r="H1107" s="142">
        <f t="shared" si="256"/>
        <v>0</v>
      </c>
      <c r="I1107" s="142">
        <f t="shared" si="257"/>
        <v>0</v>
      </c>
      <c r="J1107" s="143">
        <f t="shared" si="258"/>
        <v>0</v>
      </c>
      <c r="K1107" s="143">
        <f t="shared" si="259"/>
        <v>0</v>
      </c>
      <c r="L1107" s="142">
        <f t="shared" si="260"/>
        <v>0</v>
      </c>
      <c r="M1107" s="142">
        <f t="shared" si="261"/>
        <v>0</v>
      </c>
      <c r="N1107" s="142">
        <f t="shared" si="262"/>
        <v>59382.8</v>
      </c>
      <c r="O1107" s="59">
        <f t="shared" si="263"/>
        <v>59382.8</v>
      </c>
      <c r="P1107" s="142">
        <f t="shared" si="264"/>
        <v>0</v>
      </c>
      <c r="Q1107" s="142">
        <f t="shared" si="265"/>
        <v>0</v>
      </c>
      <c r="R1107" s="142">
        <f t="shared" si="266"/>
        <v>0</v>
      </c>
      <c r="S1107" s="142">
        <f t="shared" si="267"/>
        <v>0</v>
      </c>
      <c r="T1107" s="142">
        <f t="shared" si="268"/>
        <v>0</v>
      </c>
      <c r="U1107" s="60">
        <f t="shared" si="269"/>
        <v>0</v>
      </c>
    </row>
    <row r="1108" spans="1:21" x14ac:dyDescent="0.2">
      <c r="A1108" s="115"/>
      <c r="B1108" s="139" t="s">
        <v>64</v>
      </c>
      <c r="C1108" s="140" t="s">
        <v>560</v>
      </c>
      <c r="D1108" s="141">
        <v>45860</v>
      </c>
      <c r="E1108" s="141">
        <v>46006</v>
      </c>
      <c r="F1108" s="57">
        <v>67533.83</v>
      </c>
      <c r="G1108" s="58">
        <f t="shared" si="255"/>
        <v>-16</v>
      </c>
      <c r="H1108" s="142">
        <f t="shared" si="256"/>
        <v>0</v>
      </c>
      <c r="I1108" s="142">
        <f t="shared" si="257"/>
        <v>0</v>
      </c>
      <c r="J1108" s="143">
        <f t="shared" si="258"/>
        <v>0</v>
      </c>
      <c r="K1108" s="143">
        <f t="shared" si="259"/>
        <v>0</v>
      </c>
      <c r="L1108" s="142">
        <f t="shared" si="260"/>
        <v>0</v>
      </c>
      <c r="M1108" s="142">
        <f t="shared" si="261"/>
        <v>0</v>
      </c>
      <c r="N1108" s="142">
        <f t="shared" si="262"/>
        <v>67533.83</v>
      </c>
      <c r="O1108" s="59">
        <f t="shared" si="263"/>
        <v>67533.83</v>
      </c>
      <c r="P1108" s="142">
        <f t="shared" si="264"/>
        <v>0</v>
      </c>
      <c r="Q1108" s="142">
        <f t="shared" si="265"/>
        <v>0</v>
      </c>
      <c r="R1108" s="142">
        <f t="shared" si="266"/>
        <v>0</v>
      </c>
      <c r="S1108" s="142">
        <f t="shared" si="267"/>
        <v>0</v>
      </c>
      <c r="T1108" s="142">
        <f t="shared" si="268"/>
        <v>0</v>
      </c>
      <c r="U1108" s="60">
        <f t="shared" si="269"/>
        <v>0</v>
      </c>
    </row>
    <row r="1109" spans="1:21" x14ac:dyDescent="0.2">
      <c r="A1109" s="115"/>
      <c r="B1109" s="139" t="s">
        <v>64</v>
      </c>
      <c r="C1109" s="140" t="s">
        <v>810</v>
      </c>
      <c r="D1109" s="141">
        <v>45960</v>
      </c>
      <c r="E1109" s="141">
        <v>46011</v>
      </c>
      <c r="F1109" s="57">
        <v>32629.88</v>
      </c>
      <c r="G1109" s="58">
        <f t="shared" si="255"/>
        <v>-11</v>
      </c>
      <c r="H1109" s="142">
        <f t="shared" si="256"/>
        <v>0</v>
      </c>
      <c r="I1109" s="142">
        <f t="shared" si="257"/>
        <v>0</v>
      </c>
      <c r="J1109" s="143">
        <f t="shared" si="258"/>
        <v>0</v>
      </c>
      <c r="K1109" s="143">
        <f t="shared" si="259"/>
        <v>0</v>
      </c>
      <c r="L1109" s="142">
        <f t="shared" si="260"/>
        <v>0</v>
      </c>
      <c r="M1109" s="142">
        <f t="shared" si="261"/>
        <v>0</v>
      </c>
      <c r="N1109" s="142">
        <f t="shared" si="262"/>
        <v>32629.88</v>
      </c>
      <c r="O1109" s="59">
        <f t="shared" si="263"/>
        <v>32629.88</v>
      </c>
      <c r="P1109" s="142">
        <f t="shared" si="264"/>
        <v>0</v>
      </c>
      <c r="Q1109" s="142">
        <f t="shared" si="265"/>
        <v>0</v>
      </c>
      <c r="R1109" s="142">
        <f t="shared" si="266"/>
        <v>0</v>
      </c>
      <c r="S1109" s="142">
        <f t="shared" si="267"/>
        <v>0</v>
      </c>
      <c r="T1109" s="142">
        <f t="shared" si="268"/>
        <v>0</v>
      </c>
      <c r="U1109" s="60">
        <f t="shared" si="269"/>
        <v>0</v>
      </c>
    </row>
    <row r="1110" spans="1:21" x14ac:dyDescent="0.2">
      <c r="A1110" s="115"/>
      <c r="B1110" s="139" t="s">
        <v>64</v>
      </c>
      <c r="C1110" s="140" t="s">
        <v>827</v>
      </c>
      <c r="D1110" s="141">
        <v>45960</v>
      </c>
      <c r="E1110" s="141">
        <v>46011</v>
      </c>
      <c r="F1110" s="57">
        <v>41827.43</v>
      </c>
      <c r="G1110" s="58">
        <f t="shared" si="255"/>
        <v>-11</v>
      </c>
      <c r="H1110" s="142">
        <f t="shared" si="256"/>
        <v>0</v>
      </c>
      <c r="I1110" s="142">
        <f t="shared" si="257"/>
        <v>0</v>
      </c>
      <c r="J1110" s="143">
        <f t="shared" si="258"/>
        <v>0</v>
      </c>
      <c r="K1110" s="143">
        <f t="shared" si="259"/>
        <v>0</v>
      </c>
      <c r="L1110" s="142">
        <f t="shared" si="260"/>
        <v>0</v>
      </c>
      <c r="M1110" s="142">
        <f t="shared" si="261"/>
        <v>0</v>
      </c>
      <c r="N1110" s="142">
        <f t="shared" si="262"/>
        <v>41827.43</v>
      </c>
      <c r="O1110" s="59">
        <f t="shared" si="263"/>
        <v>41827.43</v>
      </c>
      <c r="P1110" s="142">
        <f t="shared" si="264"/>
        <v>0</v>
      </c>
      <c r="Q1110" s="142">
        <f t="shared" si="265"/>
        <v>0</v>
      </c>
      <c r="R1110" s="142">
        <f t="shared" si="266"/>
        <v>0</v>
      </c>
      <c r="S1110" s="142">
        <f t="shared" si="267"/>
        <v>0</v>
      </c>
      <c r="T1110" s="142">
        <f t="shared" si="268"/>
        <v>0</v>
      </c>
      <c r="U1110" s="60">
        <f t="shared" si="269"/>
        <v>0</v>
      </c>
    </row>
    <row r="1111" spans="1:21" x14ac:dyDescent="0.2">
      <c r="A1111" s="115"/>
      <c r="B1111" s="139" t="s">
        <v>64</v>
      </c>
      <c r="C1111" s="140" t="s">
        <v>774</v>
      </c>
      <c r="D1111" s="141">
        <v>45961</v>
      </c>
      <c r="E1111" s="141">
        <v>46011</v>
      </c>
      <c r="F1111" s="57">
        <v>11710</v>
      </c>
      <c r="G1111" s="58">
        <f t="shared" si="255"/>
        <v>-11</v>
      </c>
      <c r="H1111" s="142">
        <f t="shared" si="256"/>
        <v>0</v>
      </c>
      <c r="I1111" s="142">
        <f t="shared" si="257"/>
        <v>0</v>
      </c>
      <c r="J1111" s="143">
        <f t="shared" si="258"/>
        <v>0</v>
      </c>
      <c r="K1111" s="143">
        <f t="shared" si="259"/>
        <v>0</v>
      </c>
      <c r="L1111" s="142">
        <f t="shared" si="260"/>
        <v>0</v>
      </c>
      <c r="M1111" s="142">
        <f t="shared" si="261"/>
        <v>0</v>
      </c>
      <c r="N1111" s="142">
        <f t="shared" si="262"/>
        <v>11710</v>
      </c>
      <c r="O1111" s="59">
        <f t="shared" si="263"/>
        <v>11710</v>
      </c>
      <c r="P1111" s="142">
        <f t="shared" si="264"/>
        <v>0</v>
      </c>
      <c r="Q1111" s="142">
        <f t="shared" si="265"/>
        <v>0</v>
      </c>
      <c r="R1111" s="142">
        <f t="shared" si="266"/>
        <v>0</v>
      </c>
      <c r="S1111" s="142">
        <f t="shared" si="267"/>
        <v>0</v>
      </c>
      <c r="T1111" s="142">
        <f t="shared" si="268"/>
        <v>0</v>
      </c>
      <c r="U1111" s="60">
        <f t="shared" si="269"/>
        <v>0</v>
      </c>
    </row>
    <row r="1112" spans="1:21" x14ac:dyDescent="0.2">
      <c r="A1112" s="115"/>
      <c r="B1112" s="139" t="s">
        <v>64</v>
      </c>
      <c r="C1112" s="140" t="s">
        <v>822</v>
      </c>
      <c r="D1112" s="141">
        <v>45961</v>
      </c>
      <c r="E1112" s="141">
        <v>46011</v>
      </c>
      <c r="F1112" s="57">
        <v>39029.879999999997</v>
      </c>
      <c r="G1112" s="58">
        <f t="shared" si="255"/>
        <v>-11</v>
      </c>
      <c r="H1112" s="142">
        <f t="shared" si="256"/>
        <v>0</v>
      </c>
      <c r="I1112" s="142">
        <f t="shared" si="257"/>
        <v>0</v>
      </c>
      <c r="J1112" s="143">
        <f t="shared" si="258"/>
        <v>0</v>
      </c>
      <c r="K1112" s="143">
        <f t="shared" si="259"/>
        <v>0</v>
      </c>
      <c r="L1112" s="142">
        <f t="shared" si="260"/>
        <v>0</v>
      </c>
      <c r="M1112" s="142">
        <f t="shared" si="261"/>
        <v>0</v>
      </c>
      <c r="N1112" s="142">
        <f t="shared" si="262"/>
        <v>39029.879999999997</v>
      </c>
      <c r="O1112" s="59">
        <f t="shared" si="263"/>
        <v>39029.879999999997</v>
      </c>
      <c r="P1112" s="142">
        <f t="shared" si="264"/>
        <v>0</v>
      </c>
      <c r="Q1112" s="142">
        <f t="shared" si="265"/>
        <v>0</v>
      </c>
      <c r="R1112" s="142">
        <f t="shared" si="266"/>
        <v>0</v>
      </c>
      <c r="S1112" s="142">
        <f t="shared" si="267"/>
        <v>0</v>
      </c>
      <c r="T1112" s="142">
        <f t="shared" si="268"/>
        <v>0</v>
      </c>
      <c r="U1112" s="60">
        <f t="shared" si="269"/>
        <v>0</v>
      </c>
    </row>
    <row r="1113" spans="1:21" x14ac:dyDescent="0.2">
      <c r="A1113" s="115"/>
      <c r="B1113" s="139" t="s">
        <v>64</v>
      </c>
      <c r="C1113" s="140" t="s">
        <v>728</v>
      </c>
      <c r="D1113" s="141">
        <v>45961</v>
      </c>
      <c r="E1113" s="141">
        <v>46011</v>
      </c>
      <c r="F1113" s="57">
        <v>2530</v>
      </c>
      <c r="G1113" s="58">
        <f t="shared" si="255"/>
        <v>-11</v>
      </c>
      <c r="H1113" s="142">
        <f t="shared" si="256"/>
        <v>0</v>
      </c>
      <c r="I1113" s="142">
        <f t="shared" si="257"/>
        <v>0</v>
      </c>
      <c r="J1113" s="143">
        <f t="shared" si="258"/>
        <v>0</v>
      </c>
      <c r="K1113" s="143">
        <f t="shared" si="259"/>
        <v>0</v>
      </c>
      <c r="L1113" s="142">
        <f t="shared" si="260"/>
        <v>0</v>
      </c>
      <c r="M1113" s="142">
        <f t="shared" si="261"/>
        <v>0</v>
      </c>
      <c r="N1113" s="142">
        <f t="shared" si="262"/>
        <v>2530</v>
      </c>
      <c r="O1113" s="59">
        <f t="shared" si="263"/>
        <v>2530</v>
      </c>
      <c r="P1113" s="142">
        <f t="shared" si="264"/>
        <v>0</v>
      </c>
      <c r="Q1113" s="142">
        <f t="shared" si="265"/>
        <v>0</v>
      </c>
      <c r="R1113" s="142">
        <f t="shared" si="266"/>
        <v>0</v>
      </c>
      <c r="S1113" s="142">
        <f t="shared" si="267"/>
        <v>0</v>
      </c>
      <c r="T1113" s="142">
        <f t="shared" si="268"/>
        <v>0</v>
      </c>
      <c r="U1113" s="60">
        <f t="shared" si="269"/>
        <v>0</v>
      </c>
    </row>
    <row r="1114" spans="1:21" x14ac:dyDescent="0.2">
      <c r="A1114" s="115"/>
      <c r="B1114" s="139" t="s">
        <v>64</v>
      </c>
      <c r="C1114" s="140" t="s">
        <v>710</v>
      </c>
      <c r="D1114" s="141">
        <v>45925</v>
      </c>
      <c r="E1114" s="141">
        <v>46015</v>
      </c>
      <c r="F1114" s="57">
        <v>38143.78</v>
      </c>
      <c r="G1114" s="58">
        <f t="shared" si="255"/>
        <v>-7</v>
      </c>
      <c r="H1114" s="142">
        <f t="shared" si="256"/>
        <v>0</v>
      </c>
      <c r="I1114" s="142">
        <f t="shared" si="257"/>
        <v>0</v>
      </c>
      <c r="J1114" s="143">
        <f t="shared" si="258"/>
        <v>0</v>
      </c>
      <c r="K1114" s="143">
        <f t="shared" si="259"/>
        <v>0</v>
      </c>
      <c r="L1114" s="142">
        <f t="shared" si="260"/>
        <v>0</v>
      </c>
      <c r="M1114" s="142">
        <f t="shared" si="261"/>
        <v>0</v>
      </c>
      <c r="N1114" s="142">
        <f t="shared" si="262"/>
        <v>38143.78</v>
      </c>
      <c r="O1114" s="59">
        <f t="shared" si="263"/>
        <v>38143.78</v>
      </c>
      <c r="P1114" s="142">
        <f t="shared" si="264"/>
        <v>0</v>
      </c>
      <c r="Q1114" s="142">
        <f t="shared" si="265"/>
        <v>0</v>
      </c>
      <c r="R1114" s="142">
        <f t="shared" si="266"/>
        <v>0</v>
      </c>
      <c r="S1114" s="142">
        <f t="shared" si="267"/>
        <v>0</v>
      </c>
      <c r="T1114" s="142">
        <f t="shared" si="268"/>
        <v>0</v>
      </c>
      <c r="U1114" s="60">
        <f t="shared" si="269"/>
        <v>0</v>
      </c>
    </row>
    <row r="1115" spans="1:21" x14ac:dyDescent="0.2">
      <c r="A1115" s="115"/>
      <c r="B1115" s="139" t="s">
        <v>64</v>
      </c>
      <c r="C1115" s="140" t="s">
        <v>561</v>
      </c>
      <c r="D1115" s="141">
        <v>45869</v>
      </c>
      <c r="E1115" s="141">
        <v>46019</v>
      </c>
      <c r="F1115" s="57">
        <v>64541</v>
      </c>
      <c r="G1115" s="58">
        <f t="shared" si="255"/>
        <v>-3</v>
      </c>
      <c r="H1115" s="142">
        <f t="shared" si="256"/>
        <v>0</v>
      </c>
      <c r="I1115" s="142">
        <f t="shared" si="257"/>
        <v>0</v>
      </c>
      <c r="J1115" s="143">
        <f t="shared" si="258"/>
        <v>0</v>
      </c>
      <c r="K1115" s="143">
        <f t="shared" si="259"/>
        <v>0</v>
      </c>
      <c r="L1115" s="142">
        <f t="shared" si="260"/>
        <v>0</v>
      </c>
      <c r="M1115" s="142">
        <f t="shared" si="261"/>
        <v>0</v>
      </c>
      <c r="N1115" s="142">
        <f t="shared" si="262"/>
        <v>64541</v>
      </c>
      <c r="O1115" s="59">
        <f t="shared" si="263"/>
        <v>64541</v>
      </c>
      <c r="P1115" s="142">
        <f t="shared" si="264"/>
        <v>0</v>
      </c>
      <c r="Q1115" s="142">
        <f t="shared" si="265"/>
        <v>0</v>
      </c>
      <c r="R1115" s="142">
        <f t="shared" si="266"/>
        <v>0</v>
      </c>
      <c r="S1115" s="142">
        <f t="shared" si="267"/>
        <v>0</v>
      </c>
      <c r="T1115" s="142">
        <f t="shared" si="268"/>
        <v>0</v>
      </c>
      <c r="U1115" s="60">
        <f t="shared" si="269"/>
        <v>0</v>
      </c>
    </row>
    <row r="1116" spans="1:21" x14ac:dyDescent="0.2">
      <c r="A1116" s="115"/>
      <c r="B1116" s="139" t="s">
        <v>64</v>
      </c>
      <c r="C1116" s="140" t="s">
        <v>820</v>
      </c>
      <c r="D1116" s="141">
        <v>45932</v>
      </c>
      <c r="E1116" s="141">
        <v>46020</v>
      </c>
      <c r="F1116" s="57">
        <v>38143.78</v>
      </c>
      <c r="G1116" s="58">
        <f t="shared" si="255"/>
        <v>-2</v>
      </c>
      <c r="H1116" s="142">
        <f t="shared" si="256"/>
        <v>0</v>
      </c>
      <c r="I1116" s="142">
        <f t="shared" si="257"/>
        <v>0</v>
      </c>
      <c r="J1116" s="143">
        <f t="shared" si="258"/>
        <v>0</v>
      </c>
      <c r="K1116" s="143">
        <f t="shared" si="259"/>
        <v>0</v>
      </c>
      <c r="L1116" s="142">
        <f t="shared" si="260"/>
        <v>0</v>
      </c>
      <c r="M1116" s="142">
        <f t="shared" si="261"/>
        <v>0</v>
      </c>
      <c r="N1116" s="142">
        <f t="shared" si="262"/>
        <v>38143.78</v>
      </c>
      <c r="O1116" s="59">
        <f t="shared" si="263"/>
        <v>38143.78</v>
      </c>
      <c r="P1116" s="142">
        <f t="shared" si="264"/>
        <v>0</v>
      </c>
      <c r="Q1116" s="142">
        <f t="shared" si="265"/>
        <v>0</v>
      </c>
      <c r="R1116" s="142">
        <f t="shared" si="266"/>
        <v>0</v>
      </c>
      <c r="S1116" s="142">
        <f t="shared" si="267"/>
        <v>0</v>
      </c>
      <c r="T1116" s="142">
        <f t="shared" si="268"/>
        <v>0</v>
      </c>
      <c r="U1116" s="60">
        <f t="shared" si="269"/>
        <v>0</v>
      </c>
    </row>
    <row r="1117" spans="1:21" x14ac:dyDescent="0.2">
      <c r="A1117" s="115"/>
      <c r="B1117" s="139" t="s">
        <v>64</v>
      </c>
      <c r="C1117" s="140" t="s">
        <v>466</v>
      </c>
      <c r="D1117" s="141">
        <v>45819</v>
      </c>
      <c r="E1117" s="141">
        <v>46023</v>
      </c>
      <c r="F1117" s="57">
        <v>56271.67</v>
      </c>
      <c r="G1117" s="58">
        <f t="shared" si="255"/>
        <v>1</v>
      </c>
      <c r="H1117" s="142">
        <f t="shared" si="256"/>
        <v>0</v>
      </c>
      <c r="I1117" s="142">
        <f t="shared" si="257"/>
        <v>0</v>
      </c>
      <c r="J1117" s="143">
        <f t="shared" si="258"/>
        <v>0</v>
      </c>
      <c r="K1117" s="143">
        <f t="shared" si="259"/>
        <v>0</v>
      </c>
      <c r="L1117" s="142">
        <f t="shared" si="260"/>
        <v>0</v>
      </c>
      <c r="M1117" s="142">
        <f t="shared" si="261"/>
        <v>0</v>
      </c>
      <c r="N1117" s="142">
        <f t="shared" si="262"/>
        <v>0</v>
      </c>
      <c r="O1117" s="59">
        <f t="shared" si="263"/>
        <v>0</v>
      </c>
      <c r="P1117" s="142">
        <f t="shared" si="264"/>
        <v>56271.67</v>
      </c>
      <c r="Q1117" s="142">
        <f t="shared" si="265"/>
        <v>0</v>
      </c>
      <c r="R1117" s="142">
        <f t="shared" si="266"/>
        <v>0</v>
      </c>
      <c r="S1117" s="142">
        <f t="shared" si="267"/>
        <v>0</v>
      </c>
      <c r="T1117" s="142">
        <f t="shared" si="268"/>
        <v>0</v>
      </c>
      <c r="U1117" s="60">
        <f t="shared" si="269"/>
        <v>56271.67</v>
      </c>
    </row>
    <row r="1118" spans="1:21" x14ac:dyDescent="0.2">
      <c r="A1118" s="115"/>
      <c r="B1118" s="139" t="s">
        <v>64</v>
      </c>
      <c r="C1118" s="140" t="s">
        <v>701</v>
      </c>
      <c r="D1118" s="141">
        <v>45905</v>
      </c>
      <c r="E1118" s="141">
        <v>46023</v>
      </c>
      <c r="F1118" s="57">
        <v>49707.5</v>
      </c>
      <c r="G1118" s="58">
        <f t="shared" si="255"/>
        <v>1</v>
      </c>
      <c r="H1118" s="142">
        <f t="shared" si="256"/>
        <v>0</v>
      </c>
      <c r="I1118" s="142">
        <f t="shared" si="257"/>
        <v>0</v>
      </c>
      <c r="J1118" s="143">
        <f t="shared" si="258"/>
        <v>0</v>
      </c>
      <c r="K1118" s="143">
        <f t="shared" si="259"/>
        <v>0</v>
      </c>
      <c r="L1118" s="142">
        <f t="shared" si="260"/>
        <v>0</v>
      </c>
      <c r="M1118" s="142">
        <f t="shared" si="261"/>
        <v>0</v>
      </c>
      <c r="N1118" s="142">
        <f t="shared" si="262"/>
        <v>0</v>
      </c>
      <c r="O1118" s="59">
        <f t="shared" si="263"/>
        <v>0</v>
      </c>
      <c r="P1118" s="142">
        <f t="shared" si="264"/>
        <v>49707.5</v>
      </c>
      <c r="Q1118" s="142">
        <f t="shared" si="265"/>
        <v>0</v>
      </c>
      <c r="R1118" s="142">
        <f t="shared" si="266"/>
        <v>0</v>
      </c>
      <c r="S1118" s="142">
        <f t="shared" si="267"/>
        <v>0</v>
      </c>
      <c r="T1118" s="142">
        <f t="shared" si="268"/>
        <v>0</v>
      </c>
      <c r="U1118" s="60">
        <f t="shared" si="269"/>
        <v>49707.5</v>
      </c>
    </row>
    <row r="1119" spans="1:21" x14ac:dyDescent="0.2">
      <c r="A1119" s="115"/>
      <c r="B1119" s="139" t="s">
        <v>64</v>
      </c>
      <c r="C1119" s="140" t="s">
        <v>702</v>
      </c>
      <c r="D1119" s="141">
        <v>45905</v>
      </c>
      <c r="E1119" s="141">
        <v>46023</v>
      </c>
      <c r="F1119" s="57">
        <v>45480.44</v>
      </c>
      <c r="G1119" s="58">
        <f t="shared" si="255"/>
        <v>1</v>
      </c>
      <c r="H1119" s="142">
        <f t="shared" si="256"/>
        <v>0</v>
      </c>
      <c r="I1119" s="142">
        <f t="shared" si="257"/>
        <v>0</v>
      </c>
      <c r="J1119" s="143">
        <f t="shared" si="258"/>
        <v>0</v>
      </c>
      <c r="K1119" s="143">
        <f t="shared" si="259"/>
        <v>0</v>
      </c>
      <c r="L1119" s="142">
        <f t="shared" si="260"/>
        <v>0</v>
      </c>
      <c r="M1119" s="142">
        <f t="shared" si="261"/>
        <v>0</v>
      </c>
      <c r="N1119" s="142">
        <f t="shared" si="262"/>
        <v>0</v>
      </c>
      <c r="O1119" s="59">
        <f t="shared" si="263"/>
        <v>0</v>
      </c>
      <c r="P1119" s="142">
        <f t="shared" si="264"/>
        <v>45480.44</v>
      </c>
      <c r="Q1119" s="142">
        <f t="shared" si="265"/>
        <v>0</v>
      </c>
      <c r="R1119" s="142">
        <f t="shared" si="266"/>
        <v>0</v>
      </c>
      <c r="S1119" s="142">
        <f t="shared" si="267"/>
        <v>0</v>
      </c>
      <c r="T1119" s="142">
        <f t="shared" si="268"/>
        <v>0</v>
      </c>
      <c r="U1119" s="60">
        <f t="shared" si="269"/>
        <v>45480.44</v>
      </c>
    </row>
    <row r="1120" spans="1:21" x14ac:dyDescent="0.2">
      <c r="A1120" s="115"/>
      <c r="B1120" s="139" t="s">
        <v>64</v>
      </c>
      <c r="C1120" s="140" t="s">
        <v>626</v>
      </c>
      <c r="D1120" s="141">
        <v>45883</v>
      </c>
      <c r="E1120" s="141">
        <v>46030</v>
      </c>
      <c r="F1120" s="57">
        <v>59382.8</v>
      </c>
      <c r="G1120" s="58">
        <f t="shared" si="255"/>
        <v>8</v>
      </c>
      <c r="H1120" s="142">
        <f t="shared" si="256"/>
        <v>0</v>
      </c>
      <c r="I1120" s="142">
        <f t="shared" si="257"/>
        <v>0</v>
      </c>
      <c r="J1120" s="143">
        <f t="shared" si="258"/>
        <v>0</v>
      </c>
      <c r="K1120" s="143">
        <f t="shared" si="259"/>
        <v>0</v>
      </c>
      <c r="L1120" s="142">
        <f t="shared" si="260"/>
        <v>0</v>
      </c>
      <c r="M1120" s="142">
        <f t="shared" si="261"/>
        <v>0</v>
      </c>
      <c r="N1120" s="142">
        <f t="shared" si="262"/>
        <v>0</v>
      </c>
      <c r="O1120" s="59">
        <f t="shared" si="263"/>
        <v>0</v>
      </c>
      <c r="P1120" s="142">
        <f t="shared" si="264"/>
        <v>59382.8</v>
      </c>
      <c r="Q1120" s="142">
        <f t="shared" si="265"/>
        <v>0</v>
      </c>
      <c r="R1120" s="142">
        <f t="shared" si="266"/>
        <v>0</v>
      </c>
      <c r="S1120" s="142">
        <f t="shared" si="267"/>
        <v>0</v>
      </c>
      <c r="T1120" s="142">
        <f t="shared" si="268"/>
        <v>0</v>
      </c>
      <c r="U1120" s="60">
        <f t="shared" si="269"/>
        <v>59382.8</v>
      </c>
    </row>
    <row r="1121" spans="1:21" x14ac:dyDescent="0.2">
      <c r="A1121" s="115"/>
      <c r="B1121" s="139" t="s">
        <v>64</v>
      </c>
      <c r="C1121" s="140" t="s">
        <v>560</v>
      </c>
      <c r="D1121" s="141">
        <v>45860</v>
      </c>
      <c r="E1121" s="141">
        <v>46036</v>
      </c>
      <c r="F1121" s="57">
        <v>67533.83</v>
      </c>
      <c r="G1121" s="58">
        <f t="shared" si="255"/>
        <v>14</v>
      </c>
      <c r="H1121" s="142">
        <f t="shared" si="256"/>
        <v>0</v>
      </c>
      <c r="I1121" s="142">
        <f t="shared" si="257"/>
        <v>0</v>
      </c>
      <c r="J1121" s="143">
        <f t="shared" si="258"/>
        <v>0</v>
      </c>
      <c r="K1121" s="143">
        <f t="shared" si="259"/>
        <v>0</v>
      </c>
      <c r="L1121" s="142">
        <f t="shared" si="260"/>
        <v>0</v>
      </c>
      <c r="M1121" s="142">
        <f t="shared" si="261"/>
        <v>0</v>
      </c>
      <c r="N1121" s="142">
        <f t="shared" si="262"/>
        <v>0</v>
      </c>
      <c r="O1121" s="59">
        <f t="shared" si="263"/>
        <v>0</v>
      </c>
      <c r="P1121" s="142">
        <f t="shared" si="264"/>
        <v>67533.83</v>
      </c>
      <c r="Q1121" s="142">
        <f t="shared" si="265"/>
        <v>0</v>
      </c>
      <c r="R1121" s="142">
        <f t="shared" si="266"/>
        <v>0</v>
      </c>
      <c r="S1121" s="142">
        <f t="shared" si="267"/>
        <v>0</v>
      </c>
      <c r="T1121" s="142">
        <f t="shared" si="268"/>
        <v>0</v>
      </c>
      <c r="U1121" s="60">
        <f t="shared" si="269"/>
        <v>67533.83</v>
      </c>
    </row>
    <row r="1122" spans="1:21" x14ac:dyDescent="0.2">
      <c r="A1122" s="115"/>
      <c r="B1122" s="139" t="s">
        <v>64</v>
      </c>
      <c r="C1122" s="140" t="s">
        <v>710</v>
      </c>
      <c r="D1122" s="141">
        <v>45925</v>
      </c>
      <c r="E1122" s="141">
        <v>46045</v>
      </c>
      <c r="F1122" s="57">
        <v>38143.769999999997</v>
      </c>
      <c r="G1122" s="58">
        <f t="shared" si="255"/>
        <v>23</v>
      </c>
      <c r="H1122" s="142">
        <f t="shared" si="256"/>
        <v>0</v>
      </c>
      <c r="I1122" s="142">
        <f t="shared" si="257"/>
        <v>0</v>
      </c>
      <c r="J1122" s="143">
        <f t="shared" si="258"/>
        <v>0</v>
      </c>
      <c r="K1122" s="143">
        <f t="shared" si="259"/>
        <v>0</v>
      </c>
      <c r="L1122" s="142">
        <f t="shared" si="260"/>
        <v>0</v>
      </c>
      <c r="M1122" s="142">
        <f t="shared" si="261"/>
        <v>0</v>
      </c>
      <c r="N1122" s="142">
        <f t="shared" si="262"/>
        <v>0</v>
      </c>
      <c r="O1122" s="59">
        <f t="shared" si="263"/>
        <v>0</v>
      </c>
      <c r="P1122" s="142">
        <f t="shared" si="264"/>
        <v>38143.769999999997</v>
      </c>
      <c r="Q1122" s="142">
        <f t="shared" si="265"/>
        <v>0</v>
      </c>
      <c r="R1122" s="142">
        <f t="shared" si="266"/>
        <v>0</v>
      </c>
      <c r="S1122" s="142">
        <f t="shared" si="267"/>
        <v>0</v>
      </c>
      <c r="T1122" s="142">
        <f t="shared" si="268"/>
        <v>0</v>
      </c>
      <c r="U1122" s="60">
        <f t="shared" si="269"/>
        <v>38143.769999999997</v>
      </c>
    </row>
    <row r="1123" spans="1:21" x14ac:dyDescent="0.2">
      <c r="A1123" s="115"/>
      <c r="B1123" s="139" t="s">
        <v>64</v>
      </c>
      <c r="C1123" s="140" t="s">
        <v>820</v>
      </c>
      <c r="D1123" s="141">
        <v>45932</v>
      </c>
      <c r="E1123" s="141">
        <v>46050</v>
      </c>
      <c r="F1123" s="57">
        <v>38143.769999999997</v>
      </c>
      <c r="G1123" s="58">
        <f t="shared" si="255"/>
        <v>28</v>
      </c>
      <c r="H1123" s="142">
        <f t="shared" si="256"/>
        <v>0</v>
      </c>
      <c r="I1123" s="142">
        <f t="shared" si="257"/>
        <v>0</v>
      </c>
      <c r="J1123" s="143">
        <f t="shared" si="258"/>
        <v>0</v>
      </c>
      <c r="K1123" s="143">
        <f t="shared" si="259"/>
        <v>0</v>
      </c>
      <c r="L1123" s="142">
        <f t="shared" si="260"/>
        <v>0</v>
      </c>
      <c r="M1123" s="142">
        <f t="shared" si="261"/>
        <v>0</v>
      </c>
      <c r="N1123" s="142">
        <f t="shared" si="262"/>
        <v>0</v>
      </c>
      <c r="O1123" s="59">
        <f t="shared" si="263"/>
        <v>0</v>
      </c>
      <c r="P1123" s="142">
        <f t="shared" si="264"/>
        <v>38143.769999999997</v>
      </c>
      <c r="Q1123" s="142">
        <f t="shared" si="265"/>
        <v>0</v>
      </c>
      <c r="R1123" s="142">
        <f t="shared" si="266"/>
        <v>0</v>
      </c>
      <c r="S1123" s="142">
        <f t="shared" si="267"/>
        <v>0</v>
      </c>
      <c r="T1123" s="142">
        <f t="shared" si="268"/>
        <v>0</v>
      </c>
      <c r="U1123" s="60">
        <f t="shared" si="269"/>
        <v>38143.769999999997</v>
      </c>
    </row>
    <row r="1124" spans="1:21" x14ac:dyDescent="0.2">
      <c r="A1124" s="115"/>
      <c r="B1124" s="139" t="s">
        <v>64</v>
      </c>
      <c r="C1124" s="140" t="s">
        <v>466</v>
      </c>
      <c r="D1124" s="141">
        <v>45819</v>
      </c>
      <c r="E1124" s="141">
        <v>46053</v>
      </c>
      <c r="F1124" s="57">
        <v>56271.65</v>
      </c>
      <c r="G1124" s="58">
        <f t="shared" si="255"/>
        <v>31</v>
      </c>
      <c r="H1124" s="142">
        <f t="shared" si="256"/>
        <v>0</v>
      </c>
      <c r="I1124" s="142">
        <f t="shared" si="257"/>
        <v>0</v>
      </c>
      <c r="J1124" s="143">
        <f t="shared" si="258"/>
        <v>0</v>
      </c>
      <c r="K1124" s="143">
        <f t="shared" si="259"/>
        <v>0</v>
      </c>
      <c r="L1124" s="142">
        <f t="shared" si="260"/>
        <v>0</v>
      </c>
      <c r="M1124" s="142">
        <f t="shared" si="261"/>
        <v>0</v>
      </c>
      <c r="N1124" s="142">
        <f t="shared" si="262"/>
        <v>0</v>
      </c>
      <c r="O1124" s="59">
        <f t="shared" si="263"/>
        <v>0</v>
      </c>
      <c r="P1124" s="142">
        <f t="shared" si="264"/>
        <v>0</v>
      </c>
      <c r="Q1124" s="142">
        <f t="shared" si="265"/>
        <v>56271.65</v>
      </c>
      <c r="R1124" s="142">
        <f t="shared" si="266"/>
        <v>0</v>
      </c>
      <c r="S1124" s="142">
        <f t="shared" si="267"/>
        <v>0</v>
      </c>
      <c r="T1124" s="142">
        <f t="shared" si="268"/>
        <v>0</v>
      </c>
      <c r="U1124" s="60">
        <f t="shared" si="269"/>
        <v>56271.65</v>
      </c>
    </row>
    <row r="1125" spans="1:21" x14ac:dyDescent="0.2">
      <c r="A1125" s="115"/>
      <c r="B1125" s="139" t="s">
        <v>64</v>
      </c>
      <c r="C1125" s="140" t="s">
        <v>701</v>
      </c>
      <c r="D1125" s="141">
        <v>45905</v>
      </c>
      <c r="E1125" s="141">
        <v>46053</v>
      </c>
      <c r="F1125" s="57">
        <v>49707.5</v>
      </c>
      <c r="G1125" s="58">
        <f t="shared" si="255"/>
        <v>31</v>
      </c>
      <c r="H1125" s="142">
        <f t="shared" si="256"/>
        <v>0</v>
      </c>
      <c r="I1125" s="142">
        <f t="shared" si="257"/>
        <v>0</v>
      </c>
      <c r="J1125" s="143">
        <f t="shared" si="258"/>
        <v>0</v>
      </c>
      <c r="K1125" s="143">
        <f t="shared" si="259"/>
        <v>0</v>
      </c>
      <c r="L1125" s="142">
        <f t="shared" si="260"/>
        <v>0</v>
      </c>
      <c r="M1125" s="142">
        <f t="shared" si="261"/>
        <v>0</v>
      </c>
      <c r="N1125" s="142">
        <f t="shared" si="262"/>
        <v>0</v>
      </c>
      <c r="O1125" s="59">
        <f t="shared" si="263"/>
        <v>0</v>
      </c>
      <c r="P1125" s="142">
        <f t="shared" si="264"/>
        <v>0</v>
      </c>
      <c r="Q1125" s="142">
        <f t="shared" si="265"/>
        <v>49707.5</v>
      </c>
      <c r="R1125" s="142">
        <f t="shared" si="266"/>
        <v>0</v>
      </c>
      <c r="S1125" s="142">
        <f t="shared" si="267"/>
        <v>0</v>
      </c>
      <c r="T1125" s="142">
        <f t="shared" si="268"/>
        <v>0</v>
      </c>
      <c r="U1125" s="60">
        <f t="shared" si="269"/>
        <v>49707.5</v>
      </c>
    </row>
    <row r="1126" spans="1:21" x14ac:dyDescent="0.2">
      <c r="A1126" s="115"/>
      <c r="B1126" s="139" t="s">
        <v>64</v>
      </c>
      <c r="C1126" s="140" t="s">
        <v>702</v>
      </c>
      <c r="D1126" s="141">
        <v>45905</v>
      </c>
      <c r="E1126" s="141">
        <v>46053</v>
      </c>
      <c r="F1126" s="57">
        <v>45480.44</v>
      </c>
      <c r="G1126" s="58">
        <f t="shared" si="255"/>
        <v>31</v>
      </c>
      <c r="H1126" s="142">
        <f t="shared" si="256"/>
        <v>0</v>
      </c>
      <c r="I1126" s="142">
        <f t="shared" si="257"/>
        <v>0</v>
      </c>
      <c r="J1126" s="143">
        <f t="shared" si="258"/>
        <v>0</v>
      </c>
      <c r="K1126" s="143">
        <f t="shared" si="259"/>
        <v>0</v>
      </c>
      <c r="L1126" s="142">
        <f t="shared" si="260"/>
        <v>0</v>
      </c>
      <c r="M1126" s="142">
        <f t="shared" si="261"/>
        <v>0</v>
      </c>
      <c r="N1126" s="142">
        <f t="shared" si="262"/>
        <v>0</v>
      </c>
      <c r="O1126" s="59">
        <f t="shared" si="263"/>
        <v>0</v>
      </c>
      <c r="P1126" s="142">
        <f t="shared" si="264"/>
        <v>0</v>
      </c>
      <c r="Q1126" s="142">
        <f t="shared" si="265"/>
        <v>45480.44</v>
      </c>
      <c r="R1126" s="142">
        <f t="shared" si="266"/>
        <v>0</v>
      </c>
      <c r="S1126" s="142">
        <f t="shared" si="267"/>
        <v>0</v>
      </c>
      <c r="T1126" s="142">
        <f t="shared" si="268"/>
        <v>0</v>
      </c>
      <c r="U1126" s="60">
        <f t="shared" si="269"/>
        <v>45480.44</v>
      </c>
    </row>
    <row r="1127" spans="1:21" x14ac:dyDescent="0.2">
      <c r="A1127" s="115"/>
      <c r="B1127" s="139" t="s">
        <v>64</v>
      </c>
      <c r="C1127" s="140" t="s">
        <v>560</v>
      </c>
      <c r="D1127" s="141">
        <v>45860</v>
      </c>
      <c r="E1127" s="141">
        <v>46066</v>
      </c>
      <c r="F1127" s="57">
        <v>67533.83</v>
      </c>
      <c r="G1127" s="58">
        <f t="shared" si="255"/>
        <v>44</v>
      </c>
      <c r="H1127" s="142">
        <f t="shared" si="256"/>
        <v>0</v>
      </c>
      <c r="I1127" s="142">
        <f t="shared" si="257"/>
        <v>0</v>
      </c>
      <c r="J1127" s="143">
        <f t="shared" si="258"/>
        <v>0</v>
      </c>
      <c r="K1127" s="143">
        <f t="shared" si="259"/>
        <v>0</v>
      </c>
      <c r="L1127" s="142">
        <f t="shared" si="260"/>
        <v>0</v>
      </c>
      <c r="M1127" s="142">
        <f t="shared" si="261"/>
        <v>0</v>
      </c>
      <c r="N1127" s="142">
        <f t="shared" si="262"/>
        <v>0</v>
      </c>
      <c r="O1127" s="59">
        <f t="shared" si="263"/>
        <v>0</v>
      </c>
      <c r="P1127" s="142">
        <f t="shared" si="264"/>
        <v>0</v>
      </c>
      <c r="Q1127" s="142">
        <f t="shared" si="265"/>
        <v>67533.83</v>
      </c>
      <c r="R1127" s="142">
        <f t="shared" si="266"/>
        <v>0</v>
      </c>
      <c r="S1127" s="142">
        <f t="shared" si="267"/>
        <v>0</v>
      </c>
      <c r="T1127" s="142">
        <f t="shared" si="268"/>
        <v>0</v>
      </c>
      <c r="U1127" s="60">
        <f t="shared" si="269"/>
        <v>67533.83</v>
      </c>
    </row>
    <row r="1128" spans="1:21" x14ac:dyDescent="0.2">
      <c r="A1128" s="115"/>
      <c r="B1128" s="139" t="s">
        <v>64</v>
      </c>
      <c r="C1128" s="140" t="s">
        <v>710</v>
      </c>
      <c r="D1128" s="141">
        <v>45925</v>
      </c>
      <c r="E1128" s="141">
        <v>46075</v>
      </c>
      <c r="F1128" s="57">
        <v>38143.769999999997</v>
      </c>
      <c r="G1128" s="58">
        <f t="shared" si="255"/>
        <v>53</v>
      </c>
      <c r="H1128" s="142">
        <f t="shared" si="256"/>
        <v>0</v>
      </c>
      <c r="I1128" s="142">
        <f t="shared" si="257"/>
        <v>0</v>
      </c>
      <c r="J1128" s="143">
        <f t="shared" si="258"/>
        <v>0</v>
      </c>
      <c r="K1128" s="143">
        <f t="shared" si="259"/>
        <v>0</v>
      </c>
      <c r="L1128" s="142">
        <f t="shared" si="260"/>
        <v>0</v>
      </c>
      <c r="M1128" s="142">
        <f t="shared" si="261"/>
        <v>0</v>
      </c>
      <c r="N1128" s="142">
        <f t="shared" si="262"/>
        <v>0</v>
      </c>
      <c r="O1128" s="59">
        <f t="shared" si="263"/>
        <v>0</v>
      </c>
      <c r="P1128" s="142">
        <f t="shared" si="264"/>
        <v>0</v>
      </c>
      <c r="Q1128" s="142">
        <f t="shared" si="265"/>
        <v>38143.769999999997</v>
      </c>
      <c r="R1128" s="142">
        <f t="shared" si="266"/>
        <v>0</v>
      </c>
      <c r="S1128" s="142">
        <f t="shared" si="267"/>
        <v>0</v>
      </c>
      <c r="T1128" s="142">
        <f t="shared" si="268"/>
        <v>0</v>
      </c>
      <c r="U1128" s="60">
        <f t="shared" si="269"/>
        <v>38143.769999999997</v>
      </c>
    </row>
    <row r="1129" spans="1:21" x14ac:dyDescent="0.2">
      <c r="A1129" s="115"/>
      <c r="B1129" s="139" t="s">
        <v>64</v>
      </c>
      <c r="C1129" s="140" t="s">
        <v>820</v>
      </c>
      <c r="D1129" s="141">
        <v>45932</v>
      </c>
      <c r="E1129" s="141">
        <v>46080</v>
      </c>
      <c r="F1129" s="57">
        <v>38143.769999999997</v>
      </c>
      <c r="G1129" s="58">
        <f t="shared" si="255"/>
        <v>58</v>
      </c>
      <c r="H1129" s="142">
        <f t="shared" si="256"/>
        <v>0</v>
      </c>
      <c r="I1129" s="142">
        <f t="shared" si="257"/>
        <v>0</v>
      </c>
      <c r="J1129" s="143">
        <f t="shared" si="258"/>
        <v>0</v>
      </c>
      <c r="K1129" s="143">
        <f t="shared" si="259"/>
        <v>0</v>
      </c>
      <c r="L1129" s="142">
        <f t="shared" si="260"/>
        <v>0</v>
      </c>
      <c r="M1129" s="142">
        <f t="shared" si="261"/>
        <v>0</v>
      </c>
      <c r="N1129" s="142">
        <f t="shared" si="262"/>
        <v>0</v>
      </c>
      <c r="O1129" s="59">
        <f t="shared" si="263"/>
        <v>0</v>
      </c>
      <c r="P1129" s="142">
        <f t="shared" si="264"/>
        <v>0</v>
      </c>
      <c r="Q1129" s="142">
        <f t="shared" si="265"/>
        <v>38143.769999999997</v>
      </c>
      <c r="R1129" s="142">
        <f t="shared" si="266"/>
        <v>0</v>
      </c>
      <c r="S1129" s="142">
        <f t="shared" si="267"/>
        <v>0</v>
      </c>
      <c r="T1129" s="142">
        <f t="shared" si="268"/>
        <v>0</v>
      </c>
      <c r="U1129" s="60">
        <f t="shared" si="269"/>
        <v>38143.769999999997</v>
      </c>
    </row>
    <row r="1130" spans="1:21" x14ac:dyDescent="0.2">
      <c r="A1130" s="115"/>
      <c r="B1130" s="139" t="s">
        <v>64</v>
      </c>
      <c r="C1130" s="140" t="s">
        <v>701</v>
      </c>
      <c r="D1130" s="141">
        <v>45905</v>
      </c>
      <c r="E1130" s="141">
        <v>46083</v>
      </c>
      <c r="F1130" s="57">
        <v>49707.5</v>
      </c>
      <c r="G1130" s="58">
        <f t="shared" si="255"/>
        <v>61</v>
      </c>
      <c r="H1130" s="142">
        <f t="shared" si="256"/>
        <v>0</v>
      </c>
      <c r="I1130" s="142">
        <f t="shared" si="257"/>
        <v>0</v>
      </c>
      <c r="J1130" s="143">
        <f t="shared" si="258"/>
        <v>0</v>
      </c>
      <c r="K1130" s="143">
        <f t="shared" si="259"/>
        <v>0</v>
      </c>
      <c r="L1130" s="142">
        <f t="shared" si="260"/>
        <v>0</v>
      </c>
      <c r="M1130" s="142">
        <f t="shared" si="261"/>
        <v>0</v>
      </c>
      <c r="N1130" s="142">
        <f t="shared" si="262"/>
        <v>0</v>
      </c>
      <c r="O1130" s="59">
        <f t="shared" si="263"/>
        <v>0</v>
      </c>
      <c r="P1130" s="142">
        <f t="shared" si="264"/>
        <v>0</v>
      </c>
      <c r="Q1130" s="142">
        <f t="shared" si="265"/>
        <v>0</v>
      </c>
      <c r="R1130" s="142">
        <f t="shared" si="266"/>
        <v>49707.5</v>
      </c>
      <c r="S1130" s="142">
        <f t="shared" si="267"/>
        <v>0</v>
      </c>
      <c r="T1130" s="142">
        <f t="shared" si="268"/>
        <v>0</v>
      </c>
      <c r="U1130" s="60">
        <f t="shared" si="269"/>
        <v>49707.5</v>
      </c>
    </row>
    <row r="1131" spans="1:21" x14ac:dyDescent="0.2">
      <c r="A1131" s="115"/>
      <c r="B1131" s="139" t="s">
        <v>64</v>
      </c>
      <c r="C1131" s="140" t="s">
        <v>560</v>
      </c>
      <c r="D1131" s="141">
        <v>45860</v>
      </c>
      <c r="E1131" s="141">
        <v>46096</v>
      </c>
      <c r="F1131" s="57">
        <v>67533.850000000006</v>
      </c>
      <c r="G1131" s="58">
        <f t="shared" si="255"/>
        <v>74</v>
      </c>
      <c r="H1131" s="142">
        <f t="shared" si="256"/>
        <v>0</v>
      </c>
      <c r="I1131" s="142">
        <f t="shared" si="257"/>
        <v>0</v>
      </c>
      <c r="J1131" s="143">
        <f t="shared" si="258"/>
        <v>0</v>
      </c>
      <c r="K1131" s="143">
        <f t="shared" si="259"/>
        <v>0</v>
      </c>
      <c r="L1131" s="142">
        <f t="shared" si="260"/>
        <v>0</v>
      </c>
      <c r="M1131" s="142">
        <f t="shared" si="261"/>
        <v>0</v>
      </c>
      <c r="N1131" s="142">
        <f t="shared" si="262"/>
        <v>0</v>
      </c>
      <c r="O1131" s="59">
        <f t="shared" si="263"/>
        <v>0</v>
      </c>
      <c r="P1131" s="142">
        <f t="shared" si="264"/>
        <v>0</v>
      </c>
      <c r="Q1131" s="142">
        <f t="shared" si="265"/>
        <v>0</v>
      </c>
      <c r="R1131" s="142">
        <f t="shared" si="266"/>
        <v>67533.850000000006</v>
      </c>
      <c r="S1131" s="142">
        <f t="shared" si="267"/>
        <v>0</v>
      </c>
      <c r="T1131" s="142">
        <f t="shared" si="268"/>
        <v>0</v>
      </c>
      <c r="U1131" s="60">
        <f t="shared" si="269"/>
        <v>67533.850000000006</v>
      </c>
    </row>
    <row r="1132" spans="1:21" x14ac:dyDescent="0.2">
      <c r="A1132" s="115"/>
      <c r="B1132" s="139" t="s">
        <v>370</v>
      </c>
      <c r="C1132" s="140" t="s">
        <v>400</v>
      </c>
      <c r="D1132" s="141">
        <v>45743</v>
      </c>
      <c r="E1132" s="141">
        <v>46042</v>
      </c>
      <c r="F1132" s="57">
        <v>26282</v>
      </c>
      <c r="G1132" s="58">
        <f t="shared" si="255"/>
        <v>20</v>
      </c>
      <c r="H1132" s="142">
        <f t="shared" si="256"/>
        <v>0</v>
      </c>
      <c r="I1132" s="142">
        <f t="shared" si="257"/>
        <v>0</v>
      </c>
      <c r="J1132" s="143">
        <f t="shared" si="258"/>
        <v>0</v>
      </c>
      <c r="K1132" s="143">
        <f t="shared" si="259"/>
        <v>0</v>
      </c>
      <c r="L1132" s="142">
        <f t="shared" si="260"/>
        <v>0</v>
      </c>
      <c r="M1132" s="142">
        <f t="shared" si="261"/>
        <v>0</v>
      </c>
      <c r="N1132" s="142">
        <f t="shared" si="262"/>
        <v>0</v>
      </c>
      <c r="O1132" s="59">
        <f t="shared" si="263"/>
        <v>0</v>
      </c>
      <c r="P1132" s="142">
        <f t="shared" si="264"/>
        <v>26282</v>
      </c>
      <c r="Q1132" s="142">
        <f t="shared" si="265"/>
        <v>0</v>
      </c>
      <c r="R1132" s="142">
        <f t="shared" si="266"/>
        <v>0</v>
      </c>
      <c r="S1132" s="142">
        <f t="shared" si="267"/>
        <v>0</v>
      </c>
      <c r="T1132" s="142">
        <f t="shared" si="268"/>
        <v>0</v>
      </c>
      <c r="U1132" s="60">
        <f t="shared" si="269"/>
        <v>26282</v>
      </c>
    </row>
    <row r="1133" spans="1:21" x14ac:dyDescent="0.2">
      <c r="A1133" s="115"/>
      <c r="B1133" s="139" t="s">
        <v>370</v>
      </c>
      <c r="C1133" s="140" t="s">
        <v>400</v>
      </c>
      <c r="D1133" s="141">
        <v>45743</v>
      </c>
      <c r="E1133" s="141">
        <v>46072</v>
      </c>
      <c r="F1133" s="57">
        <v>26282</v>
      </c>
      <c r="G1133" s="58">
        <f t="shared" si="255"/>
        <v>50</v>
      </c>
      <c r="H1133" s="142">
        <f t="shared" si="256"/>
        <v>0</v>
      </c>
      <c r="I1133" s="142">
        <f t="shared" si="257"/>
        <v>0</v>
      </c>
      <c r="J1133" s="143">
        <f t="shared" si="258"/>
        <v>0</v>
      </c>
      <c r="K1133" s="143">
        <f t="shared" si="259"/>
        <v>0</v>
      </c>
      <c r="L1133" s="142">
        <f t="shared" si="260"/>
        <v>0</v>
      </c>
      <c r="M1133" s="142">
        <f t="shared" si="261"/>
        <v>0</v>
      </c>
      <c r="N1133" s="142">
        <f t="shared" si="262"/>
        <v>0</v>
      </c>
      <c r="O1133" s="59">
        <f t="shared" si="263"/>
        <v>0</v>
      </c>
      <c r="P1133" s="142">
        <f t="shared" si="264"/>
        <v>0</v>
      </c>
      <c r="Q1133" s="142">
        <f t="shared" si="265"/>
        <v>26282</v>
      </c>
      <c r="R1133" s="142">
        <f t="shared" si="266"/>
        <v>0</v>
      </c>
      <c r="S1133" s="142">
        <f t="shared" si="267"/>
        <v>0</v>
      </c>
      <c r="T1133" s="142">
        <f t="shared" si="268"/>
        <v>0</v>
      </c>
      <c r="U1133" s="60">
        <f t="shared" si="269"/>
        <v>26282</v>
      </c>
    </row>
    <row r="1134" spans="1:21" x14ac:dyDescent="0.2">
      <c r="A1134" s="115"/>
      <c r="B1134" s="139" t="s">
        <v>510</v>
      </c>
      <c r="C1134" s="140" t="s">
        <v>711</v>
      </c>
      <c r="D1134" s="141">
        <v>45919</v>
      </c>
      <c r="E1134" s="141">
        <v>46024</v>
      </c>
      <c r="F1134" s="57">
        <v>36900</v>
      </c>
      <c r="G1134" s="58">
        <f t="shared" si="255"/>
        <v>2</v>
      </c>
      <c r="H1134" s="142">
        <f t="shared" si="256"/>
        <v>0</v>
      </c>
      <c r="I1134" s="142">
        <f t="shared" si="257"/>
        <v>0</v>
      </c>
      <c r="J1134" s="143">
        <f t="shared" si="258"/>
        <v>0</v>
      </c>
      <c r="K1134" s="143">
        <f t="shared" si="259"/>
        <v>0</v>
      </c>
      <c r="L1134" s="142">
        <f t="shared" si="260"/>
        <v>0</v>
      </c>
      <c r="M1134" s="142">
        <f t="shared" si="261"/>
        <v>0</v>
      </c>
      <c r="N1134" s="142">
        <f t="shared" si="262"/>
        <v>0</v>
      </c>
      <c r="O1134" s="59">
        <f t="shared" si="263"/>
        <v>0</v>
      </c>
      <c r="P1134" s="142">
        <f t="shared" si="264"/>
        <v>36900</v>
      </c>
      <c r="Q1134" s="142">
        <f t="shared" si="265"/>
        <v>0</v>
      </c>
      <c r="R1134" s="142">
        <f t="shared" si="266"/>
        <v>0</v>
      </c>
      <c r="S1134" s="142">
        <f t="shared" si="267"/>
        <v>0</v>
      </c>
      <c r="T1134" s="142">
        <f t="shared" si="268"/>
        <v>0</v>
      </c>
      <c r="U1134" s="60">
        <f t="shared" si="269"/>
        <v>36900</v>
      </c>
    </row>
    <row r="1135" spans="1:21" x14ac:dyDescent="0.2">
      <c r="A1135" s="115"/>
      <c r="B1135" s="139" t="s">
        <v>510</v>
      </c>
      <c r="C1135" s="140" t="s">
        <v>813</v>
      </c>
      <c r="D1135" s="141">
        <v>45943</v>
      </c>
      <c r="E1135" s="141">
        <v>46034</v>
      </c>
      <c r="F1135" s="57">
        <v>33075</v>
      </c>
      <c r="G1135" s="58">
        <f t="shared" si="255"/>
        <v>12</v>
      </c>
      <c r="H1135" s="142">
        <f t="shared" si="256"/>
        <v>0</v>
      </c>
      <c r="I1135" s="142">
        <f>IF(AND($G1135&gt;=-180,$G1135&lt;=-151),$F1135,0)</f>
        <v>0</v>
      </c>
      <c r="J1135" s="143">
        <f t="shared" si="258"/>
        <v>0</v>
      </c>
      <c r="K1135" s="143">
        <f t="shared" si="259"/>
        <v>0</v>
      </c>
      <c r="L1135" s="142">
        <f t="shared" si="260"/>
        <v>0</v>
      </c>
      <c r="M1135" s="142">
        <f t="shared" si="261"/>
        <v>0</v>
      </c>
      <c r="N1135" s="142">
        <f t="shared" si="262"/>
        <v>0</v>
      </c>
      <c r="O1135" s="59">
        <f t="shared" si="263"/>
        <v>0</v>
      </c>
      <c r="P1135" s="142">
        <f t="shared" si="264"/>
        <v>33075</v>
      </c>
      <c r="Q1135" s="142">
        <f t="shared" si="265"/>
        <v>0</v>
      </c>
      <c r="R1135" s="142">
        <f t="shared" si="266"/>
        <v>0</v>
      </c>
      <c r="S1135" s="142">
        <f t="shared" si="267"/>
        <v>0</v>
      </c>
      <c r="T1135" s="142">
        <f t="shared" si="268"/>
        <v>0</v>
      </c>
      <c r="U1135" s="60">
        <f t="shared" si="269"/>
        <v>33075</v>
      </c>
    </row>
    <row r="1136" spans="1:21" x14ac:dyDescent="0.2">
      <c r="A1136" s="115"/>
      <c r="B1136" s="139" t="s">
        <v>510</v>
      </c>
      <c r="C1136" s="140" t="s">
        <v>813</v>
      </c>
      <c r="D1136" s="141">
        <v>45943</v>
      </c>
      <c r="E1136" s="141">
        <v>46063</v>
      </c>
      <c r="F1136" s="57">
        <v>33075</v>
      </c>
      <c r="G1136" s="58">
        <f t="shared" si="255"/>
        <v>41</v>
      </c>
      <c r="H1136" s="142">
        <f t="shared" si="256"/>
        <v>0</v>
      </c>
      <c r="I1136" s="142">
        <f t="shared" si="257"/>
        <v>0</v>
      </c>
      <c r="J1136" s="143">
        <f t="shared" si="258"/>
        <v>0</v>
      </c>
      <c r="K1136" s="143">
        <f t="shared" si="259"/>
        <v>0</v>
      </c>
      <c r="L1136" s="142">
        <f t="shared" si="260"/>
        <v>0</v>
      </c>
      <c r="M1136" s="142">
        <f t="shared" si="261"/>
        <v>0</v>
      </c>
      <c r="N1136" s="142">
        <f t="shared" si="262"/>
        <v>0</v>
      </c>
      <c r="O1136" s="59">
        <f t="shared" si="263"/>
        <v>0</v>
      </c>
      <c r="P1136" s="142">
        <f t="shared" si="264"/>
        <v>0</v>
      </c>
      <c r="Q1136" s="142">
        <f t="shared" si="265"/>
        <v>33075</v>
      </c>
      <c r="R1136" s="142">
        <f t="shared" si="266"/>
        <v>0</v>
      </c>
      <c r="S1136" s="142">
        <f t="shared" si="267"/>
        <v>0</v>
      </c>
      <c r="T1136" s="142">
        <f t="shared" si="268"/>
        <v>0</v>
      </c>
      <c r="U1136" s="60">
        <f t="shared" si="269"/>
        <v>33075</v>
      </c>
    </row>
    <row r="1137" spans="1:24" s="171" customFormat="1" x14ac:dyDescent="0.2">
      <c r="A1137" s="161" t="s">
        <v>1811</v>
      </c>
      <c r="B1137" s="162" t="s">
        <v>61</v>
      </c>
      <c r="C1137" s="163" t="s">
        <v>569</v>
      </c>
      <c r="D1137" s="164">
        <v>45889</v>
      </c>
      <c r="E1137" s="164">
        <v>46009</v>
      </c>
      <c r="F1137" s="165">
        <v>32860</v>
      </c>
      <c r="G1137" s="166">
        <f t="shared" si="255"/>
        <v>-13</v>
      </c>
      <c r="H1137" s="167">
        <f t="shared" si="256"/>
        <v>0</v>
      </c>
      <c r="I1137" s="167">
        <f t="shared" si="257"/>
        <v>0</v>
      </c>
      <c r="J1137" s="168">
        <f t="shared" si="258"/>
        <v>0</v>
      </c>
      <c r="K1137" s="168">
        <f t="shared" si="259"/>
        <v>0</v>
      </c>
      <c r="L1137" s="167">
        <f t="shared" si="260"/>
        <v>0</v>
      </c>
      <c r="M1137" s="167">
        <f t="shared" si="261"/>
        <v>0</v>
      </c>
      <c r="N1137" s="167">
        <f t="shared" si="262"/>
        <v>32860</v>
      </c>
      <c r="O1137" s="167">
        <f t="shared" si="263"/>
        <v>32860</v>
      </c>
      <c r="P1137" s="167">
        <f t="shared" si="264"/>
        <v>0</v>
      </c>
      <c r="Q1137" s="167">
        <f t="shared" si="265"/>
        <v>0</v>
      </c>
      <c r="R1137" s="167">
        <f t="shared" si="266"/>
        <v>0</v>
      </c>
      <c r="S1137" s="167">
        <f t="shared" si="267"/>
        <v>0</v>
      </c>
      <c r="T1137" s="167">
        <f t="shared" si="268"/>
        <v>0</v>
      </c>
      <c r="U1137" s="169">
        <f t="shared" si="269"/>
        <v>0</v>
      </c>
      <c r="V1137" s="170"/>
      <c r="W1137" s="170"/>
      <c r="X1137" s="170"/>
    </row>
    <row r="1138" spans="1:24" s="171" customFormat="1" x14ac:dyDescent="0.2">
      <c r="A1138" s="161" t="s">
        <v>1811</v>
      </c>
      <c r="B1138" s="162" t="s">
        <v>61</v>
      </c>
      <c r="C1138" s="163" t="s">
        <v>712</v>
      </c>
      <c r="D1138" s="164">
        <v>45903</v>
      </c>
      <c r="E1138" s="164">
        <v>46023</v>
      </c>
      <c r="F1138" s="165">
        <v>153270</v>
      </c>
      <c r="G1138" s="166">
        <f t="shared" si="255"/>
        <v>1</v>
      </c>
      <c r="H1138" s="167">
        <f t="shared" si="256"/>
        <v>0</v>
      </c>
      <c r="I1138" s="167">
        <f t="shared" si="257"/>
        <v>0</v>
      </c>
      <c r="J1138" s="168">
        <f t="shared" si="258"/>
        <v>0</v>
      </c>
      <c r="K1138" s="168">
        <f t="shared" si="259"/>
        <v>0</v>
      </c>
      <c r="L1138" s="167">
        <f t="shared" si="260"/>
        <v>0</v>
      </c>
      <c r="M1138" s="167">
        <f t="shared" si="261"/>
        <v>0</v>
      </c>
      <c r="N1138" s="167">
        <f t="shared" si="262"/>
        <v>0</v>
      </c>
      <c r="O1138" s="167">
        <f t="shared" si="263"/>
        <v>0</v>
      </c>
      <c r="P1138" s="167">
        <f t="shared" si="264"/>
        <v>153270</v>
      </c>
      <c r="Q1138" s="167">
        <f t="shared" si="265"/>
        <v>0</v>
      </c>
      <c r="R1138" s="167">
        <f t="shared" si="266"/>
        <v>0</v>
      </c>
      <c r="S1138" s="167">
        <f t="shared" si="267"/>
        <v>0</v>
      </c>
      <c r="T1138" s="167">
        <f t="shared" si="268"/>
        <v>0</v>
      </c>
      <c r="U1138" s="169">
        <f t="shared" si="269"/>
        <v>153270</v>
      </c>
      <c r="V1138" s="170"/>
      <c r="W1138" s="170"/>
      <c r="X1138" s="170"/>
    </row>
    <row r="1139" spans="1:24" s="171" customFormat="1" x14ac:dyDescent="0.2">
      <c r="A1139" s="161" t="s">
        <v>1811</v>
      </c>
      <c r="B1139" s="162" t="s">
        <v>61</v>
      </c>
      <c r="C1139" s="163" t="s">
        <v>713</v>
      </c>
      <c r="D1139" s="164">
        <v>45905</v>
      </c>
      <c r="E1139" s="164">
        <v>46025</v>
      </c>
      <c r="F1139" s="165">
        <v>8224.25</v>
      </c>
      <c r="G1139" s="166">
        <f t="shared" si="255"/>
        <v>3</v>
      </c>
      <c r="H1139" s="167">
        <f t="shared" si="256"/>
        <v>0</v>
      </c>
      <c r="I1139" s="167">
        <f t="shared" si="257"/>
        <v>0</v>
      </c>
      <c r="J1139" s="168">
        <f t="shared" si="258"/>
        <v>0</v>
      </c>
      <c r="K1139" s="168">
        <f t="shared" si="259"/>
        <v>0</v>
      </c>
      <c r="L1139" s="167">
        <f t="shared" si="260"/>
        <v>0</v>
      </c>
      <c r="M1139" s="167">
        <f t="shared" si="261"/>
        <v>0</v>
      </c>
      <c r="N1139" s="167">
        <f t="shared" si="262"/>
        <v>0</v>
      </c>
      <c r="O1139" s="167">
        <f t="shared" si="263"/>
        <v>0</v>
      </c>
      <c r="P1139" s="167">
        <f t="shared" si="264"/>
        <v>8224.25</v>
      </c>
      <c r="Q1139" s="167">
        <f t="shared" si="265"/>
        <v>0</v>
      </c>
      <c r="R1139" s="167">
        <f t="shared" si="266"/>
        <v>0</v>
      </c>
      <c r="S1139" s="167">
        <f t="shared" si="267"/>
        <v>0</v>
      </c>
      <c r="T1139" s="167">
        <f t="shared" si="268"/>
        <v>0</v>
      </c>
      <c r="U1139" s="169">
        <f t="shared" si="269"/>
        <v>8224.25</v>
      </c>
      <c r="V1139" s="170"/>
      <c r="W1139" s="170"/>
      <c r="X1139" s="170"/>
    </row>
    <row r="1140" spans="1:24" s="171" customFormat="1" x14ac:dyDescent="0.2">
      <c r="A1140" s="161"/>
      <c r="B1140" s="162" t="s">
        <v>61</v>
      </c>
      <c r="C1140" s="163" t="s">
        <v>717</v>
      </c>
      <c r="D1140" s="164">
        <v>45909</v>
      </c>
      <c r="E1140" s="164">
        <v>46029</v>
      </c>
      <c r="F1140" s="165">
        <v>54213</v>
      </c>
      <c r="G1140" s="166">
        <f t="shared" si="255"/>
        <v>7</v>
      </c>
      <c r="H1140" s="167">
        <f t="shared" si="256"/>
        <v>0</v>
      </c>
      <c r="I1140" s="167">
        <f t="shared" si="257"/>
        <v>0</v>
      </c>
      <c r="J1140" s="168">
        <f t="shared" si="258"/>
        <v>0</v>
      </c>
      <c r="K1140" s="168">
        <f t="shared" si="259"/>
        <v>0</v>
      </c>
      <c r="L1140" s="167">
        <f t="shared" si="260"/>
        <v>0</v>
      </c>
      <c r="M1140" s="167">
        <f t="shared" si="261"/>
        <v>0</v>
      </c>
      <c r="N1140" s="167">
        <f t="shared" si="262"/>
        <v>0</v>
      </c>
      <c r="O1140" s="167">
        <f t="shared" si="263"/>
        <v>0</v>
      </c>
      <c r="P1140" s="167">
        <f t="shared" si="264"/>
        <v>54213</v>
      </c>
      <c r="Q1140" s="167">
        <f t="shared" si="265"/>
        <v>0</v>
      </c>
      <c r="R1140" s="167">
        <f t="shared" si="266"/>
        <v>0</v>
      </c>
      <c r="S1140" s="167">
        <f t="shared" si="267"/>
        <v>0</v>
      </c>
      <c r="T1140" s="167">
        <f t="shared" si="268"/>
        <v>0</v>
      </c>
      <c r="U1140" s="169">
        <f t="shared" si="269"/>
        <v>54213</v>
      </c>
      <c r="V1140" s="170"/>
      <c r="W1140" s="170"/>
      <c r="X1140" s="170"/>
    </row>
    <row r="1141" spans="1:24" s="171" customFormat="1" x14ac:dyDescent="0.2">
      <c r="A1141" s="161"/>
      <c r="B1141" s="162" t="s">
        <v>61</v>
      </c>
      <c r="C1141" s="163" t="s">
        <v>714</v>
      </c>
      <c r="D1141" s="164">
        <v>45912</v>
      </c>
      <c r="E1141" s="164">
        <v>46032</v>
      </c>
      <c r="F1141" s="165">
        <v>11790</v>
      </c>
      <c r="G1141" s="166">
        <f t="shared" si="255"/>
        <v>10</v>
      </c>
      <c r="H1141" s="167">
        <f t="shared" si="256"/>
        <v>0</v>
      </c>
      <c r="I1141" s="167">
        <f t="shared" si="257"/>
        <v>0</v>
      </c>
      <c r="J1141" s="168">
        <f t="shared" si="258"/>
        <v>0</v>
      </c>
      <c r="K1141" s="168">
        <f t="shared" si="259"/>
        <v>0</v>
      </c>
      <c r="L1141" s="167">
        <f t="shared" si="260"/>
        <v>0</v>
      </c>
      <c r="M1141" s="167">
        <f t="shared" si="261"/>
        <v>0</v>
      </c>
      <c r="N1141" s="167">
        <f t="shared" si="262"/>
        <v>0</v>
      </c>
      <c r="O1141" s="167">
        <f t="shared" si="263"/>
        <v>0</v>
      </c>
      <c r="P1141" s="167">
        <f t="shared" si="264"/>
        <v>11790</v>
      </c>
      <c r="Q1141" s="167">
        <f t="shared" si="265"/>
        <v>0</v>
      </c>
      <c r="R1141" s="167">
        <f t="shared" si="266"/>
        <v>0</v>
      </c>
      <c r="S1141" s="167">
        <f t="shared" si="267"/>
        <v>0</v>
      </c>
      <c r="T1141" s="167">
        <f t="shared" si="268"/>
        <v>0</v>
      </c>
      <c r="U1141" s="169">
        <f t="shared" si="269"/>
        <v>11790</v>
      </c>
      <c r="V1141" s="170"/>
      <c r="W1141" s="170"/>
      <c r="X1141" s="170"/>
    </row>
    <row r="1142" spans="1:24" s="171" customFormat="1" x14ac:dyDescent="0.2">
      <c r="A1142" s="161"/>
      <c r="B1142" s="162" t="s">
        <v>61</v>
      </c>
      <c r="C1142" s="163" t="s">
        <v>715</v>
      </c>
      <c r="D1142" s="164">
        <v>45912</v>
      </c>
      <c r="E1142" s="164">
        <v>46032</v>
      </c>
      <c r="F1142" s="165">
        <v>11439</v>
      </c>
      <c r="G1142" s="166">
        <f t="shared" si="255"/>
        <v>10</v>
      </c>
      <c r="H1142" s="167">
        <f t="shared" si="256"/>
        <v>0</v>
      </c>
      <c r="I1142" s="167">
        <f t="shared" si="257"/>
        <v>0</v>
      </c>
      <c r="J1142" s="168">
        <f t="shared" si="258"/>
        <v>0</v>
      </c>
      <c r="K1142" s="168">
        <f t="shared" si="259"/>
        <v>0</v>
      </c>
      <c r="L1142" s="167">
        <f t="shared" si="260"/>
        <v>0</v>
      </c>
      <c r="M1142" s="167">
        <f t="shared" si="261"/>
        <v>0</v>
      </c>
      <c r="N1142" s="167">
        <f t="shared" si="262"/>
        <v>0</v>
      </c>
      <c r="O1142" s="167">
        <f t="shared" si="263"/>
        <v>0</v>
      </c>
      <c r="P1142" s="167">
        <f t="shared" si="264"/>
        <v>11439</v>
      </c>
      <c r="Q1142" s="167">
        <f t="shared" si="265"/>
        <v>0</v>
      </c>
      <c r="R1142" s="167">
        <f t="shared" si="266"/>
        <v>0</v>
      </c>
      <c r="S1142" s="167">
        <f t="shared" si="267"/>
        <v>0</v>
      </c>
      <c r="T1142" s="167">
        <f t="shared" si="268"/>
        <v>0</v>
      </c>
      <c r="U1142" s="169">
        <f t="shared" si="269"/>
        <v>11439</v>
      </c>
      <c r="V1142" s="170"/>
      <c r="W1142" s="170"/>
      <c r="X1142" s="170"/>
    </row>
    <row r="1143" spans="1:24" s="171" customFormat="1" x14ac:dyDescent="0.2">
      <c r="A1143" s="161"/>
      <c r="B1143" s="162" t="s">
        <v>61</v>
      </c>
      <c r="C1143" s="163" t="s">
        <v>839</v>
      </c>
      <c r="D1143" s="164">
        <v>45943</v>
      </c>
      <c r="E1143" s="164">
        <v>46036</v>
      </c>
      <c r="F1143" s="165">
        <v>107000</v>
      </c>
      <c r="G1143" s="166">
        <f t="shared" si="255"/>
        <v>14</v>
      </c>
      <c r="H1143" s="167">
        <f t="shared" si="256"/>
        <v>0</v>
      </c>
      <c r="I1143" s="167">
        <f t="shared" si="257"/>
        <v>0</v>
      </c>
      <c r="J1143" s="168">
        <f t="shared" si="258"/>
        <v>0</v>
      </c>
      <c r="K1143" s="168">
        <f t="shared" si="259"/>
        <v>0</v>
      </c>
      <c r="L1143" s="167">
        <f t="shared" si="260"/>
        <v>0</v>
      </c>
      <c r="M1143" s="167">
        <f t="shared" si="261"/>
        <v>0</v>
      </c>
      <c r="N1143" s="167">
        <f t="shared" si="262"/>
        <v>0</v>
      </c>
      <c r="O1143" s="167">
        <f t="shared" si="263"/>
        <v>0</v>
      </c>
      <c r="P1143" s="167">
        <f t="shared" si="264"/>
        <v>107000</v>
      </c>
      <c r="Q1143" s="167">
        <f t="shared" si="265"/>
        <v>0</v>
      </c>
      <c r="R1143" s="167">
        <f t="shared" si="266"/>
        <v>0</v>
      </c>
      <c r="S1143" s="167">
        <f t="shared" si="267"/>
        <v>0</v>
      </c>
      <c r="T1143" s="167">
        <f t="shared" si="268"/>
        <v>0</v>
      </c>
      <c r="U1143" s="169">
        <f t="shared" si="269"/>
        <v>107000</v>
      </c>
      <c r="V1143" s="170"/>
      <c r="W1143" s="170"/>
      <c r="X1143" s="170"/>
    </row>
    <row r="1144" spans="1:24" s="171" customFormat="1" x14ac:dyDescent="0.2">
      <c r="A1144" s="161"/>
      <c r="B1144" s="162" t="s">
        <v>61</v>
      </c>
      <c r="C1144" s="163" t="s">
        <v>716</v>
      </c>
      <c r="D1144" s="164">
        <v>45919</v>
      </c>
      <c r="E1144" s="164">
        <v>46039</v>
      </c>
      <c r="F1144" s="165">
        <v>114536</v>
      </c>
      <c r="G1144" s="166">
        <f t="shared" si="255"/>
        <v>17</v>
      </c>
      <c r="H1144" s="167">
        <f t="shared" si="256"/>
        <v>0</v>
      </c>
      <c r="I1144" s="167">
        <f t="shared" si="257"/>
        <v>0</v>
      </c>
      <c r="J1144" s="168">
        <f t="shared" si="258"/>
        <v>0</v>
      </c>
      <c r="K1144" s="168">
        <f t="shared" si="259"/>
        <v>0</v>
      </c>
      <c r="L1144" s="167">
        <f t="shared" si="260"/>
        <v>0</v>
      </c>
      <c r="M1144" s="167">
        <f t="shared" si="261"/>
        <v>0</v>
      </c>
      <c r="N1144" s="167">
        <f t="shared" si="262"/>
        <v>0</v>
      </c>
      <c r="O1144" s="167">
        <f t="shared" si="263"/>
        <v>0</v>
      </c>
      <c r="P1144" s="167">
        <f t="shared" si="264"/>
        <v>114536</v>
      </c>
      <c r="Q1144" s="167">
        <f t="shared" si="265"/>
        <v>0</v>
      </c>
      <c r="R1144" s="167">
        <f t="shared" si="266"/>
        <v>0</v>
      </c>
      <c r="S1144" s="167">
        <f t="shared" si="267"/>
        <v>0</v>
      </c>
      <c r="T1144" s="167">
        <f t="shared" si="268"/>
        <v>0</v>
      </c>
      <c r="U1144" s="169">
        <f t="shared" si="269"/>
        <v>114536</v>
      </c>
      <c r="V1144" s="170"/>
      <c r="W1144" s="170"/>
      <c r="X1144" s="170"/>
    </row>
    <row r="1145" spans="1:24" s="171" customFormat="1" x14ac:dyDescent="0.2">
      <c r="A1145" s="161"/>
      <c r="B1145" s="162" t="s">
        <v>61</v>
      </c>
      <c r="C1145" s="163" t="s">
        <v>785</v>
      </c>
      <c r="D1145" s="164">
        <v>45931</v>
      </c>
      <c r="E1145" s="164">
        <v>46051</v>
      </c>
      <c r="F1145" s="165">
        <v>15380</v>
      </c>
      <c r="G1145" s="166">
        <f t="shared" si="255"/>
        <v>29</v>
      </c>
      <c r="H1145" s="167">
        <f t="shared" si="256"/>
        <v>0</v>
      </c>
      <c r="I1145" s="167">
        <f t="shared" si="257"/>
        <v>0</v>
      </c>
      <c r="J1145" s="168">
        <f t="shared" si="258"/>
        <v>0</v>
      </c>
      <c r="K1145" s="168">
        <f t="shared" si="259"/>
        <v>0</v>
      </c>
      <c r="L1145" s="167">
        <f t="shared" si="260"/>
        <v>0</v>
      </c>
      <c r="M1145" s="167">
        <f t="shared" si="261"/>
        <v>0</v>
      </c>
      <c r="N1145" s="167">
        <f t="shared" si="262"/>
        <v>0</v>
      </c>
      <c r="O1145" s="167">
        <f t="shared" si="263"/>
        <v>0</v>
      </c>
      <c r="P1145" s="167">
        <f t="shared" si="264"/>
        <v>15380</v>
      </c>
      <c r="Q1145" s="167">
        <f t="shared" si="265"/>
        <v>0</v>
      </c>
      <c r="R1145" s="167">
        <f t="shared" si="266"/>
        <v>0</v>
      </c>
      <c r="S1145" s="167">
        <f t="shared" si="267"/>
        <v>0</v>
      </c>
      <c r="T1145" s="167">
        <f t="shared" si="268"/>
        <v>0</v>
      </c>
      <c r="U1145" s="169">
        <f t="shared" si="269"/>
        <v>15380</v>
      </c>
      <c r="V1145" s="170"/>
      <c r="W1145" s="170"/>
      <c r="X1145" s="170"/>
    </row>
    <row r="1146" spans="1:24" s="171" customFormat="1" x14ac:dyDescent="0.2">
      <c r="A1146" s="161"/>
      <c r="B1146" s="162" t="s">
        <v>61</v>
      </c>
      <c r="C1146" s="163" t="s">
        <v>723</v>
      </c>
      <c r="D1146" s="164">
        <v>45932</v>
      </c>
      <c r="E1146" s="164">
        <v>46052</v>
      </c>
      <c r="F1146" s="165">
        <v>1630</v>
      </c>
      <c r="G1146" s="166">
        <f t="shared" si="255"/>
        <v>30</v>
      </c>
      <c r="H1146" s="167">
        <f t="shared" si="256"/>
        <v>0</v>
      </c>
      <c r="I1146" s="167">
        <f t="shared" si="257"/>
        <v>0</v>
      </c>
      <c r="J1146" s="168">
        <f t="shared" si="258"/>
        <v>0</v>
      </c>
      <c r="K1146" s="168">
        <f t="shared" si="259"/>
        <v>0</v>
      </c>
      <c r="L1146" s="167">
        <f t="shared" si="260"/>
        <v>0</v>
      </c>
      <c r="M1146" s="167">
        <f t="shared" si="261"/>
        <v>0</v>
      </c>
      <c r="N1146" s="167">
        <f t="shared" si="262"/>
        <v>0</v>
      </c>
      <c r="O1146" s="167">
        <f t="shared" si="263"/>
        <v>0</v>
      </c>
      <c r="P1146" s="172">
        <f t="shared" si="264"/>
        <v>1630</v>
      </c>
      <c r="Q1146" s="167">
        <f t="shared" si="265"/>
        <v>0</v>
      </c>
      <c r="R1146" s="167">
        <f t="shared" si="266"/>
        <v>0</v>
      </c>
      <c r="S1146" s="167">
        <f t="shared" si="267"/>
        <v>0</v>
      </c>
      <c r="T1146" s="167">
        <f t="shared" si="268"/>
        <v>0</v>
      </c>
      <c r="U1146" s="169">
        <f t="shared" si="269"/>
        <v>1630</v>
      </c>
      <c r="V1146" s="170"/>
      <c r="W1146" s="170"/>
      <c r="X1146" s="170"/>
    </row>
    <row r="1147" spans="1:24" s="171" customFormat="1" x14ac:dyDescent="0.2">
      <c r="A1147" s="161"/>
      <c r="B1147" s="162" t="s">
        <v>61</v>
      </c>
      <c r="C1147" s="163" t="s">
        <v>721</v>
      </c>
      <c r="D1147" s="164">
        <v>45932</v>
      </c>
      <c r="E1147" s="164">
        <v>46052</v>
      </c>
      <c r="F1147" s="165">
        <v>213</v>
      </c>
      <c r="G1147" s="166">
        <f t="shared" si="255"/>
        <v>30</v>
      </c>
      <c r="H1147" s="167">
        <f t="shared" si="256"/>
        <v>0</v>
      </c>
      <c r="I1147" s="167">
        <f t="shared" si="257"/>
        <v>0</v>
      </c>
      <c r="J1147" s="168">
        <f t="shared" si="258"/>
        <v>0</v>
      </c>
      <c r="K1147" s="168">
        <f t="shared" si="259"/>
        <v>0</v>
      </c>
      <c r="L1147" s="167">
        <f t="shared" si="260"/>
        <v>0</v>
      </c>
      <c r="M1147" s="167">
        <f t="shared" si="261"/>
        <v>0</v>
      </c>
      <c r="N1147" s="167">
        <f t="shared" si="262"/>
        <v>0</v>
      </c>
      <c r="O1147" s="167">
        <f t="shared" si="263"/>
        <v>0</v>
      </c>
      <c r="P1147" s="172">
        <f t="shared" si="264"/>
        <v>213</v>
      </c>
      <c r="Q1147" s="167">
        <f t="shared" si="265"/>
        <v>0</v>
      </c>
      <c r="R1147" s="167">
        <f t="shared" si="266"/>
        <v>0</v>
      </c>
      <c r="S1147" s="167">
        <f t="shared" si="267"/>
        <v>0</v>
      </c>
      <c r="T1147" s="167">
        <f t="shared" si="268"/>
        <v>0</v>
      </c>
      <c r="U1147" s="169">
        <f t="shared" si="269"/>
        <v>213</v>
      </c>
      <c r="V1147" s="170"/>
      <c r="W1147" s="170"/>
      <c r="X1147" s="170"/>
    </row>
    <row r="1148" spans="1:24" s="171" customFormat="1" x14ac:dyDescent="0.2">
      <c r="A1148" s="161"/>
      <c r="B1148" s="162" t="s">
        <v>61</v>
      </c>
      <c r="C1148" s="163" t="s">
        <v>828</v>
      </c>
      <c r="D1148" s="164">
        <v>45936</v>
      </c>
      <c r="E1148" s="164">
        <v>46056</v>
      </c>
      <c r="F1148" s="165">
        <v>42372.61</v>
      </c>
      <c r="G1148" s="166">
        <f t="shared" si="255"/>
        <v>34</v>
      </c>
      <c r="H1148" s="167">
        <f t="shared" si="256"/>
        <v>0</v>
      </c>
      <c r="I1148" s="167">
        <f t="shared" si="257"/>
        <v>0</v>
      </c>
      <c r="J1148" s="168">
        <f t="shared" si="258"/>
        <v>0</v>
      </c>
      <c r="K1148" s="168">
        <f t="shared" si="259"/>
        <v>0</v>
      </c>
      <c r="L1148" s="167">
        <f t="shared" si="260"/>
        <v>0</v>
      </c>
      <c r="M1148" s="167">
        <f t="shared" si="261"/>
        <v>0</v>
      </c>
      <c r="N1148" s="167">
        <f t="shared" si="262"/>
        <v>0</v>
      </c>
      <c r="O1148" s="167">
        <f t="shared" si="263"/>
        <v>0</v>
      </c>
      <c r="P1148" s="167">
        <f t="shared" si="264"/>
        <v>0</v>
      </c>
      <c r="Q1148" s="167">
        <f t="shared" si="265"/>
        <v>42372.61</v>
      </c>
      <c r="R1148" s="167">
        <f t="shared" si="266"/>
        <v>0</v>
      </c>
      <c r="S1148" s="167">
        <f t="shared" si="267"/>
        <v>0</v>
      </c>
      <c r="T1148" s="167">
        <f t="shared" si="268"/>
        <v>0</v>
      </c>
      <c r="U1148" s="169">
        <f t="shared" si="269"/>
        <v>42372.61</v>
      </c>
      <c r="V1148" s="170"/>
      <c r="W1148" s="170"/>
      <c r="X1148" s="170"/>
    </row>
    <row r="1149" spans="1:24" s="171" customFormat="1" x14ac:dyDescent="0.2">
      <c r="A1149" s="161"/>
      <c r="B1149" s="162" t="s">
        <v>61</v>
      </c>
      <c r="C1149" s="163" t="s">
        <v>918</v>
      </c>
      <c r="D1149" s="164">
        <v>45966</v>
      </c>
      <c r="E1149" s="164">
        <v>46086</v>
      </c>
      <c r="F1149" s="165">
        <v>46000</v>
      </c>
      <c r="G1149" s="166">
        <f t="shared" si="255"/>
        <v>64</v>
      </c>
      <c r="H1149" s="167">
        <f t="shared" si="256"/>
        <v>0</v>
      </c>
      <c r="I1149" s="167">
        <f t="shared" si="257"/>
        <v>0</v>
      </c>
      <c r="J1149" s="168">
        <f t="shared" si="258"/>
        <v>0</v>
      </c>
      <c r="K1149" s="168">
        <f t="shared" si="259"/>
        <v>0</v>
      </c>
      <c r="L1149" s="167">
        <f t="shared" si="260"/>
        <v>0</v>
      </c>
      <c r="M1149" s="167">
        <f t="shared" si="261"/>
        <v>0</v>
      </c>
      <c r="N1149" s="167">
        <f t="shared" si="262"/>
        <v>0</v>
      </c>
      <c r="O1149" s="167">
        <f t="shared" si="263"/>
        <v>0</v>
      </c>
      <c r="P1149" s="167">
        <f t="shared" si="264"/>
        <v>0</v>
      </c>
      <c r="Q1149" s="167">
        <f t="shared" si="265"/>
        <v>0</v>
      </c>
      <c r="R1149" s="167">
        <f t="shared" si="266"/>
        <v>46000</v>
      </c>
      <c r="S1149" s="167">
        <f t="shared" si="267"/>
        <v>0</v>
      </c>
      <c r="T1149" s="167">
        <f t="shared" si="268"/>
        <v>0</v>
      </c>
      <c r="U1149" s="169">
        <f t="shared" si="269"/>
        <v>46000</v>
      </c>
      <c r="V1149" s="170"/>
      <c r="W1149" s="170"/>
      <c r="X1149" s="170"/>
    </row>
    <row r="1150" spans="1:24" x14ac:dyDescent="0.2">
      <c r="A1150" s="115"/>
      <c r="B1150" s="139" t="s">
        <v>469</v>
      </c>
      <c r="C1150" s="140" t="s">
        <v>470</v>
      </c>
      <c r="D1150" s="141">
        <v>45999</v>
      </c>
      <c r="E1150" s="141">
        <v>46032</v>
      </c>
      <c r="F1150" s="57">
        <v>36174.17</v>
      </c>
      <c r="G1150" s="58">
        <f t="shared" si="255"/>
        <v>10</v>
      </c>
      <c r="H1150" s="142">
        <f t="shared" si="256"/>
        <v>0</v>
      </c>
      <c r="I1150" s="142">
        <f t="shared" si="257"/>
        <v>0</v>
      </c>
      <c r="J1150" s="143">
        <f t="shared" si="258"/>
        <v>0</v>
      </c>
      <c r="K1150" s="143">
        <f t="shared" si="259"/>
        <v>0</v>
      </c>
      <c r="L1150" s="142">
        <f t="shared" si="260"/>
        <v>0</v>
      </c>
      <c r="M1150" s="142">
        <f t="shared" si="261"/>
        <v>0</v>
      </c>
      <c r="N1150" s="142">
        <f t="shared" si="262"/>
        <v>0</v>
      </c>
      <c r="O1150" s="59">
        <f t="shared" si="263"/>
        <v>0</v>
      </c>
      <c r="P1150" s="142">
        <f t="shared" si="264"/>
        <v>36174.17</v>
      </c>
      <c r="Q1150" s="142">
        <f t="shared" si="265"/>
        <v>0</v>
      </c>
      <c r="R1150" s="142">
        <f t="shared" si="266"/>
        <v>0</v>
      </c>
      <c r="S1150" s="142">
        <f t="shared" si="267"/>
        <v>0</v>
      </c>
      <c r="T1150" s="142">
        <f t="shared" si="268"/>
        <v>0</v>
      </c>
      <c r="U1150" s="60">
        <f t="shared" si="269"/>
        <v>36174.17</v>
      </c>
    </row>
    <row r="1151" spans="1:24" x14ac:dyDescent="0.2">
      <c r="A1151" s="115"/>
      <c r="B1151" s="139" t="s">
        <v>469</v>
      </c>
      <c r="C1151" s="140" t="s">
        <v>470</v>
      </c>
      <c r="D1151" s="141">
        <v>45999</v>
      </c>
      <c r="E1151" s="141">
        <v>46063</v>
      </c>
      <c r="F1151" s="57">
        <v>36174.17</v>
      </c>
      <c r="G1151" s="58">
        <f t="shared" si="255"/>
        <v>41</v>
      </c>
      <c r="H1151" s="142">
        <f t="shared" si="256"/>
        <v>0</v>
      </c>
      <c r="I1151" s="142">
        <f t="shared" si="257"/>
        <v>0</v>
      </c>
      <c r="J1151" s="143">
        <f t="shared" si="258"/>
        <v>0</v>
      </c>
      <c r="K1151" s="143">
        <f t="shared" si="259"/>
        <v>0</v>
      </c>
      <c r="L1151" s="142">
        <f t="shared" si="260"/>
        <v>0</v>
      </c>
      <c r="M1151" s="142">
        <f t="shared" si="261"/>
        <v>0</v>
      </c>
      <c r="N1151" s="142">
        <f t="shared" si="262"/>
        <v>0</v>
      </c>
      <c r="O1151" s="59">
        <f t="shared" si="263"/>
        <v>0</v>
      </c>
      <c r="P1151" s="142">
        <f t="shared" si="264"/>
        <v>0</v>
      </c>
      <c r="Q1151" s="142">
        <f t="shared" si="265"/>
        <v>36174.17</v>
      </c>
      <c r="R1151" s="142">
        <f t="shared" si="266"/>
        <v>0</v>
      </c>
      <c r="S1151" s="142">
        <f t="shared" si="267"/>
        <v>0</v>
      </c>
      <c r="T1151" s="142">
        <f t="shared" si="268"/>
        <v>0</v>
      </c>
      <c r="U1151" s="60">
        <f t="shared" si="269"/>
        <v>36174.17</v>
      </c>
    </row>
    <row r="1152" spans="1:24" x14ac:dyDescent="0.2">
      <c r="A1152" s="115"/>
      <c r="B1152" s="139" t="s">
        <v>469</v>
      </c>
      <c r="C1152" s="140" t="s">
        <v>470</v>
      </c>
      <c r="D1152" s="141">
        <v>45999</v>
      </c>
      <c r="E1152" s="141">
        <v>46091</v>
      </c>
      <c r="F1152" s="57">
        <v>36174.17</v>
      </c>
      <c r="G1152" s="58">
        <f t="shared" si="255"/>
        <v>69</v>
      </c>
      <c r="H1152" s="142">
        <f t="shared" si="256"/>
        <v>0</v>
      </c>
      <c r="I1152" s="142">
        <f t="shared" si="257"/>
        <v>0</v>
      </c>
      <c r="J1152" s="143">
        <f t="shared" si="258"/>
        <v>0</v>
      </c>
      <c r="K1152" s="143">
        <f t="shared" si="259"/>
        <v>0</v>
      </c>
      <c r="L1152" s="142">
        <f t="shared" si="260"/>
        <v>0</v>
      </c>
      <c r="M1152" s="142">
        <f t="shared" si="261"/>
        <v>0</v>
      </c>
      <c r="N1152" s="142">
        <f t="shared" si="262"/>
        <v>0</v>
      </c>
      <c r="O1152" s="59">
        <f t="shared" si="263"/>
        <v>0</v>
      </c>
      <c r="P1152" s="142">
        <f t="shared" si="264"/>
        <v>0</v>
      </c>
      <c r="Q1152" s="142">
        <f t="shared" si="265"/>
        <v>0</v>
      </c>
      <c r="R1152" s="142">
        <f t="shared" si="266"/>
        <v>36174.17</v>
      </c>
      <c r="S1152" s="142">
        <f t="shared" si="267"/>
        <v>0</v>
      </c>
      <c r="T1152" s="142">
        <f t="shared" si="268"/>
        <v>0</v>
      </c>
      <c r="U1152" s="60">
        <f t="shared" si="269"/>
        <v>36174.17</v>
      </c>
    </row>
    <row r="1153" spans="1:21" x14ac:dyDescent="0.2">
      <c r="A1153" s="115"/>
      <c r="B1153" s="139" t="s">
        <v>469</v>
      </c>
      <c r="C1153" s="140" t="s">
        <v>470</v>
      </c>
      <c r="D1153" s="141">
        <v>45999</v>
      </c>
      <c r="E1153" s="141">
        <v>46122</v>
      </c>
      <c r="F1153" s="57">
        <v>36174.17</v>
      </c>
      <c r="G1153" s="58">
        <f t="shared" si="255"/>
        <v>100</v>
      </c>
      <c r="H1153" s="142">
        <f t="shared" si="256"/>
        <v>0</v>
      </c>
      <c r="I1153" s="142">
        <f t="shared" si="257"/>
        <v>0</v>
      </c>
      <c r="J1153" s="143">
        <f t="shared" si="258"/>
        <v>0</v>
      </c>
      <c r="K1153" s="143">
        <f t="shared" si="259"/>
        <v>0</v>
      </c>
      <c r="L1153" s="142">
        <f t="shared" si="260"/>
        <v>0</v>
      </c>
      <c r="M1153" s="142">
        <f t="shared" si="261"/>
        <v>0</v>
      </c>
      <c r="N1153" s="142">
        <f t="shared" si="262"/>
        <v>0</v>
      </c>
      <c r="O1153" s="59">
        <f t="shared" si="263"/>
        <v>0</v>
      </c>
      <c r="P1153" s="142">
        <f t="shared" si="264"/>
        <v>0</v>
      </c>
      <c r="Q1153" s="142">
        <f t="shared" si="265"/>
        <v>0</v>
      </c>
      <c r="R1153" s="142">
        <f t="shared" si="266"/>
        <v>0</v>
      </c>
      <c r="S1153" s="142">
        <f t="shared" si="267"/>
        <v>36174.17</v>
      </c>
      <c r="T1153" s="142">
        <f t="shared" si="268"/>
        <v>0</v>
      </c>
      <c r="U1153" s="60">
        <f t="shared" si="269"/>
        <v>36174.17</v>
      </c>
    </row>
    <row r="1154" spans="1:21" x14ac:dyDescent="0.2">
      <c r="A1154" s="115"/>
      <c r="B1154" s="139" t="s">
        <v>469</v>
      </c>
      <c r="C1154" s="140" t="s">
        <v>470</v>
      </c>
      <c r="D1154" s="141">
        <v>45999</v>
      </c>
      <c r="E1154" s="141">
        <v>46152</v>
      </c>
      <c r="F1154" s="57">
        <v>36174.17</v>
      </c>
      <c r="G1154" s="58">
        <f t="shared" si="255"/>
        <v>130</v>
      </c>
      <c r="H1154" s="142">
        <f t="shared" si="256"/>
        <v>0</v>
      </c>
      <c r="I1154" s="142">
        <f t="shared" si="257"/>
        <v>0</v>
      </c>
      <c r="J1154" s="143">
        <f t="shared" si="258"/>
        <v>0</v>
      </c>
      <c r="K1154" s="143">
        <f t="shared" si="259"/>
        <v>0</v>
      </c>
      <c r="L1154" s="142">
        <f t="shared" si="260"/>
        <v>0</v>
      </c>
      <c r="M1154" s="142">
        <f t="shared" si="261"/>
        <v>0</v>
      </c>
      <c r="N1154" s="142">
        <f t="shared" si="262"/>
        <v>0</v>
      </c>
      <c r="O1154" s="59">
        <f t="shared" si="263"/>
        <v>0</v>
      </c>
      <c r="P1154" s="142">
        <f t="shared" si="264"/>
        <v>0</v>
      </c>
      <c r="Q1154" s="142">
        <f t="shared" si="265"/>
        <v>0</v>
      </c>
      <c r="R1154" s="142">
        <f t="shared" si="266"/>
        <v>0</v>
      </c>
      <c r="S1154" s="142">
        <f t="shared" si="267"/>
        <v>0</v>
      </c>
      <c r="T1154" s="142">
        <f t="shared" si="268"/>
        <v>36174.17</v>
      </c>
      <c r="U1154" s="60">
        <f t="shared" si="269"/>
        <v>36174.17</v>
      </c>
    </row>
    <row r="1155" spans="1:21" x14ac:dyDescent="0.2">
      <c r="A1155" s="115"/>
      <c r="B1155" s="139" t="s">
        <v>469</v>
      </c>
      <c r="C1155" s="140" t="s">
        <v>470</v>
      </c>
      <c r="D1155" s="141">
        <v>45999</v>
      </c>
      <c r="E1155" s="141">
        <v>46183</v>
      </c>
      <c r="F1155" s="57">
        <v>36174.17</v>
      </c>
      <c r="G1155" s="58">
        <f t="shared" si="255"/>
        <v>161</v>
      </c>
      <c r="H1155" s="142">
        <f t="shared" si="256"/>
        <v>0</v>
      </c>
      <c r="I1155" s="142">
        <f t="shared" si="257"/>
        <v>0</v>
      </c>
      <c r="J1155" s="143">
        <f t="shared" si="258"/>
        <v>0</v>
      </c>
      <c r="K1155" s="143">
        <f t="shared" si="259"/>
        <v>0</v>
      </c>
      <c r="L1155" s="142">
        <f t="shared" si="260"/>
        <v>0</v>
      </c>
      <c r="M1155" s="142">
        <f t="shared" si="261"/>
        <v>0</v>
      </c>
      <c r="N1155" s="142">
        <f t="shared" si="262"/>
        <v>0</v>
      </c>
      <c r="O1155" s="59">
        <f t="shared" si="263"/>
        <v>0</v>
      </c>
      <c r="P1155" s="142">
        <f t="shared" si="264"/>
        <v>0</v>
      </c>
      <c r="Q1155" s="142">
        <f t="shared" si="265"/>
        <v>0</v>
      </c>
      <c r="R1155" s="142">
        <f t="shared" si="266"/>
        <v>0</v>
      </c>
      <c r="S1155" s="142">
        <f t="shared" si="267"/>
        <v>0</v>
      </c>
      <c r="T1155" s="142">
        <f t="shared" si="268"/>
        <v>36174.17</v>
      </c>
      <c r="U1155" s="60">
        <f t="shared" si="269"/>
        <v>36174.17</v>
      </c>
    </row>
    <row r="1156" spans="1:21" x14ac:dyDescent="0.2">
      <c r="A1156" s="115"/>
      <c r="B1156" s="139" t="s">
        <v>469</v>
      </c>
      <c r="C1156" s="140" t="s">
        <v>470</v>
      </c>
      <c r="D1156" s="141">
        <v>45999</v>
      </c>
      <c r="E1156" s="141">
        <v>46213</v>
      </c>
      <c r="F1156" s="57">
        <v>36174.17</v>
      </c>
      <c r="G1156" s="58">
        <f t="shared" si="255"/>
        <v>191</v>
      </c>
      <c r="H1156" s="142">
        <f t="shared" si="256"/>
        <v>0</v>
      </c>
      <c r="I1156" s="142">
        <f t="shared" si="257"/>
        <v>0</v>
      </c>
      <c r="J1156" s="143">
        <f t="shared" si="258"/>
        <v>0</v>
      </c>
      <c r="K1156" s="143">
        <f t="shared" si="259"/>
        <v>0</v>
      </c>
      <c r="L1156" s="142">
        <f t="shared" si="260"/>
        <v>0</v>
      </c>
      <c r="M1156" s="142">
        <f t="shared" si="261"/>
        <v>0</v>
      </c>
      <c r="N1156" s="142">
        <f t="shared" si="262"/>
        <v>0</v>
      </c>
      <c r="O1156" s="59">
        <f t="shared" si="263"/>
        <v>0</v>
      </c>
      <c r="P1156" s="142">
        <f t="shared" si="264"/>
        <v>0</v>
      </c>
      <c r="Q1156" s="142">
        <f t="shared" si="265"/>
        <v>0</v>
      </c>
      <c r="R1156" s="142">
        <f t="shared" si="266"/>
        <v>0</v>
      </c>
      <c r="S1156" s="142">
        <f t="shared" si="267"/>
        <v>0</v>
      </c>
      <c r="T1156" s="142">
        <f t="shared" si="268"/>
        <v>36174.17</v>
      </c>
      <c r="U1156" s="60">
        <f t="shared" si="269"/>
        <v>36174.17</v>
      </c>
    </row>
    <row r="1157" spans="1:21" x14ac:dyDescent="0.2">
      <c r="A1157" s="115"/>
      <c r="B1157" s="139" t="s">
        <v>469</v>
      </c>
      <c r="C1157" s="140" t="s">
        <v>470</v>
      </c>
      <c r="D1157" s="141">
        <v>45999</v>
      </c>
      <c r="E1157" s="141">
        <v>46244</v>
      </c>
      <c r="F1157" s="57">
        <v>36174.17</v>
      </c>
      <c r="G1157" s="58">
        <f t="shared" si="255"/>
        <v>222</v>
      </c>
      <c r="H1157" s="142">
        <f t="shared" si="256"/>
        <v>0</v>
      </c>
      <c r="I1157" s="142">
        <f t="shared" si="257"/>
        <v>0</v>
      </c>
      <c r="J1157" s="143">
        <f t="shared" si="258"/>
        <v>0</v>
      </c>
      <c r="K1157" s="143">
        <f t="shared" si="259"/>
        <v>0</v>
      </c>
      <c r="L1157" s="142">
        <f t="shared" si="260"/>
        <v>0</v>
      </c>
      <c r="M1157" s="142">
        <f t="shared" si="261"/>
        <v>0</v>
      </c>
      <c r="N1157" s="142">
        <f t="shared" si="262"/>
        <v>0</v>
      </c>
      <c r="O1157" s="59">
        <f t="shared" si="263"/>
        <v>0</v>
      </c>
      <c r="P1157" s="142">
        <f t="shared" si="264"/>
        <v>0</v>
      </c>
      <c r="Q1157" s="142">
        <f t="shared" si="265"/>
        <v>0</v>
      </c>
      <c r="R1157" s="142">
        <f t="shared" si="266"/>
        <v>0</v>
      </c>
      <c r="S1157" s="142">
        <f t="shared" si="267"/>
        <v>0</v>
      </c>
      <c r="T1157" s="142">
        <f t="shared" si="268"/>
        <v>36174.17</v>
      </c>
      <c r="U1157" s="60">
        <f t="shared" si="269"/>
        <v>36174.17</v>
      </c>
    </row>
    <row r="1158" spans="1:21" x14ac:dyDescent="0.2">
      <c r="A1158" s="115"/>
      <c r="B1158" s="139" t="s">
        <v>469</v>
      </c>
      <c r="C1158" s="140" t="s">
        <v>470</v>
      </c>
      <c r="D1158" s="141">
        <v>45999</v>
      </c>
      <c r="E1158" s="141">
        <v>46275</v>
      </c>
      <c r="F1158" s="57">
        <v>36174.17</v>
      </c>
      <c r="G1158" s="58">
        <f t="shared" si="255"/>
        <v>253</v>
      </c>
      <c r="H1158" s="142">
        <f t="shared" si="256"/>
        <v>0</v>
      </c>
      <c r="I1158" s="142">
        <f t="shared" si="257"/>
        <v>0</v>
      </c>
      <c r="J1158" s="143">
        <f t="shared" si="258"/>
        <v>0</v>
      </c>
      <c r="K1158" s="143">
        <f t="shared" si="259"/>
        <v>0</v>
      </c>
      <c r="L1158" s="142">
        <f t="shared" si="260"/>
        <v>0</v>
      </c>
      <c r="M1158" s="142">
        <f t="shared" si="261"/>
        <v>0</v>
      </c>
      <c r="N1158" s="142">
        <f t="shared" si="262"/>
        <v>0</v>
      </c>
      <c r="O1158" s="59">
        <f t="shared" si="263"/>
        <v>0</v>
      </c>
      <c r="P1158" s="142">
        <f t="shared" si="264"/>
        <v>0</v>
      </c>
      <c r="Q1158" s="142">
        <f t="shared" si="265"/>
        <v>0</v>
      </c>
      <c r="R1158" s="142">
        <f t="shared" si="266"/>
        <v>0</v>
      </c>
      <c r="S1158" s="142">
        <f t="shared" si="267"/>
        <v>0</v>
      </c>
      <c r="T1158" s="142">
        <f t="shared" si="268"/>
        <v>36174.17</v>
      </c>
      <c r="U1158" s="60">
        <f t="shared" si="269"/>
        <v>36174.17</v>
      </c>
    </row>
    <row r="1159" spans="1:21" x14ac:dyDescent="0.2">
      <c r="A1159" s="115"/>
      <c r="B1159" s="139" t="s">
        <v>469</v>
      </c>
      <c r="C1159" s="140" t="s">
        <v>470</v>
      </c>
      <c r="D1159" s="141">
        <v>45999</v>
      </c>
      <c r="E1159" s="141">
        <v>46305</v>
      </c>
      <c r="F1159" s="57">
        <v>36174.17</v>
      </c>
      <c r="G1159" s="58">
        <f t="shared" ref="G1159:G1222" si="270">E1159-$H$3</f>
        <v>283</v>
      </c>
      <c r="H1159" s="142">
        <f t="shared" ref="H1159:H1222" si="271">IF(AND($G1159&gt;=-8000,$G1159&lt;=-181),$F1159,0)</f>
        <v>0</v>
      </c>
      <c r="I1159" s="142">
        <f t="shared" ref="I1159:I1222" si="272">IF(AND($G1159&gt;=-180,$G1159&lt;=-151),$F1159,0)</f>
        <v>0</v>
      </c>
      <c r="J1159" s="143">
        <f t="shared" ref="J1159:J1222" si="273">IF(AND($G1159&gt;=-150,$G1159&lt;=-121),$F1159,0)</f>
        <v>0</v>
      </c>
      <c r="K1159" s="143">
        <f t="shared" ref="K1159:K1222" si="274">IF(AND($G1159&gt;=-120,$G1159&lt;=-91),$F1159,0)</f>
        <v>0</v>
      </c>
      <c r="L1159" s="142">
        <f t="shared" ref="L1159:L1222" si="275">IF(AND($G1159&gt;=-90,$G1159&lt;=-61),$F1159,0)</f>
        <v>0</v>
      </c>
      <c r="M1159" s="142">
        <f t="shared" ref="M1159:M1222" si="276">IF(AND($G1159&gt;=-60,$G1159&lt;=-31),$F1159,0)</f>
        <v>0</v>
      </c>
      <c r="N1159" s="142">
        <f t="shared" ref="N1159:N1222" si="277">IF(AND($G1159&gt;=-30,$G1159&lt;=-1),$F1159,0)</f>
        <v>0</v>
      </c>
      <c r="O1159" s="59">
        <f t="shared" ref="O1159:O1222" si="278">SUM(H1159:N1159)</f>
        <v>0</v>
      </c>
      <c r="P1159" s="142">
        <f t="shared" ref="P1159:P1222" si="279">IF(AND($G1159&lt;=30,$G1159&gt;=0),$F1159,0)</f>
        <v>0</v>
      </c>
      <c r="Q1159" s="142">
        <f t="shared" ref="Q1159:Q1222" si="280">IF(AND($G1159&lt;=60,$G1159&gt;=31),$F1159,0)</f>
        <v>0</v>
      </c>
      <c r="R1159" s="142">
        <f t="shared" ref="R1159:R1222" si="281">IF(AND($G1159&lt;=90,$G1159&gt;=61),$F1159,0)</f>
        <v>0</v>
      </c>
      <c r="S1159" s="142">
        <f t="shared" ref="S1159:S1222" si="282">IF(AND($G1159&lt;=120,$G1159&gt;=91),$F1159,0)</f>
        <v>0</v>
      </c>
      <c r="T1159" s="142">
        <f t="shared" ref="T1159:T1222" si="283">IF(G1159&gt;=121,F1159,0)</f>
        <v>36174.17</v>
      </c>
      <c r="U1159" s="60">
        <f t="shared" ref="U1159:U1222" si="284">SUM(P1159:T1159)</f>
        <v>36174.17</v>
      </c>
    </row>
    <row r="1160" spans="1:21" x14ac:dyDescent="0.2">
      <c r="A1160" s="115"/>
      <c r="B1160" s="139" t="s">
        <v>469</v>
      </c>
      <c r="C1160" s="140" t="s">
        <v>470</v>
      </c>
      <c r="D1160" s="141">
        <v>45999</v>
      </c>
      <c r="E1160" s="141">
        <v>46336</v>
      </c>
      <c r="F1160" s="57">
        <v>36174.17</v>
      </c>
      <c r="G1160" s="58">
        <f t="shared" si="270"/>
        <v>314</v>
      </c>
      <c r="H1160" s="142">
        <f t="shared" si="271"/>
        <v>0</v>
      </c>
      <c r="I1160" s="142">
        <f t="shared" si="272"/>
        <v>0</v>
      </c>
      <c r="J1160" s="143">
        <f t="shared" si="273"/>
        <v>0</v>
      </c>
      <c r="K1160" s="143">
        <f t="shared" si="274"/>
        <v>0</v>
      </c>
      <c r="L1160" s="142">
        <f t="shared" si="275"/>
        <v>0</v>
      </c>
      <c r="M1160" s="142">
        <f t="shared" si="276"/>
        <v>0</v>
      </c>
      <c r="N1160" s="142">
        <f t="shared" si="277"/>
        <v>0</v>
      </c>
      <c r="O1160" s="59">
        <f t="shared" si="278"/>
        <v>0</v>
      </c>
      <c r="P1160" s="142">
        <f t="shared" si="279"/>
        <v>0</v>
      </c>
      <c r="Q1160" s="142">
        <f t="shared" si="280"/>
        <v>0</v>
      </c>
      <c r="R1160" s="142">
        <f t="shared" si="281"/>
        <v>0</v>
      </c>
      <c r="S1160" s="142">
        <f t="shared" si="282"/>
        <v>0</v>
      </c>
      <c r="T1160" s="142">
        <f t="shared" si="283"/>
        <v>36174.17</v>
      </c>
      <c r="U1160" s="60">
        <f t="shared" si="284"/>
        <v>36174.17</v>
      </c>
    </row>
    <row r="1161" spans="1:21" x14ac:dyDescent="0.2">
      <c r="A1161" s="115"/>
      <c r="B1161" s="139" t="s">
        <v>469</v>
      </c>
      <c r="C1161" s="140" t="s">
        <v>470</v>
      </c>
      <c r="D1161" s="141">
        <v>45999</v>
      </c>
      <c r="E1161" s="141">
        <v>46366</v>
      </c>
      <c r="F1161" s="57">
        <v>36174.17</v>
      </c>
      <c r="G1161" s="58">
        <f t="shared" si="270"/>
        <v>344</v>
      </c>
      <c r="H1161" s="142">
        <f t="shared" si="271"/>
        <v>0</v>
      </c>
      <c r="I1161" s="142">
        <f t="shared" si="272"/>
        <v>0</v>
      </c>
      <c r="J1161" s="143">
        <f t="shared" si="273"/>
        <v>0</v>
      </c>
      <c r="K1161" s="143">
        <f t="shared" si="274"/>
        <v>0</v>
      </c>
      <c r="L1161" s="142">
        <f t="shared" si="275"/>
        <v>0</v>
      </c>
      <c r="M1161" s="142">
        <f t="shared" si="276"/>
        <v>0</v>
      </c>
      <c r="N1161" s="142">
        <f t="shared" si="277"/>
        <v>0</v>
      </c>
      <c r="O1161" s="59">
        <f t="shared" si="278"/>
        <v>0</v>
      </c>
      <c r="P1161" s="142">
        <f t="shared" si="279"/>
        <v>0</v>
      </c>
      <c r="Q1161" s="142">
        <f t="shared" si="280"/>
        <v>0</v>
      </c>
      <c r="R1161" s="142">
        <f t="shared" si="281"/>
        <v>0</v>
      </c>
      <c r="S1161" s="142">
        <f t="shared" si="282"/>
        <v>0</v>
      </c>
      <c r="T1161" s="142">
        <f t="shared" si="283"/>
        <v>36174.17</v>
      </c>
      <c r="U1161" s="60">
        <f t="shared" si="284"/>
        <v>36174.17</v>
      </c>
    </row>
    <row r="1162" spans="1:21" x14ac:dyDescent="0.2">
      <c r="A1162" s="115"/>
      <c r="B1162" s="139" t="s">
        <v>469</v>
      </c>
      <c r="C1162" s="140" t="s">
        <v>470</v>
      </c>
      <c r="D1162" s="141">
        <v>45999</v>
      </c>
      <c r="E1162" s="141">
        <v>46397</v>
      </c>
      <c r="F1162" s="57">
        <v>36174.120000000003</v>
      </c>
      <c r="G1162" s="58">
        <f t="shared" si="270"/>
        <v>375</v>
      </c>
      <c r="H1162" s="142">
        <f t="shared" si="271"/>
        <v>0</v>
      </c>
      <c r="I1162" s="142">
        <f t="shared" si="272"/>
        <v>0</v>
      </c>
      <c r="J1162" s="143">
        <f t="shared" si="273"/>
        <v>0</v>
      </c>
      <c r="K1162" s="143">
        <f t="shared" si="274"/>
        <v>0</v>
      </c>
      <c r="L1162" s="142">
        <f t="shared" si="275"/>
        <v>0</v>
      </c>
      <c r="M1162" s="142">
        <f t="shared" si="276"/>
        <v>0</v>
      </c>
      <c r="N1162" s="142">
        <f t="shared" si="277"/>
        <v>0</v>
      </c>
      <c r="O1162" s="59">
        <f t="shared" si="278"/>
        <v>0</v>
      </c>
      <c r="P1162" s="142">
        <f t="shared" si="279"/>
        <v>0</v>
      </c>
      <c r="Q1162" s="142">
        <f t="shared" si="280"/>
        <v>0</v>
      </c>
      <c r="R1162" s="142">
        <f t="shared" si="281"/>
        <v>0</v>
      </c>
      <c r="S1162" s="142">
        <f t="shared" si="282"/>
        <v>0</v>
      </c>
      <c r="T1162" s="142">
        <f t="shared" si="283"/>
        <v>36174.120000000003</v>
      </c>
      <c r="U1162" s="60">
        <f t="shared" si="284"/>
        <v>36174.120000000003</v>
      </c>
    </row>
    <row r="1163" spans="1:21" x14ac:dyDescent="0.2">
      <c r="A1163" s="115"/>
      <c r="B1163" s="139" t="s">
        <v>1015</v>
      </c>
      <c r="C1163" s="140" t="s">
        <v>1016</v>
      </c>
      <c r="D1163" s="141">
        <v>46013</v>
      </c>
      <c r="E1163" s="141">
        <v>46042</v>
      </c>
      <c r="F1163" s="57">
        <v>30387.5</v>
      </c>
      <c r="G1163" s="58">
        <f t="shared" si="270"/>
        <v>20</v>
      </c>
      <c r="H1163" s="142">
        <f t="shared" si="271"/>
        <v>0</v>
      </c>
      <c r="I1163" s="142">
        <f t="shared" si="272"/>
        <v>0</v>
      </c>
      <c r="J1163" s="143">
        <f t="shared" si="273"/>
        <v>0</v>
      </c>
      <c r="K1163" s="143">
        <f t="shared" si="274"/>
        <v>0</v>
      </c>
      <c r="L1163" s="142">
        <f t="shared" si="275"/>
        <v>0</v>
      </c>
      <c r="M1163" s="142">
        <f t="shared" si="276"/>
        <v>0</v>
      </c>
      <c r="N1163" s="142">
        <f t="shared" si="277"/>
        <v>0</v>
      </c>
      <c r="O1163" s="59">
        <f t="shared" si="278"/>
        <v>0</v>
      </c>
      <c r="P1163" s="142">
        <f t="shared" si="279"/>
        <v>30387.5</v>
      </c>
      <c r="Q1163" s="142">
        <f t="shared" si="280"/>
        <v>0</v>
      </c>
      <c r="R1163" s="142">
        <f t="shared" si="281"/>
        <v>0</v>
      </c>
      <c r="S1163" s="142">
        <f t="shared" si="282"/>
        <v>0</v>
      </c>
      <c r="T1163" s="142">
        <f t="shared" si="283"/>
        <v>0</v>
      </c>
      <c r="U1163" s="60">
        <f t="shared" si="284"/>
        <v>30387.5</v>
      </c>
    </row>
    <row r="1164" spans="1:21" x14ac:dyDescent="0.2">
      <c r="A1164" s="115"/>
      <c r="B1164" s="139" t="s">
        <v>1015</v>
      </c>
      <c r="C1164" s="140" t="s">
        <v>1016</v>
      </c>
      <c r="D1164" s="141">
        <v>46013</v>
      </c>
      <c r="E1164" s="141">
        <v>46072</v>
      </c>
      <c r="F1164" s="57">
        <v>30387.5</v>
      </c>
      <c r="G1164" s="58">
        <f t="shared" si="270"/>
        <v>50</v>
      </c>
      <c r="H1164" s="142">
        <f t="shared" si="271"/>
        <v>0</v>
      </c>
      <c r="I1164" s="142">
        <f t="shared" si="272"/>
        <v>0</v>
      </c>
      <c r="J1164" s="143">
        <f t="shared" si="273"/>
        <v>0</v>
      </c>
      <c r="K1164" s="143">
        <f t="shared" si="274"/>
        <v>0</v>
      </c>
      <c r="L1164" s="142">
        <f t="shared" si="275"/>
        <v>0</v>
      </c>
      <c r="M1164" s="142">
        <f t="shared" si="276"/>
        <v>0</v>
      </c>
      <c r="N1164" s="142">
        <f t="shared" si="277"/>
        <v>0</v>
      </c>
      <c r="O1164" s="59">
        <f t="shared" si="278"/>
        <v>0</v>
      </c>
      <c r="P1164" s="142">
        <f t="shared" si="279"/>
        <v>0</v>
      </c>
      <c r="Q1164" s="142">
        <f t="shared" si="280"/>
        <v>30387.5</v>
      </c>
      <c r="R1164" s="142">
        <f t="shared" si="281"/>
        <v>0</v>
      </c>
      <c r="S1164" s="142">
        <f t="shared" si="282"/>
        <v>0</v>
      </c>
      <c r="T1164" s="142">
        <f t="shared" si="283"/>
        <v>0</v>
      </c>
      <c r="U1164" s="60">
        <f t="shared" si="284"/>
        <v>30387.5</v>
      </c>
    </row>
    <row r="1165" spans="1:21" x14ac:dyDescent="0.2">
      <c r="A1165" s="115"/>
      <c r="B1165" s="139" t="s">
        <v>1015</v>
      </c>
      <c r="C1165" s="140" t="s">
        <v>1016</v>
      </c>
      <c r="D1165" s="141">
        <v>46013</v>
      </c>
      <c r="E1165" s="141">
        <v>46102</v>
      </c>
      <c r="F1165" s="57">
        <v>30387.5</v>
      </c>
      <c r="G1165" s="58">
        <f t="shared" si="270"/>
        <v>80</v>
      </c>
      <c r="H1165" s="142">
        <f t="shared" si="271"/>
        <v>0</v>
      </c>
      <c r="I1165" s="142">
        <f t="shared" si="272"/>
        <v>0</v>
      </c>
      <c r="J1165" s="143">
        <f t="shared" si="273"/>
        <v>0</v>
      </c>
      <c r="K1165" s="143">
        <f t="shared" si="274"/>
        <v>0</v>
      </c>
      <c r="L1165" s="142">
        <f t="shared" si="275"/>
        <v>0</v>
      </c>
      <c r="M1165" s="142">
        <f t="shared" si="276"/>
        <v>0</v>
      </c>
      <c r="N1165" s="142">
        <f t="shared" si="277"/>
        <v>0</v>
      </c>
      <c r="O1165" s="59">
        <f t="shared" si="278"/>
        <v>0</v>
      </c>
      <c r="P1165" s="142">
        <f t="shared" si="279"/>
        <v>0</v>
      </c>
      <c r="Q1165" s="142">
        <f t="shared" si="280"/>
        <v>0</v>
      </c>
      <c r="R1165" s="142">
        <f t="shared" si="281"/>
        <v>30387.5</v>
      </c>
      <c r="S1165" s="142">
        <f t="shared" si="282"/>
        <v>0</v>
      </c>
      <c r="T1165" s="142">
        <f t="shared" si="283"/>
        <v>0</v>
      </c>
      <c r="U1165" s="60">
        <f t="shared" si="284"/>
        <v>30387.5</v>
      </c>
    </row>
    <row r="1166" spans="1:21" x14ac:dyDescent="0.2">
      <c r="A1166" s="115"/>
      <c r="B1166" s="139" t="s">
        <v>1015</v>
      </c>
      <c r="C1166" s="140" t="s">
        <v>1016</v>
      </c>
      <c r="D1166" s="141">
        <v>46013</v>
      </c>
      <c r="E1166" s="141">
        <v>46132</v>
      </c>
      <c r="F1166" s="57">
        <v>30387.5</v>
      </c>
      <c r="G1166" s="58">
        <f t="shared" si="270"/>
        <v>110</v>
      </c>
      <c r="H1166" s="142">
        <f t="shared" si="271"/>
        <v>0</v>
      </c>
      <c r="I1166" s="142">
        <f t="shared" si="272"/>
        <v>0</v>
      </c>
      <c r="J1166" s="143">
        <f t="shared" si="273"/>
        <v>0</v>
      </c>
      <c r="K1166" s="143">
        <f t="shared" si="274"/>
        <v>0</v>
      </c>
      <c r="L1166" s="142">
        <f t="shared" si="275"/>
        <v>0</v>
      </c>
      <c r="M1166" s="142">
        <f t="shared" si="276"/>
        <v>0</v>
      </c>
      <c r="N1166" s="142">
        <f t="shared" si="277"/>
        <v>0</v>
      </c>
      <c r="O1166" s="59">
        <f t="shared" si="278"/>
        <v>0</v>
      </c>
      <c r="P1166" s="142">
        <f t="shared" si="279"/>
        <v>0</v>
      </c>
      <c r="Q1166" s="142">
        <f t="shared" si="280"/>
        <v>0</v>
      </c>
      <c r="R1166" s="142">
        <f t="shared" si="281"/>
        <v>0</v>
      </c>
      <c r="S1166" s="142">
        <f t="shared" si="282"/>
        <v>30387.5</v>
      </c>
      <c r="T1166" s="142">
        <f t="shared" si="283"/>
        <v>0</v>
      </c>
      <c r="U1166" s="60">
        <f t="shared" si="284"/>
        <v>30387.5</v>
      </c>
    </row>
    <row r="1167" spans="1:21" x14ac:dyDescent="0.2">
      <c r="A1167" s="115"/>
      <c r="B1167" s="139" t="s">
        <v>1015</v>
      </c>
      <c r="C1167" s="140" t="s">
        <v>1016</v>
      </c>
      <c r="D1167" s="141">
        <v>46013</v>
      </c>
      <c r="E1167" s="141">
        <v>46162</v>
      </c>
      <c r="F1167" s="57">
        <v>30387.5</v>
      </c>
      <c r="G1167" s="58">
        <f t="shared" si="270"/>
        <v>140</v>
      </c>
      <c r="H1167" s="142">
        <f t="shared" si="271"/>
        <v>0</v>
      </c>
      <c r="I1167" s="142">
        <f t="shared" si="272"/>
        <v>0</v>
      </c>
      <c r="J1167" s="143">
        <f t="shared" si="273"/>
        <v>0</v>
      </c>
      <c r="K1167" s="143">
        <f t="shared" si="274"/>
        <v>0</v>
      </c>
      <c r="L1167" s="142">
        <f t="shared" si="275"/>
        <v>0</v>
      </c>
      <c r="M1167" s="142">
        <f t="shared" si="276"/>
        <v>0</v>
      </c>
      <c r="N1167" s="142">
        <f t="shared" si="277"/>
        <v>0</v>
      </c>
      <c r="O1167" s="59">
        <f t="shared" si="278"/>
        <v>0</v>
      </c>
      <c r="P1167" s="142">
        <f t="shared" si="279"/>
        <v>0</v>
      </c>
      <c r="Q1167" s="142">
        <f t="shared" si="280"/>
        <v>0</v>
      </c>
      <c r="R1167" s="142">
        <f t="shared" si="281"/>
        <v>0</v>
      </c>
      <c r="S1167" s="142">
        <f t="shared" si="282"/>
        <v>0</v>
      </c>
      <c r="T1167" s="142">
        <f t="shared" si="283"/>
        <v>30387.5</v>
      </c>
      <c r="U1167" s="60">
        <f t="shared" si="284"/>
        <v>30387.5</v>
      </c>
    </row>
    <row r="1168" spans="1:21" x14ac:dyDescent="0.2">
      <c r="A1168" s="115"/>
      <c r="B1168" s="139" t="s">
        <v>1015</v>
      </c>
      <c r="C1168" s="140" t="s">
        <v>1016</v>
      </c>
      <c r="D1168" s="141">
        <v>46013</v>
      </c>
      <c r="E1168" s="141">
        <v>46192</v>
      </c>
      <c r="F1168" s="57">
        <v>30387.5</v>
      </c>
      <c r="G1168" s="58">
        <f t="shared" si="270"/>
        <v>170</v>
      </c>
      <c r="H1168" s="142">
        <f t="shared" si="271"/>
        <v>0</v>
      </c>
      <c r="I1168" s="142">
        <f t="shared" si="272"/>
        <v>0</v>
      </c>
      <c r="J1168" s="143">
        <f t="shared" si="273"/>
        <v>0</v>
      </c>
      <c r="K1168" s="143">
        <f t="shared" si="274"/>
        <v>0</v>
      </c>
      <c r="L1168" s="142">
        <f t="shared" si="275"/>
        <v>0</v>
      </c>
      <c r="M1168" s="142">
        <f t="shared" si="276"/>
        <v>0</v>
      </c>
      <c r="N1168" s="142">
        <f t="shared" si="277"/>
        <v>0</v>
      </c>
      <c r="O1168" s="59">
        <f t="shared" si="278"/>
        <v>0</v>
      </c>
      <c r="P1168" s="142">
        <f t="shared" si="279"/>
        <v>0</v>
      </c>
      <c r="Q1168" s="142">
        <f t="shared" si="280"/>
        <v>0</v>
      </c>
      <c r="R1168" s="142">
        <f t="shared" si="281"/>
        <v>0</v>
      </c>
      <c r="S1168" s="142">
        <f t="shared" si="282"/>
        <v>0</v>
      </c>
      <c r="T1168" s="142">
        <f t="shared" si="283"/>
        <v>30387.5</v>
      </c>
      <c r="U1168" s="60">
        <f t="shared" si="284"/>
        <v>30387.5</v>
      </c>
    </row>
    <row r="1169" spans="1:21" x14ac:dyDescent="0.2">
      <c r="A1169" s="115"/>
      <c r="B1169" s="139" t="s">
        <v>1015</v>
      </c>
      <c r="C1169" s="140" t="s">
        <v>1016</v>
      </c>
      <c r="D1169" s="141">
        <v>46013</v>
      </c>
      <c r="E1169" s="141">
        <v>46222</v>
      </c>
      <c r="F1169" s="57">
        <v>30387.5</v>
      </c>
      <c r="G1169" s="58">
        <f t="shared" si="270"/>
        <v>200</v>
      </c>
      <c r="H1169" s="142">
        <f t="shared" si="271"/>
        <v>0</v>
      </c>
      <c r="I1169" s="142">
        <f t="shared" si="272"/>
        <v>0</v>
      </c>
      <c r="J1169" s="143">
        <f t="shared" si="273"/>
        <v>0</v>
      </c>
      <c r="K1169" s="143">
        <f t="shared" si="274"/>
        <v>0</v>
      </c>
      <c r="L1169" s="142">
        <f t="shared" si="275"/>
        <v>0</v>
      </c>
      <c r="M1169" s="142">
        <f t="shared" si="276"/>
        <v>0</v>
      </c>
      <c r="N1169" s="142">
        <f t="shared" si="277"/>
        <v>0</v>
      </c>
      <c r="O1169" s="59">
        <f t="shared" si="278"/>
        <v>0</v>
      </c>
      <c r="P1169" s="142">
        <f t="shared" si="279"/>
        <v>0</v>
      </c>
      <c r="Q1169" s="142">
        <f t="shared" si="280"/>
        <v>0</v>
      </c>
      <c r="R1169" s="142">
        <f t="shared" si="281"/>
        <v>0</v>
      </c>
      <c r="S1169" s="142">
        <f t="shared" si="282"/>
        <v>0</v>
      </c>
      <c r="T1169" s="142">
        <f t="shared" si="283"/>
        <v>30387.5</v>
      </c>
      <c r="U1169" s="60">
        <f t="shared" si="284"/>
        <v>30387.5</v>
      </c>
    </row>
    <row r="1170" spans="1:21" x14ac:dyDescent="0.2">
      <c r="A1170" s="115"/>
      <c r="B1170" s="139" t="s">
        <v>1015</v>
      </c>
      <c r="C1170" s="140" t="s">
        <v>1016</v>
      </c>
      <c r="D1170" s="141">
        <v>46013</v>
      </c>
      <c r="E1170" s="141">
        <v>46252</v>
      </c>
      <c r="F1170" s="57">
        <v>30387.5</v>
      </c>
      <c r="G1170" s="58">
        <f t="shared" si="270"/>
        <v>230</v>
      </c>
      <c r="H1170" s="142">
        <f t="shared" si="271"/>
        <v>0</v>
      </c>
      <c r="I1170" s="142">
        <f t="shared" si="272"/>
        <v>0</v>
      </c>
      <c r="J1170" s="143">
        <f t="shared" si="273"/>
        <v>0</v>
      </c>
      <c r="K1170" s="143">
        <f t="shared" si="274"/>
        <v>0</v>
      </c>
      <c r="L1170" s="142">
        <f t="shared" si="275"/>
        <v>0</v>
      </c>
      <c r="M1170" s="142">
        <f t="shared" si="276"/>
        <v>0</v>
      </c>
      <c r="N1170" s="142">
        <f t="shared" si="277"/>
        <v>0</v>
      </c>
      <c r="O1170" s="59">
        <f t="shared" si="278"/>
        <v>0</v>
      </c>
      <c r="P1170" s="142">
        <f t="shared" si="279"/>
        <v>0</v>
      </c>
      <c r="Q1170" s="142">
        <f t="shared" si="280"/>
        <v>0</v>
      </c>
      <c r="R1170" s="142">
        <f t="shared" si="281"/>
        <v>0</v>
      </c>
      <c r="S1170" s="142">
        <f t="shared" si="282"/>
        <v>0</v>
      </c>
      <c r="T1170" s="142">
        <f t="shared" si="283"/>
        <v>30387.5</v>
      </c>
      <c r="U1170" s="60">
        <f t="shared" si="284"/>
        <v>30387.5</v>
      </c>
    </row>
    <row r="1171" spans="1:21" x14ac:dyDescent="0.2">
      <c r="A1171" s="115"/>
      <c r="B1171" s="139" t="s">
        <v>503</v>
      </c>
      <c r="C1171" s="140" t="s">
        <v>303</v>
      </c>
      <c r="D1171" s="141">
        <v>45356</v>
      </c>
      <c r="E1171" s="141">
        <v>45446</v>
      </c>
      <c r="F1171" s="57">
        <v>62100</v>
      </c>
      <c r="G1171" s="58">
        <f t="shared" si="270"/>
        <v>-576</v>
      </c>
      <c r="H1171" s="145">
        <f t="shared" si="271"/>
        <v>62100</v>
      </c>
      <c r="I1171" s="142">
        <f t="shared" si="272"/>
        <v>0</v>
      </c>
      <c r="J1171" s="143">
        <f t="shared" si="273"/>
        <v>0</v>
      </c>
      <c r="K1171" s="143">
        <f t="shared" si="274"/>
        <v>0</v>
      </c>
      <c r="L1171" s="142">
        <f t="shared" si="275"/>
        <v>0</v>
      </c>
      <c r="M1171" s="142">
        <f t="shared" si="276"/>
        <v>0</v>
      </c>
      <c r="N1171" s="142">
        <f t="shared" si="277"/>
        <v>0</v>
      </c>
      <c r="O1171" s="59">
        <f t="shared" si="278"/>
        <v>62100</v>
      </c>
      <c r="P1171" s="142">
        <f t="shared" si="279"/>
        <v>0</v>
      </c>
      <c r="Q1171" s="142">
        <f t="shared" si="280"/>
        <v>0</v>
      </c>
      <c r="R1171" s="142">
        <f t="shared" si="281"/>
        <v>0</v>
      </c>
      <c r="S1171" s="142">
        <f t="shared" si="282"/>
        <v>0</v>
      </c>
      <c r="T1171" s="142">
        <f t="shared" si="283"/>
        <v>0</v>
      </c>
      <c r="U1171" s="60">
        <f t="shared" si="284"/>
        <v>0</v>
      </c>
    </row>
    <row r="1172" spans="1:21" x14ac:dyDescent="0.2">
      <c r="A1172" s="115"/>
      <c r="B1172" s="139" t="s">
        <v>503</v>
      </c>
      <c r="C1172" s="140" t="s">
        <v>834</v>
      </c>
      <c r="D1172" s="141">
        <v>45945</v>
      </c>
      <c r="E1172" s="141">
        <v>46035</v>
      </c>
      <c r="F1172" s="57">
        <v>55750</v>
      </c>
      <c r="G1172" s="58">
        <f t="shared" si="270"/>
        <v>13</v>
      </c>
      <c r="H1172" s="142">
        <f t="shared" si="271"/>
        <v>0</v>
      </c>
      <c r="I1172" s="142">
        <f t="shared" si="272"/>
        <v>0</v>
      </c>
      <c r="J1172" s="143">
        <f t="shared" si="273"/>
        <v>0</v>
      </c>
      <c r="K1172" s="143">
        <f t="shared" si="274"/>
        <v>0</v>
      </c>
      <c r="L1172" s="142">
        <f t="shared" si="275"/>
        <v>0</v>
      </c>
      <c r="M1172" s="142">
        <f t="shared" si="276"/>
        <v>0</v>
      </c>
      <c r="N1172" s="142">
        <f t="shared" si="277"/>
        <v>0</v>
      </c>
      <c r="O1172" s="59">
        <f t="shared" si="278"/>
        <v>0</v>
      </c>
      <c r="P1172" s="145">
        <f t="shared" si="279"/>
        <v>55750</v>
      </c>
      <c r="Q1172" s="142">
        <f t="shared" si="280"/>
        <v>0</v>
      </c>
      <c r="R1172" s="142">
        <f t="shared" si="281"/>
        <v>0</v>
      </c>
      <c r="S1172" s="142">
        <f t="shared" si="282"/>
        <v>0</v>
      </c>
      <c r="T1172" s="142">
        <f t="shared" si="283"/>
        <v>0</v>
      </c>
      <c r="U1172" s="60">
        <f t="shared" si="284"/>
        <v>55750</v>
      </c>
    </row>
    <row r="1173" spans="1:21" x14ac:dyDescent="0.2">
      <c r="A1173" s="115"/>
      <c r="B1173" s="139" t="s">
        <v>503</v>
      </c>
      <c r="C1173" s="140" t="s">
        <v>843</v>
      </c>
      <c r="D1173" s="141">
        <v>45961</v>
      </c>
      <c r="E1173" s="141">
        <v>46051</v>
      </c>
      <c r="F1173" s="57">
        <v>154100</v>
      </c>
      <c r="G1173" s="58">
        <f t="shared" si="270"/>
        <v>29</v>
      </c>
      <c r="H1173" s="142">
        <f t="shared" si="271"/>
        <v>0</v>
      </c>
      <c r="I1173" s="142">
        <f t="shared" si="272"/>
        <v>0</v>
      </c>
      <c r="J1173" s="143">
        <f t="shared" si="273"/>
        <v>0</v>
      </c>
      <c r="K1173" s="143">
        <f t="shared" si="274"/>
        <v>0</v>
      </c>
      <c r="L1173" s="142">
        <f t="shared" si="275"/>
        <v>0</v>
      </c>
      <c r="M1173" s="142">
        <f t="shared" si="276"/>
        <v>0</v>
      </c>
      <c r="N1173" s="142">
        <f t="shared" si="277"/>
        <v>0</v>
      </c>
      <c r="O1173" s="59">
        <f t="shared" si="278"/>
        <v>0</v>
      </c>
      <c r="P1173" s="142">
        <f t="shared" si="279"/>
        <v>154100</v>
      </c>
      <c r="Q1173" s="142">
        <f t="shared" si="280"/>
        <v>0</v>
      </c>
      <c r="R1173" s="142">
        <f t="shared" si="281"/>
        <v>0</v>
      </c>
      <c r="S1173" s="142">
        <f t="shared" si="282"/>
        <v>0</v>
      </c>
      <c r="T1173" s="142">
        <f t="shared" si="283"/>
        <v>0</v>
      </c>
      <c r="U1173" s="60">
        <f t="shared" si="284"/>
        <v>154100</v>
      </c>
    </row>
    <row r="1174" spans="1:21" x14ac:dyDescent="0.2">
      <c r="A1174" s="115"/>
      <c r="B1174" s="139" t="s">
        <v>503</v>
      </c>
      <c r="C1174" s="140" t="s">
        <v>835</v>
      </c>
      <c r="D1174" s="141">
        <v>45961</v>
      </c>
      <c r="E1174" s="141">
        <v>46051</v>
      </c>
      <c r="F1174" s="57">
        <v>55750</v>
      </c>
      <c r="G1174" s="58">
        <f t="shared" si="270"/>
        <v>29</v>
      </c>
      <c r="H1174" s="142">
        <f t="shared" si="271"/>
        <v>0</v>
      </c>
      <c r="I1174" s="142">
        <f t="shared" si="272"/>
        <v>0</v>
      </c>
      <c r="J1174" s="143">
        <f t="shared" si="273"/>
        <v>0</v>
      </c>
      <c r="K1174" s="143">
        <f t="shared" si="274"/>
        <v>0</v>
      </c>
      <c r="L1174" s="142">
        <f t="shared" si="275"/>
        <v>0</v>
      </c>
      <c r="M1174" s="142">
        <f t="shared" si="276"/>
        <v>0</v>
      </c>
      <c r="N1174" s="142">
        <f t="shared" si="277"/>
        <v>0</v>
      </c>
      <c r="O1174" s="59">
        <f t="shared" si="278"/>
        <v>0</v>
      </c>
      <c r="P1174" s="142">
        <f t="shared" si="279"/>
        <v>55750</v>
      </c>
      <c r="Q1174" s="142">
        <f t="shared" si="280"/>
        <v>0</v>
      </c>
      <c r="R1174" s="142">
        <f t="shared" si="281"/>
        <v>0</v>
      </c>
      <c r="S1174" s="142">
        <f t="shared" si="282"/>
        <v>0</v>
      </c>
      <c r="T1174" s="142">
        <f t="shared" si="283"/>
        <v>0</v>
      </c>
      <c r="U1174" s="60">
        <f t="shared" si="284"/>
        <v>55750</v>
      </c>
    </row>
    <row r="1175" spans="1:21" x14ac:dyDescent="0.2">
      <c r="A1175" s="115"/>
      <c r="B1175" s="139" t="s">
        <v>503</v>
      </c>
      <c r="C1175" s="140" t="s">
        <v>919</v>
      </c>
      <c r="D1175" s="141">
        <v>45988</v>
      </c>
      <c r="E1175" s="141">
        <v>46078</v>
      </c>
      <c r="F1175" s="57">
        <v>64650</v>
      </c>
      <c r="G1175" s="58">
        <f t="shared" si="270"/>
        <v>56</v>
      </c>
      <c r="H1175" s="142">
        <f t="shared" si="271"/>
        <v>0</v>
      </c>
      <c r="I1175" s="142">
        <f t="shared" si="272"/>
        <v>0</v>
      </c>
      <c r="J1175" s="143">
        <f t="shared" si="273"/>
        <v>0</v>
      </c>
      <c r="K1175" s="143">
        <f t="shared" si="274"/>
        <v>0</v>
      </c>
      <c r="L1175" s="142">
        <f t="shared" si="275"/>
        <v>0</v>
      </c>
      <c r="M1175" s="142">
        <f t="shared" si="276"/>
        <v>0</v>
      </c>
      <c r="N1175" s="142">
        <f t="shared" si="277"/>
        <v>0</v>
      </c>
      <c r="O1175" s="59">
        <f t="shared" si="278"/>
        <v>0</v>
      </c>
      <c r="P1175" s="142">
        <f t="shared" si="279"/>
        <v>0</v>
      </c>
      <c r="Q1175" s="145">
        <f t="shared" si="280"/>
        <v>64650</v>
      </c>
      <c r="R1175" s="142">
        <f t="shared" si="281"/>
        <v>0</v>
      </c>
      <c r="S1175" s="142">
        <f t="shared" si="282"/>
        <v>0</v>
      </c>
      <c r="T1175" s="142">
        <f t="shared" si="283"/>
        <v>0</v>
      </c>
      <c r="U1175" s="60">
        <f t="shared" si="284"/>
        <v>64650</v>
      </c>
    </row>
    <row r="1176" spans="1:21" x14ac:dyDescent="0.2">
      <c r="A1176" s="115"/>
      <c r="B1176" s="139" t="s">
        <v>503</v>
      </c>
      <c r="C1176" s="140" t="s">
        <v>920</v>
      </c>
      <c r="D1176" s="141">
        <v>45989</v>
      </c>
      <c r="E1176" s="141">
        <v>46079</v>
      </c>
      <c r="F1176" s="57">
        <v>59500</v>
      </c>
      <c r="G1176" s="58">
        <f t="shared" si="270"/>
        <v>57</v>
      </c>
      <c r="H1176" s="142">
        <f t="shared" si="271"/>
        <v>0</v>
      </c>
      <c r="I1176" s="142">
        <f t="shared" si="272"/>
        <v>0</v>
      </c>
      <c r="J1176" s="143">
        <f t="shared" si="273"/>
        <v>0</v>
      </c>
      <c r="K1176" s="143">
        <f t="shared" si="274"/>
        <v>0</v>
      </c>
      <c r="L1176" s="142">
        <f t="shared" si="275"/>
        <v>0</v>
      </c>
      <c r="M1176" s="142">
        <f t="shared" si="276"/>
        <v>0</v>
      </c>
      <c r="N1176" s="142">
        <f t="shared" si="277"/>
        <v>0</v>
      </c>
      <c r="O1176" s="59">
        <f t="shared" si="278"/>
        <v>0</v>
      </c>
      <c r="P1176" s="142">
        <f t="shared" si="279"/>
        <v>0</v>
      </c>
      <c r="Q1176" s="145">
        <f t="shared" si="280"/>
        <v>59500</v>
      </c>
      <c r="R1176" s="142">
        <f t="shared" si="281"/>
        <v>0</v>
      </c>
      <c r="S1176" s="142">
        <f t="shared" si="282"/>
        <v>0</v>
      </c>
      <c r="T1176" s="142">
        <f t="shared" si="283"/>
        <v>0</v>
      </c>
      <c r="U1176" s="60">
        <f t="shared" si="284"/>
        <v>59500</v>
      </c>
    </row>
    <row r="1177" spans="1:21" x14ac:dyDescent="0.2">
      <c r="A1177" s="115"/>
      <c r="B1177" s="139" t="s">
        <v>1017</v>
      </c>
      <c r="C1177" s="140" t="s">
        <v>1018</v>
      </c>
      <c r="D1177" s="141">
        <v>46014</v>
      </c>
      <c r="E1177" s="141">
        <v>46044</v>
      </c>
      <c r="F1177" s="57">
        <v>153000</v>
      </c>
      <c r="G1177" s="58">
        <f t="shared" si="270"/>
        <v>22</v>
      </c>
      <c r="H1177" s="142">
        <f t="shared" si="271"/>
        <v>0</v>
      </c>
      <c r="I1177" s="142">
        <f t="shared" si="272"/>
        <v>0</v>
      </c>
      <c r="J1177" s="143">
        <f t="shared" si="273"/>
        <v>0</v>
      </c>
      <c r="K1177" s="143">
        <f t="shared" si="274"/>
        <v>0</v>
      </c>
      <c r="L1177" s="142">
        <f t="shared" si="275"/>
        <v>0</v>
      </c>
      <c r="M1177" s="142">
        <f t="shared" si="276"/>
        <v>0</v>
      </c>
      <c r="N1177" s="142">
        <f t="shared" si="277"/>
        <v>0</v>
      </c>
      <c r="O1177" s="59">
        <f t="shared" si="278"/>
        <v>0</v>
      </c>
      <c r="P1177" s="142">
        <f t="shared" si="279"/>
        <v>153000</v>
      </c>
      <c r="Q1177" s="142">
        <f t="shared" si="280"/>
        <v>0</v>
      </c>
      <c r="R1177" s="142">
        <f t="shared" si="281"/>
        <v>0</v>
      </c>
      <c r="S1177" s="142">
        <f t="shared" si="282"/>
        <v>0</v>
      </c>
      <c r="T1177" s="142">
        <f t="shared" si="283"/>
        <v>0</v>
      </c>
      <c r="U1177" s="60">
        <f t="shared" si="284"/>
        <v>153000</v>
      </c>
    </row>
    <row r="1178" spans="1:21" x14ac:dyDescent="0.2">
      <c r="A1178" s="115"/>
      <c r="B1178" s="139" t="s">
        <v>68</v>
      </c>
      <c r="C1178" s="140" t="s">
        <v>772</v>
      </c>
      <c r="D1178" s="141">
        <v>45932</v>
      </c>
      <c r="E1178" s="141">
        <v>46034</v>
      </c>
      <c r="F1178" s="57">
        <v>10974.02</v>
      </c>
      <c r="G1178" s="58">
        <f t="shared" si="270"/>
        <v>12</v>
      </c>
      <c r="H1178" s="142">
        <f t="shared" si="271"/>
        <v>0</v>
      </c>
      <c r="I1178" s="142">
        <f t="shared" si="272"/>
        <v>0</v>
      </c>
      <c r="J1178" s="143">
        <f t="shared" si="273"/>
        <v>0</v>
      </c>
      <c r="K1178" s="143">
        <f t="shared" si="274"/>
        <v>0</v>
      </c>
      <c r="L1178" s="142">
        <f t="shared" si="275"/>
        <v>0</v>
      </c>
      <c r="M1178" s="142">
        <f t="shared" si="276"/>
        <v>0</v>
      </c>
      <c r="N1178" s="142">
        <f t="shared" si="277"/>
        <v>0</v>
      </c>
      <c r="O1178" s="59">
        <f t="shared" si="278"/>
        <v>0</v>
      </c>
      <c r="P1178" s="142">
        <f t="shared" si="279"/>
        <v>10974.02</v>
      </c>
      <c r="Q1178" s="142">
        <f t="shared" si="280"/>
        <v>0</v>
      </c>
      <c r="R1178" s="142">
        <f t="shared" si="281"/>
        <v>0</v>
      </c>
      <c r="S1178" s="142">
        <f t="shared" si="282"/>
        <v>0</v>
      </c>
      <c r="T1178" s="142">
        <f t="shared" si="283"/>
        <v>0</v>
      </c>
      <c r="U1178" s="60">
        <f t="shared" si="284"/>
        <v>10974.02</v>
      </c>
    </row>
    <row r="1179" spans="1:21" x14ac:dyDescent="0.2">
      <c r="A1179" s="115"/>
      <c r="B1179" s="139" t="s">
        <v>68</v>
      </c>
      <c r="C1179" s="140" t="s">
        <v>768</v>
      </c>
      <c r="D1179" s="141">
        <v>45932</v>
      </c>
      <c r="E1179" s="141">
        <v>46034</v>
      </c>
      <c r="F1179" s="57">
        <v>10373.34</v>
      </c>
      <c r="G1179" s="58">
        <f t="shared" si="270"/>
        <v>12</v>
      </c>
      <c r="H1179" s="142">
        <f t="shared" si="271"/>
        <v>0</v>
      </c>
      <c r="I1179" s="142">
        <f t="shared" si="272"/>
        <v>0</v>
      </c>
      <c r="J1179" s="143">
        <f t="shared" si="273"/>
        <v>0</v>
      </c>
      <c r="K1179" s="143">
        <f t="shared" si="274"/>
        <v>0</v>
      </c>
      <c r="L1179" s="142">
        <f t="shared" si="275"/>
        <v>0</v>
      </c>
      <c r="M1179" s="142">
        <f t="shared" si="276"/>
        <v>0</v>
      </c>
      <c r="N1179" s="142">
        <f t="shared" si="277"/>
        <v>0</v>
      </c>
      <c r="O1179" s="59">
        <f t="shared" si="278"/>
        <v>0</v>
      </c>
      <c r="P1179" s="142">
        <f t="shared" si="279"/>
        <v>10373.34</v>
      </c>
      <c r="Q1179" s="142">
        <f t="shared" si="280"/>
        <v>0</v>
      </c>
      <c r="R1179" s="142">
        <f t="shared" si="281"/>
        <v>0</v>
      </c>
      <c r="S1179" s="142">
        <f t="shared" si="282"/>
        <v>0</v>
      </c>
      <c r="T1179" s="142">
        <f t="shared" si="283"/>
        <v>0</v>
      </c>
      <c r="U1179" s="60">
        <f t="shared" si="284"/>
        <v>10373.34</v>
      </c>
    </row>
    <row r="1180" spans="1:21" x14ac:dyDescent="0.2">
      <c r="A1180" s="115"/>
      <c r="B1180" s="139" t="s">
        <v>68</v>
      </c>
      <c r="C1180" s="140" t="s">
        <v>763</v>
      </c>
      <c r="D1180" s="141">
        <v>45932</v>
      </c>
      <c r="E1180" s="141">
        <v>46034</v>
      </c>
      <c r="F1180" s="57">
        <v>7609.01</v>
      </c>
      <c r="G1180" s="58">
        <f t="shared" si="270"/>
        <v>12</v>
      </c>
      <c r="H1180" s="142">
        <f t="shared" si="271"/>
        <v>0</v>
      </c>
      <c r="I1180" s="142">
        <f t="shared" si="272"/>
        <v>0</v>
      </c>
      <c r="J1180" s="143">
        <f t="shared" si="273"/>
        <v>0</v>
      </c>
      <c r="K1180" s="143">
        <f t="shared" si="274"/>
        <v>0</v>
      </c>
      <c r="L1180" s="142">
        <f t="shared" si="275"/>
        <v>0</v>
      </c>
      <c r="M1180" s="142">
        <f t="shared" si="276"/>
        <v>0</v>
      </c>
      <c r="N1180" s="142">
        <f t="shared" si="277"/>
        <v>0</v>
      </c>
      <c r="O1180" s="59">
        <f t="shared" si="278"/>
        <v>0</v>
      </c>
      <c r="P1180" s="142">
        <f t="shared" si="279"/>
        <v>7609.01</v>
      </c>
      <c r="Q1180" s="142">
        <f t="shared" si="280"/>
        <v>0</v>
      </c>
      <c r="R1180" s="142">
        <f t="shared" si="281"/>
        <v>0</v>
      </c>
      <c r="S1180" s="142">
        <f t="shared" si="282"/>
        <v>0</v>
      </c>
      <c r="T1180" s="142">
        <f t="shared" si="283"/>
        <v>0</v>
      </c>
      <c r="U1180" s="60">
        <f t="shared" si="284"/>
        <v>7609.01</v>
      </c>
    </row>
    <row r="1181" spans="1:21" x14ac:dyDescent="0.2">
      <c r="A1181" s="115"/>
      <c r="B1181" s="139" t="s">
        <v>68</v>
      </c>
      <c r="C1181" s="140" t="s">
        <v>725</v>
      </c>
      <c r="D1181" s="141">
        <v>45932</v>
      </c>
      <c r="E1181" s="141">
        <v>46034</v>
      </c>
      <c r="F1181" s="57">
        <v>2104.5</v>
      </c>
      <c r="G1181" s="58">
        <f t="shared" si="270"/>
        <v>12</v>
      </c>
      <c r="H1181" s="142">
        <f t="shared" si="271"/>
        <v>0</v>
      </c>
      <c r="I1181" s="142">
        <f t="shared" si="272"/>
        <v>0</v>
      </c>
      <c r="J1181" s="143">
        <f t="shared" si="273"/>
        <v>0</v>
      </c>
      <c r="K1181" s="143">
        <f t="shared" si="274"/>
        <v>0</v>
      </c>
      <c r="L1181" s="142">
        <f t="shared" si="275"/>
        <v>0</v>
      </c>
      <c r="M1181" s="142">
        <f t="shared" si="276"/>
        <v>0</v>
      </c>
      <c r="N1181" s="142">
        <f t="shared" si="277"/>
        <v>0</v>
      </c>
      <c r="O1181" s="59">
        <f t="shared" si="278"/>
        <v>0</v>
      </c>
      <c r="P1181" s="142">
        <f t="shared" si="279"/>
        <v>2104.5</v>
      </c>
      <c r="Q1181" s="142">
        <f t="shared" si="280"/>
        <v>0</v>
      </c>
      <c r="R1181" s="142">
        <f t="shared" si="281"/>
        <v>0</v>
      </c>
      <c r="S1181" s="142">
        <f t="shared" si="282"/>
        <v>0</v>
      </c>
      <c r="T1181" s="142">
        <f t="shared" si="283"/>
        <v>0</v>
      </c>
      <c r="U1181" s="60">
        <f t="shared" si="284"/>
        <v>2104.5</v>
      </c>
    </row>
    <row r="1182" spans="1:21" x14ac:dyDescent="0.2">
      <c r="A1182" s="115"/>
      <c r="B1182" s="139" t="s">
        <v>68</v>
      </c>
      <c r="C1182" s="140" t="s">
        <v>722</v>
      </c>
      <c r="D1182" s="141">
        <v>45932</v>
      </c>
      <c r="E1182" s="141">
        <v>46034</v>
      </c>
      <c r="F1182" s="57">
        <v>1033.3399999999999</v>
      </c>
      <c r="G1182" s="58">
        <f t="shared" si="270"/>
        <v>12</v>
      </c>
      <c r="H1182" s="142">
        <f t="shared" si="271"/>
        <v>0</v>
      </c>
      <c r="I1182" s="142">
        <f t="shared" si="272"/>
        <v>0</v>
      </c>
      <c r="J1182" s="143">
        <f t="shared" si="273"/>
        <v>0</v>
      </c>
      <c r="K1182" s="143">
        <f t="shared" si="274"/>
        <v>0</v>
      </c>
      <c r="L1182" s="142">
        <f t="shared" si="275"/>
        <v>0</v>
      </c>
      <c r="M1182" s="142">
        <f t="shared" si="276"/>
        <v>0</v>
      </c>
      <c r="N1182" s="142">
        <f t="shared" si="277"/>
        <v>0</v>
      </c>
      <c r="O1182" s="59">
        <f t="shared" si="278"/>
        <v>0</v>
      </c>
      <c r="P1182" s="142">
        <f t="shared" si="279"/>
        <v>1033.3399999999999</v>
      </c>
      <c r="Q1182" s="142">
        <f t="shared" si="280"/>
        <v>0</v>
      </c>
      <c r="R1182" s="142">
        <f t="shared" si="281"/>
        <v>0</v>
      </c>
      <c r="S1182" s="142">
        <f t="shared" si="282"/>
        <v>0</v>
      </c>
      <c r="T1182" s="142">
        <f t="shared" si="283"/>
        <v>0</v>
      </c>
      <c r="U1182" s="60">
        <f t="shared" si="284"/>
        <v>1033.3399999999999</v>
      </c>
    </row>
    <row r="1183" spans="1:21" x14ac:dyDescent="0.2">
      <c r="A1183" s="115"/>
      <c r="B1183" s="139" t="s">
        <v>68</v>
      </c>
      <c r="C1183" s="140" t="s">
        <v>748</v>
      </c>
      <c r="D1183" s="141">
        <v>45944</v>
      </c>
      <c r="E1183" s="141">
        <v>46034</v>
      </c>
      <c r="F1183" s="57">
        <v>5862.52</v>
      </c>
      <c r="G1183" s="58">
        <f t="shared" si="270"/>
        <v>12</v>
      </c>
      <c r="H1183" s="142">
        <f t="shared" si="271"/>
        <v>0</v>
      </c>
      <c r="I1183" s="142">
        <f t="shared" si="272"/>
        <v>0</v>
      </c>
      <c r="J1183" s="143">
        <f t="shared" si="273"/>
        <v>0</v>
      </c>
      <c r="K1183" s="143">
        <f t="shared" si="274"/>
        <v>0</v>
      </c>
      <c r="L1183" s="142">
        <f t="shared" si="275"/>
        <v>0</v>
      </c>
      <c r="M1183" s="142">
        <f t="shared" si="276"/>
        <v>0</v>
      </c>
      <c r="N1183" s="142">
        <f t="shared" si="277"/>
        <v>0</v>
      </c>
      <c r="O1183" s="59">
        <f t="shared" si="278"/>
        <v>0</v>
      </c>
      <c r="P1183" s="142">
        <f t="shared" si="279"/>
        <v>5862.52</v>
      </c>
      <c r="Q1183" s="142">
        <f t="shared" si="280"/>
        <v>0</v>
      </c>
      <c r="R1183" s="142">
        <f t="shared" si="281"/>
        <v>0</v>
      </c>
      <c r="S1183" s="142">
        <f t="shared" si="282"/>
        <v>0</v>
      </c>
      <c r="T1183" s="142">
        <f t="shared" si="283"/>
        <v>0</v>
      </c>
      <c r="U1183" s="60">
        <f t="shared" si="284"/>
        <v>5862.52</v>
      </c>
    </row>
    <row r="1184" spans="1:21" x14ac:dyDescent="0.2">
      <c r="A1184" s="115"/>
      <c r="B1184" s="139" t="s">
        <v>68</v>
      </c>
      <c r="C1184" s="140" t="s">
        <v>1019</v>
      </c>
      <c r="D1184" s="141">
        <v>46014</v>
      </c>
      <c r="E1184" s="141">
        <v>46044</v>
      </c>
      <c r="F1184" s="57">
        <v>40375</v>
      </c>
      <c r="G1184" s="58">
        <f t="shared" si="270"/>
        <v>22</v>
      </c>
      <c r="H1184" s="142">
        <f t="shared" si="271"/>
        <v>0</v>
      </c>
      <c r="I1184" s="142">
        <f t="shared" si="272"/>
        <v>0</v>
      </c>
      <c r="J1184" s="143">
        <f t="shared" si="273"/>
        <v>0</v>
      </c>
      <c r="K1184" s="143">
        <f t="shared" si="274"/>
        <v>0</v>
      </c>
      <c r="L1184" s="142">
        <f t="shared" si="275"/>
        <v>0</v>
      </c>
      <c r="M1184" s="142">
        <f t="shared" si="276"/>
        <v>0</v>
      </c>
      <c r="N1184" s="142">
        <f t="shared" si="277"/>
        <v>0</v>
      </c>
      <c r="O1184" s="59">
        <f t="shared" si="278"/>
        <v>0</v>
      </c>
      <c r="P1184" s="142">
        <f t="shared" si="279"/>
        <v>40375</v>
      </c>
      <c r="Q1184" s="142">
        <f t="shared" si="280"/>
        <v>0</v>
      </c>
      <c r="R1184" s="142">
        <f t="shared" si="281"/>
        <v>0</v>
      </c>
      <c r="S1184" s="142">
        <f t="shared" si="282"/>
        <v>0</v>
      </c>
      <c r="T1184" s="142">
        <f t="shared" si="283"/>
        <v>0</v>
      </c>
      <c r="U1184" s="60">
        <f t="shared" si="284"/>
        <v>40375</v>
      </c>
    </row>
    <row r="1185" spans="1:21" x14ac:dyDescent="0.2">
      <c r="A1185" s="115"/>
      <c r="B1185" s="139" t="s">
        <v>68</v>
      </c>
      <c r="C1185" s="140" t="s">
        <v>1020</v>
      </c>
      <c r="D1185" s="141">
        <v>46014</v>
      </c>
      <c r="E1185" s="141">
        <v>46044</v>
      </c>
      <c r="F1185" s="57">
        <v>11618</v>
      </c>
      <c r="G1185" s="58">
        <f t="shared" si="270"/>
        <v>22</v>
      </c>
      <c r="H1185" s="142">
        <f t="shared" si="271"/>
        <v>0</v>
      </c>
      <c r="I1185" s="142">
        <f t="shared" si="272"/>
        <v>0</v>
      </c>
      <c r="J1185" s="143">
        <f t="shared" si="273"/>
        <v>0</v>
      </c>
      <c r="K1185" s="143">
        <f t="shared" si="274"/>
        <v>0</v>
      </c>
      <c r="L1185" s="142">
        <f t="shared" si="275"/>
        <v>0</v>
      </c>
      <c r="M1185" s="142">
        <f t="shared" si="276"/>
        <v>0</v>
      </c>
      <c r="N1185" s="142">
        <f t="shared" si="277"/>
        <v>0</v>
      </c>
      <c r="O1185" s="59">
        <f t="shared" si="278"/>
        <v>0</v>
      </c>
      <c r="P1185" s="142">
        <f t="shared" si="279"/>
        <v>11618</v>
      </c>
      <c r="Q1185" s="142">
        <f t="shared" si="280"/>
        <v>0</v>
      </c>
      <c r="R1185" s="142">
        <f t="shared" si="281"/>
        <v>0</v>
      </c>
      <c r="S1185" s="142">
        <f t="shared" si="282"/>
        <v>0</v>
      </c>
      <c r="T1185" s="142">
        <f t="shared" si="283"/>
        <v>0</v>
      </c>
      <c r="U1185" s="60">
        <f t="shared" si="284"/>
        <v>11618</v>
      </c>
    </row>
    <row r="1186" spans="1:21" x14ac:dyDescent="0.2">
      <c r="A1186" s="115"/>
      <c r="B1186" s="139" t="s">
        <v>68</v>
      </c>
      <c r="C1186" s="140" t="s">
        <v>1021</v>
      </c>
      <c r="D1186" s="141">
        <v>46014</v>
      </c>
      <c r="E1186" s="141">
        <v>46044</v>
      </c>
      <c r="F1186" s="57">
        <v>10974</v>
      </c>
      <c r="G1186" s="58">
        <f t="shared" si="270"/>
        <v>22</v>
      </c>
      <c r="H1186" s="142">
        <f t="shared" si="271"/>
        <v>0</v>
      </c>
      <c r="I1186" s="142">
        <f t="shared" si="272"/>
        <v>0</v>
      </c>
      <c r="J1186" s="143">
        <f t="shared" si="273"/>
        <v>0</v>
      </c>
      <c r="K1186" s="143">
        <f t="shared" si="274"/>
        <v>0</v>
      </c>
      <c r="L1186" s="142">
        <f t="shared" si="275"/>
        <v>0</v>
      </c>
      <c r="M1186" s="142">
        <f t="shared" si="276"/>
        <v>0</v>
      </c>
      <c r="N1186" s="142">
        <f t="shared" si="277"/>
        <v>0</v>
      </c>
      <c r="O1186" s="59">
        <f t="shared" si="278"/>
        <v>0</v>
      </c>
      <c r="P1186" s="142">
        <f t="shared" si="279"/>
        <v>10974</v>
      </c>
      <c r="Q1186" s="142">
        <f t="shared" si="280"/>
        <v>0</v>
      </c>
      <c r="R1186" s="142">
        <f t="shared" si="281"/>
        <v>0</v>
      </c>
      <c r="S1186" s="142">
        <f t="shared" si="282"/>
        <v>0</v>
      </c>
      <c r="T1186" s="142">
        <f t="shared" si="283"/>
        <v>0</v>
      </c>
      <c r="U1186" s="60">
        <f t="shared" si="284"/>
        <v>10974</v>
      </c>
    </row>
    <row r="1187" spans="1:21" x14ac:dyDescent="0.2">
      <c r="A1187" s="115"/>
      <c r="B1187" s="139" t="s">
        <v>68</v>
      </c>
      <c r="C1187" s="140" t="s">
        <v>1022</v>
      </c>
      <c r="D1187" s="141">
        <v>46014</v>
      </c>
      <c r="E1187" s="141">
        <v>46044</v>
      </c>
      <c r="F1187" s="57">
        <v>10974</v>
      </c>
      <c r="G1187" s="58">
        <f t="shared" si="270"/>
        <v>22</v>
      </c>
      <c r="H1187" s="142">
        <f t="shared" si="271"/>
        <v>0</v>
      </c>
      <c r="I1187" s="142">
        <f t="shared" si="272"/>
        <v>0</v>
      </c>
      <c r="J1187" s="143">
        <f t="shared" si="273"/>
        <v>0</v>
      </c>
      <c r="K1187" s="143">
        <f t="shared" si="274"/>
        <v>0</v>
      </c>
      <c r="L1187" s="142">
        <f t="shared" si="275"/>
        <v>0</v>
      </c>
      <c r="M1187" s="142">
        <f t="shared" si="276"/>
        <v>0</v>
      </c>
      <c r="N1187" s="142">
        <f t="shared" si="277"/>
        <v>0</v>
      </c>
      <c r="O1187" s="59">
        <f t="shared" si="278"/>
        <v>0</v>
      </c>
      <c r="P1187" s="142">
        <f t="shared" si="279"/>
        <v>10974</v>
      </c>
      <c r="Q1187" s="142">
        <f t="shared" si="280"/>
        <v>0</v>
      </c>
      <c r="R1187" s="142">
        <f t="shared" si="281"/>
        <v>0</v>
      </c>
      <c r="S1187" s="142">
        <f t="shared" si="282"/>
        <v>0</v>
      </c>
      <c r="T1187" s="142">
        <f t="shared" si="283"/>
        <v>0</v>
      </c>
      <c r="U1187" s="60">
        <f t="shared" si="284"/>
        <v>10974</v>
      </c>
    </row>
    <row r="1188" spans="1:21" x14ac:dyDescent="0.2">
      <c r="A1188" s="115"/>
      <c r="B1188" s="139" t="s">
        <v>68</v>
      </c>
      <c r="C1188" s="140" t="s">
        <v>1023</v>
      </c>
      <c r="D1188" s="141">
        <v>46014</v>
      </c>
      <c r="E1188" s="141">
        <v>46044</v>
      </c>
      <c r="F1188" s="57">
        <v>3966.5</v>
      </c>
      <c r="G1188" s="58">
        <f t="shared" si="270"/>
        <v>22</v>
      </c>
      <c r="H1188" s="142">
        <f t="shared" si="271"/>
        <v>0</v>
      </c>
      <c r="I1188" s="142">
        <f t="shared" si="272"/>
        <v>0</v>
      </c>
      <c r="J1188" s="143">
        <f t="shared" si="273"/>
        <v>0</v>
      </c>
      <c r="K1188" s="143">
        <f t="shared" si="274"/>
        <v>0</v>
      </c>
      <c r="L1188" s="142">
        <f t="shared" si="275"/>
        <v>0</v>
      </c>
      <c r="M1188" s="142">
        <f t="shared" si="276"/>
        <v>0</v>
      </c>
      <c r="N1188" s="142">
        <f t="shared" si="277"/>
        <v>0</v>
      </c>
      <c r="O1188" s="59">
        <f t="shared" si="278"/>
        <v>0</v>
      </c>
      <c r="P1188" s="142">
        <f t="shared" si="279"/>
        <v>3966.5</v>
      </c>
      <c r="Q1188" s="142">
        <f t="shared" si="280"/>
        <v>0</v>
      </c>
      <c r="R1188" s="142">
        <f t="shared" si="281"/>
        <v>0</v>
      </c>
      <c r="S1188" s="142">
        <f t="shared" si="282"/>
        <v>0</v>
      </c>
      <c r="T1188" s="142">
        <f t="shared" si="283"/>
        <v>0</v>
      </c>
      <c r="U1188" s="60">
        <f t="shared" si="284"/>
        <v>3966.5</v>
      </c>
    </row>
    <row r="1189" spans="1:21" x14ac:dyDescent="0.2">
      <c r="A1189" s="115"/>
      <c r="B1189" s="139" t="s">
        <v>68</v>
      </c>
      <c r="C1189" s="140" t="s">
        <v>1024</v>
      </c>
      <c r="D1189" s="141">
        <v>46014</v>
      </c>
      <c r="E1189" s="141">
        <v>46044</v>
      </c>
      <c r="F1189" s="57">
        <v>3966.5</v>
      </c>
      <c r="G1189" s="58">
        <f t="shared" si="270"/>
        <v>22</v>
      </c>
      <c r="H1189" s="142">
        <f t="shared" si="271"/>
        <v>0</v>
      </c>
      <c r="I1189" s="142">
        <f t="shared" si="272"/>
        <v>0</v>
      </c>
      <c r="J1189" s="143">
        <f t="shared" si="273"/>
        <v>0</v>
      </c>
      <c r="K1189" s="143">
        <f t="shared" si="274"/>
        <v>0</v>
      </c>
      <c r="L1189" s="142">
        <f t="shared" si="275"/>
        <v>0</v>
      </c>
      <c r="M1189" s="142">
        <f t="shared" si="276"/>
        <v>0</v>
      </c>
      <c r="N1189" s="142">
        <f t="shared" si="277"/>
        <v>0</v>
      </c>
      <c r="O1189" s="59">
        <f t="shared" si="278"/>
        <v>0</v>
      </c>
      <c r="P1189" s="142">
        <f t="shared" si="279"/>
        <v>3966.5</v>
      </c>
      <c r="Q1189" s="142">
        <f t="shared" si="280"/>
        <v>0</v>
      </c>
      <c r="R1189" s="142">
        <f t="shared" si="281"/>
        <v>0</v>
      </c>
      <c r="S1189" s="142">
        <f t="shared" si="282"/>
        <v>0</v>
      </c>
      <c r="T1189" s="142">
        <f t="shared" si="283"/>
        <v>0</v>
      </c>
      <c r="U1189" s="60">
        <f t="shared" si="284"/>
        <v>3966.5</v>
      </c>
    </row>
    <row r="1190" spans="1:21" x14ac:dyDescent="0.2">
      <c r="A1190" s="115"/>
      <c r="B1190" s="139" t="s">
        <v>68</v>
      </c>
      <c r="C1190" s="140" t="s">
        <v>1025</v>
      </c>
      <c r="D1190" s="141">
        <v>46014</v>
      </c>
      <c r="E1190" s="141">
        <v>46044</v>
      </c>
      <c r="F1190" s="57">
        <v>10414</v>
      </c>
      <c r="G1190" s="58">
        <f t="shared" si="270"/>
        <v>22</v>
      </c>
      <c r="H1190" s="142">
        <f t="shared" si="271"/>
        <v>0</v>
      </c>
      <c r="I1190" s="142">
        <f t="shared" si="272"/>
        <v>0</v>
      </c>
      <c r="J1190" s="143">
        <f t="shared" si="273"/>
        <v>0</v>
      </c>
      <c r="K1190" s="143">
        <f t="shared" si="274"/>
        <v>0</v>
      </c>
      <c r="L1190" s="142">
        <f t="shared" si="275"/>
        <v>0</v>
      </c>
      <c r="M1190" s="142">
        <f t="shared" si="276"/>
        <v>0</v>
      </c>
      <c r="N1190" s="142">
        <f t="shared" si="277"/>
        <v>0</v>
      </c>
      <c r="O1190" s="59">
        <f t="shared" si="278"/>
        <v>0</v>
      </c>
      <c r="P1190" s="142">
        <f t="shared" si="279"/>
        <v>10414</v>
      </c>
      <c r="Q1190" s="142">
        <f t="shared" si="280"/>
        <v>0</v>
      </c>
      <c r="R1190" s="142">
        <f t="shared" si="281"/>
        <v>0</v>
      </c>
      <c r="S1190" s="142">
        <f t="shared" si="282"/>
        <v>0</v>
      </c>
      <c r="T1190" s="142">
        <f t="shared" si="283"/>
        <v>0</v>
      </c>
      <c r="U1190" s="60">
        <f t="shared" si="284"/>
        <v>10414</v>
      </c>
    </row>
    <row r="1191" spans="1:21" x14ac:dyDescent="0.2">
      <c r="A1191" s="115"/>
      <c r="B1191" s="139" t="s">
        <v>68</v>
      </c>
      <c r="C1191" s="140" t="s">
        <v>921</v>
      </c>
      <c r="D1191" s="141">
        <v>45987</v>
      </c>
      <c r="E1191" s="141">
        <v>46047</v>
      </c>
      <c r="F1191" s="57">
        <v>10974</v>
      </c>
      <c r="G1191" s="58">
        <f t="shared" si="270"/>
        <v>25</v>
      </c>
      <c r="H1191" s="142">
        <f t="shared" si="271"/>
        <v>0</v>
      </c>
      <c r="I1191" s="142">
        <f t="shared" si="272"/>
        <v>0</v>
      </c>
      <c r="J1191" s="143">
        <f t="shared" si="273"/>
        <v>0</v>
      </c>
      <c r="K1191" s="143">
        <f t="shared" si="274"/>
        <v>0</v>
      </c>
      <c r="L1191" s="142">
        <f t="shared" si="275"/>
        <v>0</v>
      </c>
      <c r="M1191" s="142">
        <f t="shared" si="276"/>
        <v>0</v>
      </c>
      <c r="N1191" s="142">
        <f t="shared" si="277"/>
        <v>0</v>
      </c>
      <c r="O1191" s="59">
        <f t="shared" si="278"/>
        <v>0</v>
      </c>
      <c r="P1191" s="142">
        <f t="shared" si="279"/>
        <v>10974</v>
      </c>
      <c r="Q1191" s="142">
        <f t="shared" si="280"/>
        <v>0</v>
      </c>
      <c r="R1191" s="142">
        <f t="shared" si="281"/>
        <v>0</v>
      </c>
      <c r="S1191" s="142">
        <f t="shared" si="282"/>
        <v>0</v>
      </c>
      <c r="T1191" s="142">
        <f t="shared" si="283"/>
        <v>0</v>
      </c>
      <c r="U1191" s="60">
        <f t="shared" si="284"/>
        <v>10974</v>
      </c>
    </row>
    <row r="1192" spans="1:21" x14ac:dyDescent="0.2">
      <c r="A1192" s="115"/>
      <c r="B1192" s="139" t="s">
        <v>68</v>
      </c>
      <c r="C1192" s="140" t="s">
        <v>922</v>
      </c>
      <c r="D1192" s="141">
        <v>45987</v>
      </c>
      <c r="E1192" s="141">
        <v>46047</v>
      </c>
      <c r="F1192" s="57">
        <v>7844.17</v>
      </c>
      <c r="G1192" s="58">
        <f t="shared" si="270"/>
        <v>25</v>
      </c>
      <c r="H1192" s="142">
        <f t="shared" si="271"/>
        <v>0</v>
      </c>
      <c r="I1192" s="142">
        <f t="shared" si="272"/>
        <v>0</v>
      </c>
      <c r="J1192" s="143">
        <f t="shared" si="273"/>
        <v>0</v>
      </c>
      <c r="K1192" s="143">
        <f t="shared" si="274"/>
        <v>0</v>
      </c>
      <c r="L1192" s="142">
        <f t="shared" si="275"/>
        <v>0</v>
      </c>
      <c r="M1192" s="142">
        <f t="shared" si="276"/>
        <v>0</v>
      </c>
      <c r="N1192" s="142">
        <f t="shared" si="277"/>
        <v>0</v>
      </c>
      <c r="O1192" s="59">
        <f t="shared" si="278"/>
        <v>0</v>
      </c>
      <c r="P1192" s="142">
        <f t="shared" si="279"/>
        <v>7844.17</v>
      </c>
      <c r="Q1192" s="142">
        <f t="shared" si="280"/>
        <v>0</v>
      </c>
      <c r="R1192" s="142">
        <f t="shared" si="281"/>
        <v>0</v>
      </c>
      <c r="S1192" s="142">
        <f t="shared" si="282"/>
        <v>0</v>
      </c>
      <c r="T1192" s="142">
        <f t="shared" si="283"/>
        <v>0</v>
      </c>
      <c r="U1192" s="60">
        <f t="shared" si="284"/>
        <v>7844.17</v>
      </c>
    </row>
    <row r="1193" spans="1:21" x14ac:dyDescent="0.2">
      <c r="A1193" s="115"/>
      <c r="B1193" s="139" t="s">
        <v>68</v>
      </c>
      <c r="C1193" s="140" t="s">
        <v>923</v>
      </c>
      <c r="D1193" s="141">
        <v>45987</v>
      </c>
      <c r="E1193" s="141">
        <v>46047</v>
      </c>
      <c r="F1193" s="57">
        <v>4508.5</v>
      </c>
      <c r="G1193" s="58">
        <f t="shared" si="270"/>
        <v>25</v>
      </c>
      <c r="H1193" s="142">
        <f t="shared" si="271"/>
        <v>0</v>
      </c>
      <c r="I1193" s="142">
        <f t="shared" si="272"/>
        <v>0</v>
      </c>
      <c r="J1193" s="143">
        <f t="shared" si="273"/>
        <v>0</v>
      </c>
      <c r="K1193" s="143">
        <f t="shared" si="274"/>
        <v>0</v>
      </c>
      <c r="L1193" s="142">
        <f t="shared" si="275"/>
        <v>0</v>
      </c>
      <c r="M1193" s="142">
        <f t="shared" si="276"/>
        <v>0</v>
      </c>
      <c r="N1193" s="142">
        <f t="shared" si="277"/>
        <v>0</v>
      </c>
      <c r="O1193" s="59">
        <f t="shared" si="278"/>
        <v>0</v>
      </c>
      <c r="P1193" s="142">
        <f t="shared" si="279"/>
        <v>4508.5</v>
      </c>
      <c r="Q1193" s="142">
        <f t="shared" si="280"/>
        <v>0</v>
      </c>
      <c r="R1193" s="142">
        <f t="shared" si="281"/>
        <v>0</v>
      </c>
      <c r="S1193" s="142">
        <f t="shared" si="282"/>
        <v>0</v>
      </c>
      <c r="T1193" s="142">
        <f t="shared" si="283"/>
        <v>0</v>
      </c>
      <c r="U1193" s="60">
        <f t="shared" si="284"/>
        <v>4508.5</v>
      </c>
    </row>
    <row r="1194" spans="1:21" x14ac:dyDescent="0.2">
      <c r="A1194" s="115"/>
      <c r="B1194" s="139" t="s">
        <v>68</v>
      </c>
      <c r="C1194" s="140" t="s">
        <v>924</v>
      </c>
      <c r="D1194" s="141">
        <v>45987</v>
      </c>
      <c r="E1194" s="141">
        <v>46047</v>
      </c>
      <c r="F1194" s="57">
        <v>10763.17</v>
      </c>
      <c r="G1194" s="58">
        <f t="shared" si="270"/>
        <v>25</v>
      </c>
      <c r="H1194" s="142">
        <f t="shared" si="271"/>
        <v>0</v>
      </c>
      <c r="I1194" s="142">
        <f t="shared" si="272"/>
        <v>0</v>
      </c>
      <c r="J1194" s="143">
        <f t="shared" si="273"/>
        <v>0</v>
      </c>
      <c r="K1194" s="143">
        <f t="shared" si="274"/>
        <v>0</v>
      </c>
      <c r="L1194" s="142">
        <f t="shared" si="275"/>
        <v>0</v>
      </c>
      <c r="M1194" s="142">
        <f t="shared" si="276"/>
        <v>0</v>
      </c>
      <c r="N1194" s="142">
        <f t="shared" si="277"/>
        <v>0</v>
      </c>
      <c r="O1194" s="59">
        <f t="shared" si="278"/>
        <v>0</v>
      </c>
      <c r="P1194" s="142">
        <f t="shared" si="279"/>
        <v>10763.17</v>
      </c>
      <c r="Q1194" s="142">
        <f t="shared" si="280"/>
        <v>0</v>
      </c>
      <c r="R1194" s="142">
        <f t="shared" si="281"/>
        <v>0</v>
      </c>
      <c r="S1194" s="142">
        <f t="shared" si="282"/>
        <v>0</v>
      </c>
      <c r="T1194" s="142">
        <f t="shared" si="283"/>
        <v>0</v>
      </c>
      <c r="U1194" s="60">
        <f t="shared" si="284"/>
        <v>10763.17</v>
      </c>
    </row>
    <row r="1195" spans="1:21" x14ac:dyDescent="0.2">
      <c r="A1195" s="115"/>
      <c r="B1195" s="139" t="s">
        <v>68</v>
      </c>
      <c r="C1195" s="140" t="s">
        <v>769</v>
      </c>
      <c r="D1195" s="141">
        <v>45960</v>
      </c>
      <c r="E1195" s="141">
        <v>46052</v>
      </c>
      <c r="F1195" s="57">
        <v>10763.18</v>
      </c>
      <c r="G1195" s="58">
        <f t="shared" si="270"/>
        <v>30</v>
      </c>
      <c r="H1195" s="142">
        <f t="shared" si="271"/>
        <v>0</v>
      </c>
      <c r="I1195" s="142">
        <f t="shared" si="272"/>
        <v>0</v>
      </c>
      <c r="J1195" s="143">
        <f t="shared" si="273"/>
        <v>0</v>
      </c>
      <c r="K1195" s="143">
        <f t="shared" si="274"/>
        <v>0</v>
      </c>
      <c r="L1195" s="142">
        <f t="shared" si="275"/>
        <v>0</v>
      </c>
      <c r="M1195" s="142">
        <f t="shared" si="276"/>
        <v>0</v>
      </c>
      <c r="N1195" s="142">
        <f t="shared" si="277"/>
        <v>0</v>
      </c>
      <c r="O1195" s="59">
        <f t="shared" si="278"/>
        <v>0</v>
      </c>
      <c r="P1195" s="142">
        <f t="shared" si="279"/>
        <v>10763.18</v>
      </c>
      <c r="Q1195" s="142">
        <f t="shared" si="280"/>
        <v>0</v>
      </c>
      <c r="R1195" s="142">
        <f t="shared" si="281"/>
        <v>0</v>
      </c>
      <c r="S1195" s="142">
        <f t="shared" si="282"/>
        <v>0</v>
      </c>
      <c r="T1195" s="142">
        <f t="shared" si="283"/>
        <v>0</v>
      </c>
      <c r="U1195" s="60">
        <f t="shared" si="284"/>
        <v>10763.18</v>
      </c>
    </row>
    <row r="1196" spans="1:21" x14ac:dyDescent="0.2">
      <c r="A1196" s="115"/>
      <c r="B1196" s="139" t="s">
        <v>68</v>
      </c>
      <c r="C1196" s="140" t="s">
        <v>1019</v>
      </c>
      <c r="D1196" s="141">
        <v>46014</v>
      </c>
      <c r="E1196" s="141">
        <v>46074</v>
      </c>
      <c r="F1196" s="57">
        <v>40375</v>
      </c>
      <c r="G1196" s="58">
        <f t="shared" si="270"/>
        <v>52</v>
      </c>
      <c r="H1196" s="142">
        <f t="shared" si="271"/>
        <v>0</v>
      </c>
      <c r="I1196" s="142">
        <f t="shared" si="272"/>
        <v>0</v>
      </c>
      <c r="J1196" s="143">
        <f t="shared" si="273"/>
        <v>0</v>
      </c>
      <c r="K1196" s="143">
        <f t="shared" si="274"/>
        <v>0</v>
      </c>
      <c r="L1196" s="142">
        <f t="shared" si="275"/>
        <v>0</v>
      </c>
      <c r="M1196" s="142">
        <f t="shared" si="276"/>
        <v>0</v>
      </c>
      <c r="N1196" s="142">
        <f t="shared" si="277"/>
        <v>0</v>
      </c>
      <c r="O1196" s="59">
        <f t="shared" si="278"/>
        <v>0</v>
      </c>
      <c r="P1196" s="142">
        <f t="shared" si="279"/>
        <v>0</v>
      </c>
      <c r="Q1196" s="142">
        <f t="shared" si="280"/>
        <v>40375</v>
      </c>
      <c r="R1196" s="142">
        <f t="shared" si="281"/>
        <v>0</v>
      </c>
      <c r="S1196" s="142">
        <f t="shared" si="282"/>
        <v>0</v>
      </c>
      <c r="T1196" s="142">
        <f t="shared" si="283"/>
        <v>0</v>
      </c>
      <c r="U1196" s="60">
        <f t="shared" si="284"/>
        <v>40375</v>
      </c>
    </row>
    <row r="1197" spans="1:21" x14ac:dyDescent="0.2">
      <c r="A1197" s="115"/>
      <c r="B1197" s="139" t="s">
        <v>68</v>
      </c>
      <c r="C1197" s="140" t="s">
        <v>1020</v>
      </c>
      <c r="D1197" s="141">
        <v>46014</v>
      </c>
      <c r="E1197" s="141">
        <v>46074</v>
      </c>
      <c r="F1197" s="57">
        <v>11618</v>
      </c>
      <c r="G1197" s="58">
        <f t="shared" si="270"/>
        <v>52</v>
      </c>
      <c r="H1197" s="142">
        <f t="shared" si="271"/>
        <v>0</v>
      </c>
      <c r="I1197" s="142">
        <f t="shared" si="272"/>
        <v>0</v>
      </c>
      <c r="J1197" s="143">
        <f t="shared" si="273"/>
        <v>0</v>
      </c>
      <c r="K1197" s="143">
        <f t="shared" si="274"/>
        <v>0</v>
      </c>
      <c r="L1197" s="142">
        <f t="shared" si="275"/>
        <v>0</v>
      </c>
      <c r="M1197" s="142">
        <f t="shared" si="276"/>
        <v>0</v>
      </c>
      <c r="N1197" s="142">
        <f t="shared" si="277"/>
        <v>0</v>
      </c>
      <c r="O1197" s="59">
        <f t="shared" si="278"/>
        <v>0</v>
      </c>
      <c r="P1197" s="142">
        <f t="shared" si="279"/>
        <v>0</v>
      </c>
      <c r="Q1197" s="142">
        <f t="shared" si="280"/>
        <v>11618</v>
      </c>
      <c r="R1197" s="142">
        <f t="shared" si="281"/>
        <v>0</v>
      </c>
      <c r="S1197" s="142">
        <f t="shared" si="282"/>
        <v>0</v>
      </c>
      <c r="T1197" s="142">
        <f t="shared" si="283"/>
        <v>0</v>
      </c>
      <c r="U1197" s="60">
        <f t="shared" si="284"/>
        <v>11618</v>
      </c>
    </row>
    <row r="1198" spans="1:21" x14ac:dyDescent="0.2">
      <c r="A1198" s="115"/>
      <c r="B1198" s="139" t="s">
        <v>68</v>
      </c>
      <c r="C1198" s="140" t="s">
        <v>1021</v>
      </c>
      <c r="D1198" s="141">
        <v>46014</v>
      </c>
      <c r="E1198" s="141">
        <v>46074</v>
      </c>
      <c r="F1198" s="57">
        <v>10974</v>
      </c>
      <c r="G1198" s="58">
        <f t="shared" si="270"/>
        <v>52</v>
      </c>
      <c r="H1198" s="142">
        <f t="shared" si="271"/>
        <v>0</v>
      </c>
      <c r="I1198" s="142">
        <f t="shared" si="272"/>
        <v>0</v>
      </c>
      <c r="J1198" s="143">
        <f t="shared" si="273"/>
        <v>0</v>
      </c>
      <c r="K1198" s="143">
        <f t="shared" si="274"/>
        <v>0</v>
      </c>
      <c r="L1198" s="142">
        <f t="shared" si="275"/>
        <v>0</v>
      </c>
      <c r="M1198" s="142">
        <f t="shared" si="276"/>
        <v>0</v>
      </c>
      <c r="N1198" s="142">
        <f t="shared" si="277"/>
        <v>0</v>
      </c>
      <c r="O1198" s="59">
        <f t="shared" si="278"/>
        <v>0</v>
      </c>
      <c r="P1198" s="142">
        <f t="shared" si="279"/>
        <v>0</v>
      </c>
      <c r="Q1198" s="142">
        <f t="shared" si="280"/>
        <v>10974</v>
      </c>
      <c r="R1198" s="142">
        <f t="shared" si="281"/>
        <v>0</v>
      </c>
      <c r="S1198" s="142">
        <f t="shared" si="282"/>
        <v>0</v>
      </c>
      <c r="T1198" s="142">
        <f t="shared" si="283"/>
        <v>0</v>
      </c>
      <c r="U1198" s="60">
        <f t="shared" si="284"/>
        <v>10974</v>
      </c>
    </row>
    <row r="1199" spans="1:21" x14ac:dyDescent="0.2">
      <c r="A1199" s="115"/>
      <c r="B1199" s="139" t="s">
        <v>68</v>
      </c>
      <c r="C1199" s="140" t="s">
        <v>1022</v>
      </c>
      <c r="D1199" s="141">
        <v>46014</v>
      </c>
      <c r="E1199" s="141">
        <v>46074</v>
      </c>
      <c r="F1199" s="57">
        <v>10974</v>
      </c>
      <c r="G1199" s="58">
        <f t="shared" si="270"/>
        <v>52</v>
      </c>
      <c r="H1199" s="142">
        <f t="shared" si="271"/>
        <v>0</v>
      </c>
      <c r="I1199" s="142">
        <f t="shared" si="272"/>
        <v>0</v>
      </c>
      <c r="J1199" s="143">
        <f t="shared" si="273"/>
        <v>0</v>
      </c>
      <c r="K1199" s="143">
        <f t="shared" si="274"/>
        <v>0</v>
      </c>
      <c r="L1199" s="142">
        <f t="shared" si="275"/>
        <v>0</v>
      </c>
      <c r="M1199" s="142">
        <f t="shared" si="276"/>
        <v>0</v>
      </c>
      <c r="N1199" s="142">
        <f t="shared" si="277"/>
        <v>0</v>
      </c>
      <c r="O1199" s="59">
        <f t="shared" si="278"/>
        <v>0</v>
      </c>
      <c r="P1199" s="142">
        <f t="shared" si="279"/>
        <v>0</v>
      </c>
      <c r="Q1199" s="142">
        <f t="shared" si="280"/>
        <v>10974</v>
      </c>
      <c r="R1199" s="142">
        <f t="shared" si="281"/>
        <v>0</v>
      </c>
      <c r="S1199" s="142">
        <f t="shared" si="282"/>
        <v>0</v>
      </c>
      <c r="T1199" s="142">
        <f t="shared" si="283"/>
        <v>0</v>
      </c>
      <c r="U1199" s="60">
        <f t="shared" si="284"/>
        <v>10974</v>
      </c>
    </row>
    <row r="1200" spans="1:21" x14ac:dyDescent="0.2">
      <c r="A1200" s="115"/>
      <c r="B1200" s="139" t="s">
        <v>68</v>
      </c>
      <c r="C1200" s="140" t="s">
        <v>1023</v>
      </c>
      <c r="D1200" s="141">
        <v>46014</v>
      </c>
      <c r="E1200" s="141">
        <v>46074</v>
      </c>
      <c r="F1200" s="57">
        <v>3966.5</v>
      </c>
      <c r="G1200" s="58">
        <f t="shared" si="270"/>
        <v>52</v>
      </c>
      <c r="H1200" s="142">
        <f t="shared" si="271"/>
        <v>0</v>
      </c>
      <c r="I1200" s="142">
        <f t="shared" si="272"/>
        <v>0</v>
      </c>
      <c r="J1200" s="143">
        <f t="shared" si="273"/>
        <v>0</v>
      </c>
      <c r="K1200" s="143">
        <f t="shared" si="274"/>
        <v>0</v>
      </c>
      <c r="L1200" s="142">
        <f t="shared" si="275"/>
        <v>0</v>
      </c>
      <c r="M1200" s="142">
        <f t="shared" si="276"/>
        <v>0</v>
      </c>
      <c r="N1200" s="142">
        <f t="shared" si="277"/>
        <v>0</v>
      </c>
      <c r="O1200" s="59">
        <f t="shared" si="278"/>
        <v>0</v>
      </c>
      <c r="P1200" s="142">
        <f t="shared" si="279"/>
        <v>0</v>
      </c>
      <c r="Q1200" s="142">
        <f t="shared" si="280"/>
        <v>3966.5</v>
      </c>
      <c r="R1200" s="142">
        <f t="shared" si="281"/>
        <v>0</v>
      </c>
      <c r="S1200" s="142">
        <f t="shared" si="282"/>
        <v>0</v>
      </c>
      <c r="T1200" s="142">
        <f t="shared" si="283"/>
        <v>0</v>
      </c>
      <c r="U1200" s="60">
        <f t="shared" si="284"/>
        <v>3966.5</v>
      </c>
    </row>
    <row r="1201" spans="1:21" x14ac:dyDescent="0.2">
      <c r="A1201" s="115"/>
      <c r="B1201" s="139" t="s">
        <v>68</v>
      </c>
      <c r="C1201" s="140" t="s">
        <v>1024</v>
      </c>
      <c r="D1201" s="141">
        <v>46014</v>
      </c>
      <c r="E1201" s="141">
        <v>46074</v>
      </c>
      <c r="F1201" s="57">
        <v>3966.5</v>
      </c>
      <c r="G1201" s="58">
        <f t="shared" si="270"/>
        <v>52</v>
      </c>
      <c r="H1201" s="142">
        <f t="shared" si="271"/>
        <v>0</v>
      </c>
      <c r="I1201" s="142">
        <f t="shared" si="272"/>
        <v>0</v>
      </c>
      <c r="J1201" s="143">
        <f t="shared" si="273"/>
        <v>0</v>
      </c>
      <c r="K1201" s="143">
        <f t="shared" si="274"/>
        <v>0</v>
      </c>
      <c r="L1201" s="142">
        <f t="shared" si="275"/>
        <v>0</v>
      </c>
      <c r="M1201" s="142">
        <f t="shared" si="276"/>
        <v>0</v>
      </c>
      <c r="N1201" s="142">
        <f t="shared" si="277"/>
        <v>0</v>
      </c>
      <c r="O1201" s="59">
        <f t="shared" si="278"/>
        <v>0</v>
      </c>
      <c r="P1201" s="142">
        <f t="shared" si="279"/>
        <v>0</v>
      </c>
      <c r="Q1201" s="142">
        <f t="shared" si="280"/>
        <v>3966.5</v>
      </c>
      <c r="R1201" s="142">
        <f t="shared" si="281"/>
        <v>0</v>
      </c>
      <c r="S1201" s="142">
        <f t="shared" si="282"/>
        <v>0</v>
      </c>
      <c r="T1201" s="142">
        <f t="shared" si="283"/>
        <v>0</v>
      </c>
      <c r="U1201" s="60">
        <f t="shared" si="284"/>
        <v>3966.5</v>
      </c>
    </row>
    <row r="1202" spans="1:21" x14ac:dyDescent="0.2">
      <c r="A1202" s="115"/>
      <c r="B1202" s="139" t="s">
        <v>68</v>
      </c>
      <c r="C1202" s="140" t="s">
        <v>1025</v>
      </c>
      <c r="D1202" s="141">
        <v>46014</v>
      </c>
      <c r="E1202" s="141">
        <v>46074</v>
      </c>
      <c r="F1202" s="57">
        <v>10414</v>
      </c>
      <c r="G1202" s="58">
        <f t="shared" si="270"/>
        <v>52</v>
      </c>
      <c r="H1202" s="142">
        <f t="shared" si="271"/>
        <v>0</v>
      </c>
      <c r="I1202" s="142">
        <f t="shared" si="272"/>
        <v>0</v>
      </c>
      <c r="J1202" s="143">
        <f t="shared" si="273"/>
        <v>0</v>
      </c>
      <c r="K1202" s="143">
        <f t="shared" si="274"/>
        <v>0</v>
      </c>
      <c r="L1202" s="142">
        <f t="shared" si="275"/>
        <v>0</v>
      </c>
      <c r="M1202" s="142">
        <f t="shared" si="276"/>
        <v>0</v>
      </c>
      <c r="N1202" s="142">
        <f t="shared" si="277"/>
        <v>0</v>
      </c>
      <c r="O1202" s="59">
        <f t="shared" si="278"/>
        <v>0</v>
      </c>
      <c r="P1202" s="142">
        <f t="shared" si="279"/>
        <v>0</v>
      </c>
      <c r="Q1202" s="142">
        <f t="shared" si="280"/>
        <v>10414</v>
      </c>
      <c r="R1202" s="142">
        <f t="shared" si="281"/>
        <v>0</v>
      </c>
      <c r="S1202" s="142">
        <f t="shared" si="282"/>
        <v>0</v>
      </c>
      <c r="T1202" s="142">
        <f t="shared" si="283"/>
        <v>0</v>
      </c>
      <c r="U1202" s="60">
        <f t="shared" si="284"/>
        <v>10414</v>
      </c>
    </row>
    <row r="1203" spans="1:21" x14ac:dyDescent="0.2">
      <c r="A1203" s="115"/>
      <c r="B1203" s="139" t="s">
        <v>68</v>
      </c>
      <c r="C1203" s="140" t="s">
        <v>921</v>
      </c>
      <c r="D1203" s="141">
        <v>45987</v>
      </c>
      <c r="E1203" s="141">
        <v>46077</v>
      </c>
      <c r="F1203" s="57">
        <v>10974</v>
      </c>
      <c r="G1203" s="58">
        <f t="shared" si="270"/>
        <v>55</v>
      </c>
      <c r="H1203" s="142">
        <f t="shared" si="271"/>
        <v>0</v>
      </c>
      <c r="I1203" s="142">
        <f t="shared" si="272"/>
        <v>0</v>
      </c>
      <c r="J1203" s="143">
        <f t="shared" si="273"/>
        <v>0</v>
      </c>
      <c r="K1203" s="143">
        <f t="shared" si="274"/>
        <v>0</v>
      </c>
      <c r="L1203" s="142">
        <f t="shared" si="275"/>
        <v>0</v>
      </c>
      <c r="M1203" s="142">
        <f t="shared" si="276"/>
        <v>0</v>
      </c>
      <c r="N1203" s="142">
        <f t="shared" si="277"/>
        <v>0</v>
      </c>
      <c r="O1203" s="59">
        <f t="shared" si="278"/>
        <v>0</v>
      </c>
      <c r="P1203" s="142">
        <f t="shared" si="279"/>
        <v>0</v>
      </c>
      <c r="Q1203" s="142">
        <f t="shared" si="280"/>
        <v>10974</v>
      </c>
      <c r="R1203" s="142">
        <f t="shared" si="281"/>
        <v>0</v>
      </c>
      <c r="S1203" s="142">
        <f t="shared" si="282"/>
        <v>0</v>
      </c>
      <c r="T1203" s="142">
        <f t="shared" si="283"/>
        <v>0</v>
      </c>
      <c r="U1203" s="60">
        <f t="shared" si="284"/>
        <v>10974</v>
      </c>
    </row>
    <row r="1204" spans="1:21" x14ac:dyDescent="0.2">
      <c r="A1204" s="115"/>
      <c r="B1204" s="139" t="s">
        <v>68</v>
      </c>
      <c r="C1204" s="140" t="s">
        <v>922</v>
      </c>
      <c r="D1204" s="141">
        <v>45987</v>
      </c>
      <c r="E1204" s="141">
        <v>46077</v>
      </c>
      <c r="F1204" s="57">
        <v>7844.16</v>
      </c>
      <c r="G1204" s="58">
        <f t="shared" si="270"/>
        <v>55</v>
      </c>
      <c r="H1204" s="142">
        <f t="shared" si="271"/>
        <v>0</v>
      </c>
      <c r="I1204" s="142">
        <f t="shared" si="272"/>
        <v>0</v>
      </c>
      <c r="J1204" s="143">
        <f t="shared" si="273"/>
        <v>0</v>
      </c>
      <c r="K1204" s="143">
        <f t="shared" si="274"/>
        <v>0</v>
      </c>
      <c r="L1204" s="142">
        <f t="shared" si="275"/>
        <v>0</v>
      </c>
      <c r="M1204" s="142">
        <f t="shared" si="276"/>
        <v>0</v>
      </c>
      <c r="N1204" s="142">
        <f t="shared" si="277"/>
        <v>0</v>
      </c>
      <c r="O1204" s="59">
        <f t="shared" si="278"/>
        <v>0</v>
      </c>
      <c r="P1204" s="142">
        <f t="shared" si="279"/>
        <v>0</v>
      </c>
      <c r="Q1204" s="142">
        <f t="shared" si="280"/>
        <v>7844.16</v>
      </c>
      <c r="R1204" s="142">
        <f t="shared" si="281"/>
        <v>0</v>
      </c>
      <c r="S1204" s="142">
        <f t="shared" si="282"/>
        <v>0</v>
      </c>
      <c r="T1204" s="142">
        <f t="shared" si="283"/>
        <v>0</v>
      </c>
      <c r="U1204" s="60">
        <f t="shared" si="284"/>
        <v>7844.16</v>
      </c>
    </row>
    <row r="1205" spans="1:21" x14ac:dyDescent="0.2">
      <c r="A1205" s="115"/>
      <c r="B1205" s="139" t="s">
        <v>68</v>
      </c>
      <c r="C1205" s="140" t="s">
        <v>923</v>
      </c>
      <c r="D1205" s="141">
        <v>45987</v>
      </c>
      <c r="E1205" s="141">
        <v>46077</v>
      </c>
      <c r="F1205" s="57">
        <v>4508.5</v>
      </c>
      <c r="G1205" s="58">
        <f t="shared" si="270"/>
        <v>55</v>
      </c>
      <c r="H1205" s="142">
        <f t="shared" si="271"/>
        <v>0</v>
      </c>
      <c r="I1205" s="142">
        <f t="shared" si="272"/>
        <v>0</v>
      </c>
      <c r="J1205" s="143">
        <f t="shared" si="273"/>
        <v>0</v>
      </c>
      <c r="K1205" s="143">
        <f t="shared" si="274"/>
        <v>0</v>
      </c>
      <c r="L1205" s="142">
        <f t="shared" si="275"/>
        <v>0</v>
      </c>
      <c r="M1205" s="142">
        <f t="shared" si="276"/>
        <v>0</v>
      </c>
      <c r="N1205" s="142">
        <f t="shared" si="277"/>
        <v>0</v>
      </c>
      <c r="O1205" s="59">
        <f t="shared" si="278"/>
        <v>0</v>
      </c>
      <c r="P1205" s="142">
        <f t="shared" si="279"/>
        <v>0</v>
      </c>
      <c r="Q1205" s="142">
        <f t="shared" si="280"/>
        <v>4508.5</v>
      </c>
      <c r="R1205" s="142">
        <f t="shared" si="281"/>
        <v>0</v>
      </c>
      <c r="S1205" s="142">
        <f t="shared" si="282"/>
        <v>0</v>
      </c>
      <c r="T1205" s="142">
        <f t="shared" si="283"/>
        <v>0</v>
      </c>
      <c r="U1205" s="60">
        <f t="shared" si="284"/>
        <v>4508.5</v>
      </c>
    </row>
    <row r="1206" spans="1:21" x14ac:dyDescent="0.2">
      <c r="A1206" s="115"/>
      <c r="B1206" s="139" t="s">
        <v>68</v>
      </c>
      <c r="C1206" s="140" t="s">
        <v>924</v>
      </c>
      <c r="D1206" s="141">
        <v>45987</v>
      </c>
      <c r="E1206" s="141">
        <v>46077</v>
      </c>
      <c r="F1206" s="57">
        <v>10763.16</v>
      </c>
      <c r="G1206" s="58">
        <f t="shared" si="270"/>
        <v>55</v>
      </c>
      <c r="H1206" s="142">
        <f t="shared" si="271"/>
        <v>0</v>
      </c>
      <c r="I1206" s="142">
        <f t="shared" si="272"/>
        <v>0</v>
      </c>
      <c r="J1206" s="143">
        <f t="shared" si="273"/>
        <v>0</v>
      </c>
      <c r="K1206" s="143">
        <f t="shared" si="274"/>
        <v>0</v>
      </c>
      <c r="L1206" s="142">
        <f t="shared" si="275"/>
        <v>0</v>
      </c>
      <c r="M1206" s="142">
        <f t="shared" si="276"/>
        <v>0</v>
      </c>
      <c r="N1206" s="142">
        <f t="shared" si="277"/>
        <v>0</v>
      </c>
      <c r="O1206" s="59">
        <f t="shared" si="278"/>
        <v>0</v>
      </c>
      <c r="P1206" s="142">
        <f t="shared" si="279"/>
        <v>0</v>
      </c>
      <c r="Q1206" s="142">
        <f t="shared" si="280"/>
        <v>10763.16</v>
      </c>
      <c r="R1206" s="142">
        <f t="shared" si="281"/>
        <v>0</v>
      </c>
      <c r="S1206" s="142">
        <f t="shared" si="282"/>
        <v>0</v>
      </c>
      <c r="T1206" s="142">
        <f t="shared" si="283"/>
        <v>0</v>
      </c>
      <c r="U1206" s="60">
        <f t="shared" si="284"/>
        <v>10763.16</v>
      </c>
    </row>
    <row r="1207" spans="1:21" x14ac:dyDescent="0.2">
      <c r="A1207" s="115"/>
      <c r="B1207" s="139" t="s">
        <v>68</v>
      </c>
      <c r="C1207" s="140" t="s">
        <v>1019</v>
      </c>
      <c r="D1207" s="141">
        <v>46014</v>
      </c>
      <c r="E1207" s="141">
        <v>46104</v>
      </c>
      <c r="F1207" s="57">
        <v>40375</v>
      </c>
      <c r="G1207" s="58">
        <f t="shared" si="270"/>
        <v>82</v>
      </c>
      <c r="H1207" s="142">
        <f t="shared" si="271"/>
        <v>0</v>
      </c>
      <c r="I1207" s="142">
        <f t="shared" si="272"/>
        <v>0</v>
      </c>
      <c r="J1207" s="143">
        <f t="shared" si="273"/>
        <v>0</v>
      </c>
      <c r="K1207" s="143">
        <f t="shared" si="274"/>
        <v>0</v>
      </c>
      <c r="L1207" s="142">
        <f t="shared" si="275"/>
        <v>0</v>
      </c>
      <c r="M1207" s="142">
        <f t="shared" si="276"/>
        <v>0</v>
      </c>
      <c r="N1207" s="142">
        <f t="shared" si="277"/>
        <v>0</v>
      </c>
      <c r="O1207" s="59">
        <f t="shared" si="278"/>
        <v>0</v>
      </c>
      <c r="P1207" s="142">
        <f t="shared" si="279"/>
        <v>0</v>
      </c>
      <c r="Q1207" s="142">
        <f t="shared" si="280"/>
        <v>0</v>
      </c>
      <c r="R1207" s="142">
        <f t="shared" si="281"/>
        <v>40375</v>
      </c>
      <c r="S1207" s="142">
        <f t="shared" si="282"/>
        <v>0</v>
      </c>
      <c r="T1207" s="142">
        <f t="shared" si="283"/>
        <v>0</v>
      </c>
      <c r="U1207" s="60">
        <f t="shared" si="284"/>
        <v>40375</v>
      </c>
    </row>
    <row r="1208" spans="1:21" x14ac:dyDescent="0.2">
      <c r="A1208" s="115"/>
      <c r="B1208" s="139" t="s">
        <v>68</v>
      </c>
      <c r="C1208" s="140" t="s">
        <v>1020</v>
      </c>
      <c r="D1208" s="141">
        <v>46014</v>
      </c>
      <c r="E1208" s="141">
        <v>46104</v>
      </c>
      <c r="F1208" s="57">
        <v>11618</v>
      </c>
      <c r="G1208" s="58">
        <f t="shared" si="270"/>
        <v>82</v>
      </c>
      <c r="H1208" s="142">
        <f t="shared" si="271"/>
        <v>0</v>
      </c>
      <c r="I1208" s="142">
        <f t="shared" si="272"/>
        <v>0</v>
      </c>
      <c r="J1208" s="143">
        <f t="shared" si="273"/>
        <v>0</v>
      </c>
      <c r="K1208" s="143">
        <f t="shared" si="274"/>
        <v>0</v>
      </c>
      <c r="L1208" s="142">
        <f t="shared" si="275"/>
        <v>0</v>
      </c>
      <c r="M1208" s="142">
        <f t="shared" si="276"/>
        <v>0</v>
      </c>
      <c r="N1208" s="142">
        <f t="shared" si="277"/>
        <v>0</v>
      </c>
      <c r="O1208" s="59">
        <f t="shared" si="278"/>
        <v>0</v>
      </c>
      <c r="P1208" s="142">
        <f t="shared" si="279"/>
        <v>0</v>
      </c>
      <c r="Q1208" s="142">
        <f t="shared" si="280"/>
        <v>0</v>
      </c>
      <c r="R1208" s="142">
        <f t="shared" si="281"/>
        <v>11618</v>
      </c>
      <c r="S1208" s="142">
        <f t="shared" si="282"/>
        <v>0</v>
      </c>
      <c r="T1208" s="142">
        <f t="shared" si="283"/>
        <v>0</v>
      </c>
      <c r="U1208" s="60">
        <f t="shared" si="284"/>
        <v>11618</v>
      </c>
    </row>
    <row r="1209" spans="1:21" x14ac:dyDescent="0.2">
      <c r="A1209" s="115"/>
      <c r="B1209" s="139" t="s">
        <v>68</v>
      </c>
      <c r="C1209" s="140" t="s">
        <v>1021</v>
      </c>
      <c r="D1209" s="141">
        <v>46014</v>
      </c>
      <c r="E1209" s="141">
        <v>46104</v>
      </c>
      <c r="F1209" s="57">
        <v>10974</v>
      </c>
      <c r="G1209" s="58">
        <f t="shared" si="270"/>
        <v>82</v>
      </c>
      <c r="H1209" s="142">
        <f t="shared" si="271"/>
        <v>0</v>
      </c>
      <c r="I1209" s="142">
        <f t="shared" si="272"/>
        <v>0</v>
      </c>
      <c r="J1209" s="143">
        <f t="shared" si="273"/>
        <v>0</v>
      </c>
      <c r="K1209" s="143">
        <f t="shared" si="274"/>
        <v>0</v>
      </c>
      <c r="L1209" s="142">
        <f t="shared" si="275"/>
        <v>0</v>
      </c>
      <c r="M1209" s="142">
        <f t="shared" si="276"/>
        <v>0</v>
      </c>
      <c r="N1209" s="142">
        <f t="shared" si="277"/>
        <v>0</v>
      </c>
      <c r="O1209" s="59">
        <f t="shared" si="278"/>
        <v>0</v>
      </c>
      <c r="P1209" s="142">
        <f t="shared" si="279"/>
        <v>0</v>
      </c>
      <c r="Q1209" s="142">
        <f t="shared" si="280"/>
        <v>0</v>
      </c>
      <c r="R1209" s="142">
        <f t="shared" si="281"/>
        <v>10974</v>
      </c>
      <c r="S1209" s="142">
        <f t="shared" si="282"/>
        <v>0</v>
      </c>
      <c r="T1209" s="142">
        <f t="shared" si="283"/>
        <v>0</v>
      </c>
      <c r="U1209" s="60">
        <f t="shared" si="284"/>
        <v>10974</v>
      </c>
    </row>
    <row r="1210" spans="1:21" x14ac:dyDescent="0.2">
      <c r="A1210" s="115"/>
      <c r="B1210" s="139" t="s">
        <v>68</v>
      </c>
      <c r="C1210" s="140" t="s">
        <v>1022</v>
      </c>
      <c r="D1210" s="141">
        <v>46014</v>
      </c>
      <c r="E1210" s="141">
        <v>46104</v>
      </c>
      <c r="F1210" s="57">
        <v>10974</v>
      </c>
      <c r="G1210" s="58">
        <f t="shared" si="270"/>
        <v>82</v>
      </c>
      <c r="H1210" s="142">
        <f t="shared" si="271"/>
        <v>0</v>
      </c>
      <c r="I1210" s="142">
        <f t="shared" si="272"/>
        <v>0</v>
      </c>
      <c r="J1210" s="143">
        <f t="shared" si="273"/>
        <v>0</v>
      </c>
      <c r="K1210" s="143">
        <f t="shared" si="274"/>
        <v>0</v>
      </c>
      <c r="L1210" s="142">
        <f t="shared" si="275"/>
        <v>0</v>
      </c>
      <c r="M1210" s="142">
        <f t="shared" si="276"/>
        <v>0</v>
      </c>
      <c r="N1210" s="142">
        <f t="shared" si="277"/>
        <v>0</v>
      </c>
      <c r="O1210" s="59">
        <f t="shared" si="278"/>
        <v>0</v>
      </c>
      <c r="P1210" s="142">
        <f t="shared" si="279"/>
        <v>0</v>
      </c>
      <c r="Q1210" s="142">
        <f t="shared" si="280"/>
        <v>0</v>
      </c>
      <c r="R1210" s="142">
        <f t="shared" si="281"/>
        <v>10974</v>
      </c>
      <c r="S1210" s="142">
        <f t="shared" si="282"/>
        <v>0</v>
      </c>
      <c r="T1210" s="142">
        <f t="shared" si="283"/>
        <v>0</v>
      </c>
      <c r="U1210" s="60">
        <f t="shared" si="284"/>
        <v>10974</v>
      </c>
    </row>
    <row r="1211" spans="1:21" x14ac:dyDescent="0.2">
      <c r="A1211" s="115"/>
      <c r="B1211" s="139" t="s">
        <v>68</v>
      </c>
      <c r="C1211" s="140" t="s">
        <v>1023</v>
      </c>
      <c r="D1211" s="141">
        <v>46014</v>
      </c>
      <c r="E1211" s="141">
        <v>46104</v>
      </c>
      <c r="F1211" s="57">
        <v>3966.5</v>
      </c>
      <c r="G1211" s="58">
        <f t="shared" si="270"/>
        <v>82</v>
      </c>
      <c r="H1211" s="142">
        <f t="shared" si="271"/>
        <v>0</v>
      </c>
      <c r="I1211" s="142">
        <f t="shared" si="272"/>
        <v>0</v>
      </c>
      <c r="J1211" s="143">
        <f t="shared" si="273"/>
        <v>0</v>
      </c>
      <c r="K1211" s="143">
        <f t="shared" si="274"/>
        <v>0</v>
      </c>
      <c r="L1211" s="142">
        <f t="shared" si="275"/>
        <v>0</v>
      </c>
      <c r="M1211" s="142">
        <f t="shared" si="276"/>
        <v>0</v>
      </c>
      <c r="N1211" s="142">
        <f t="shared" si="277"/>
        <v>0</v>
      </c>
      <c r="O1211" s="59">
        <f t="shared" si="278"/>
        <v>0</v>
      </c>
      <c r="P1211" s="142">
        <f t="shared" si="279"/>
        <v>0</v>
      </c>
      <c r="Q1211" s="142">
        <f t="shared" si="280"/>
        <v>0</v>
      </c>
      <c r="R1211" s="142">
        <f t="shared" si="281"/>
        <v>3966.5</v>
      </c>
      <c r="S1211" s="142">
        <f t="shared" si="282"/>
        <v>0</v>
      </c>
      <c r="T1211" s="142">
        <f t="shared" si="283"/>
        <v>0</v>
      </c>
      <c r="U1211" s="60">
        <f t="shared" si="284"/>
        <v>3966.5</v>
      </c>
    </row>
    <row r="1212" spans="1:21" x14ac:dyDescent="0.2">
      <c r="A1212" s="115"/>
      <c r="B1212" s="139" t="s">
        <v>68</v>
      </c>
      <c r="C1212" s="140" t="s">
        <v>1024</v>
      </c>
      <c r="D1212" s="141">
        <v>46014</v>
      </c>
      <c r="E1212" s="141">
        <v>46104</v>
      </c>
      <c r="F1212" s="57">
        <v>3966.5</v>
      </c>
      <c r="G1212" s="58">
        <f t="shared" si="270"/>
        <v>82</v>
      </c>
      <c r="H1212" s="142">
        <f t="shared" si="271"/>
        <v>0</v>
      </c>
      <c r="I1212" s="142">
        <f t="shared" si="272"/>
        <v>0</v>
      </c>
      <c r="J1212" s="143">
        <f t="shared" si="273"/>
        <v>0</v>
      </c>
      <c r="K1212" s="143">
        <f t="shared" si="274"/>
        <v>0</v>
      </c>
      <c r="L1212" s="142">
        <f t="shared" si="275"/>
        <v>0</v>
      </c>
      <c r="M1212" s="142">
        <f t="shared" si="276"/>
        <v>0</v>
      </c>
      <c r="N1212" s="142">
        <f t="shared" si="277"/>
        <v>0</v>
      </c>
      <c r="O1212" s="59">
        <f t="shared" si="278"/>
        <v>0</v>
      </c>
      <c r="P1212" s="142">
        <f t="shared" si="279"/>
        <v>0</v>
      </c>
      <c r="Q1212" s="142">
        <f t="shared" si="280"/>
        <v>0</v>
      </c>
      <c r="R1212" s="142">
        <f t="shared" si="281"/>
        <v>3966.5</v>
      </c>
      <c r="S1212" s="142">
        <f t="shared" si="282"/>
        <v>0</v>
      </c>
      <c r="T1212" s="142">
        <f t="shared" si="283"/>
        <v>0</v>
      </c>
      <c r="U1212" s="60">
        <f t="shared" si="284"/>
        <v>3966.5</v>
      </c>
    </row>
    <row r="1213" spans="1:21" x14ac:dyDescent="0.2">
      <c r="A1213" s="115"/>
      <c r="B1213" s="139" t="s">
        <v>68</v>
      </c>
      <c r="C1213" s="140" t="s">
        <v>1025</v>
      </c>
      <c r="D1213" s="141">
        <v>46014</v>
      </c>
      <c r="E1213" s="141">
        <v>46104</v>
      </c>
      <c r="F1213" s="57">
        <v>10414</v>
      </c>
      <c r="G1213" s="58">
        <f t="shared" si="270"/>
        <v>82</v>
      </c>
      <c r="H1213" s="142">
        <f t="shared" si="271"/>
        <v>0</v>
      </c>
      <c r="I1213" s="142">
        <f t="shared" si="272"/>
        <v>0</v>
      </c>
      <c r="J1213" s="143">
        <f t="shared" si="273"/>
        <v>0</v>
      </c>
      <c r="K1213" s="143">
        <f t="shared" si="274"/>
        <v>0</v>
      </c>
      <c r="L1213" s="142">
        <f t="shared" si="275"/>
        <v>0</v>
      </c>
      <c r="M1213" s="142">
        <f t="shared" si="276"/>
        <v>0</v>
      </c>
      <c r="N1213" s="142">
        <f t="shared" si="277"/>
        <v>0</v>
      </c>
      <c r="O1213" s="59">
        <f t="shared" si="278"/>
        <v>0</v>
      </c>
      <c r="P1213" s="142">
        <f t="shared" si="279"/>
        <v>0</v>
      </c>
      <c r="Q1213" s="142">
        <f t="shared" si="280"/>
        <v>0</v>
      </c>
      <c r="R1213" s="142">
        <f t="shared" si="281"/>
        <v>10414</v>
      </c>
      <c r="S1213" s="142">
        <f t="shared" si="282"/>
        <v>0</v>
      </c>
      <c r="T1213" s="142">
        <f t="shared" si="283"/>
        <v>0</v>
      </c>
      <c r="U1213" s="60">
        <f t="shared" si="284"/>
        <v>10414</v>
      </c>
    </row>
    <row r="1214" spans="1:21" x14ac:dyDescent="0.2">
      <c r="A1214" s="115"/>
      <c r="B1214" s="139" t="s">
        <v>68</v>
      </c>
      <c r="C1214" s="140" t="s">
        <v>1019</v>
      </c>
      <c r="D1214" s="141">
        <v>46014</v>
      </c>
      <c r="E1214" s="141">
        <v>46134</v>
      </c>
      <c r="F1214" s="57">
        <v>40375</v>
      </c>
      <c r="G1214" s="58">
        <f t="shared" si="270"/>
        <v>112</v>
      </c>
      <c r="H1214" s="142">
        <f t="shared" si="271"/>
        <v>0</v>
      </c>
      <c r="I1214" s="142">
        <f t="shared" si="272"/>
        <v>0</v>
      </c>
      <c r="J1214" s="143">
        <f t="shared" si="273"/>
        <v>0</v>
      </c>
      <c r="K1214" s="143">
        <f t="shared" si="274"/>
        <v>0</v>
      </c>
      <c r="L1214" s="142">
        <f t="shared" si="275"/>
        <v>0</v>
      </c>
      <c r="M1214" s="142">
        <f t="shared" si="276"/>
        <v>0</v>
      </c>
      <c r="N1214" s="142">
        <f t="shared" si="277"/>
        <v>0</v>
      </c>
      <c r="O1214" s="59">
        <f t="shared" si="278"/>
        <v>0</v>
      </c>
      <c r="P1214" s="142">
        <f t="shared" si="279"/>
        <v>0</v>
      </c>
      <c r="Q1214" s="142">
        <f t="shared" si="280"/>
        <v>0</v>
      </c>
      <c r="R1214" s="142">
        <f t="shared" si="281"/>
        <v>0</v>
      </c>
      <c r="S1214" s="142">
        <f t="shared" si="282"/>
        <v>40375</v>
      </c>
      <c r="T1214" s="142">
        <f t="shared" si="283"/>
        <v>0</v>
      </c>
      <c r="U1214" s="60">
        <f t="shared" si="284"/>
        <v>40375</v>
      </c>
    </row>
    <row r="1215" spans="1:21" x14ac:dyDescent="0.2">
      <c r="A1215" s="115"/>
      <c r="B1215" s="139" t="s">
        <v>737</v>
      </c>
      <c r="C1215" s="140" t="s">
        <v>738</v>
      </c>
      <c r="D1215" s="141">
        <v>45940</v>
      </c>
      <c r="E1215" s="141">
        <v>46030</v>
      </c>
      <c r="F1215" s="57">
        <v>5000</v>
      </c>
      <c r="G1215" s="58">
        <f t="shared" si="270"/>
        <v>8</v>
      </c>
      <c r="H1215" s="142">
        <f t="shared" si="271"/>
        <v>0</v>
      </c>
      <c r="I1215" s="142">
        <f t="shared" si="272"/>
        <v>0</v>
      </c>
      <c r="J1215" s="143">
        <f t="shared" si="273"/>
        <v>0</v>
      </c>
      <c r="K1215" s="143">
        <f t="shared" si="274"/>
        <v>0</v>
      </c>
      <c r="L1215" s="142">
        <f t="shared" si="275"/>
        <v>0</v>
      </c>
      <c r="M1215" s="142">
        <f t="shared" si="276"/>
        <v>0</v>
      </c>
      <c r="N1215" s="142">
        <f t="shared" si="277"/>
        <v>0</v>
      </c>
      <c r="O1215" s="59">
        <f t="shared" si="278"/>
        <v>0</v>
      </c>
      <c r="P1215" s="142">
        <f t="shared" si="279"/>
        <v>5000</v>
      </c>
      <c r="Q1215" s="142">
        <f t="shared" si="280"/>
        <v>0</v>
      </c>
      <c r="R1215" s="142">
        <f t="shared" si="281"/>
        <v>0</v>
      </c>
      <c r="S1215" s="142">
        <f t="shared" si="282"/>
        <v>0</v>
      </c>
      <c r="T1215" s="142">
        <f t="shared" si="283"/>
        <v>0</v>
      </c>
      <c r="U1215" s="60">
        <f t="shared" si="284"/>
        <v>5000</v>
      </c>
    </row>
    <row r="1216" spans="1:21" x14ac:dyDescent="0.2">
      <c r="A1216" s="115"/>
      <c r="B1216" s="139" t="s">
        <v>54</v>
      </c>
      <c r="C1216" s="140" t="s">
        <v>361</v>
      </c>
      <c r="D1216" s="141">
        <v>45642</v>
      </c>
      <c r="E1216" s="141">
        <v>45885</v>
      </c>
      <c r="F1216" s="57">
        <v>21923.5</v>
      </c>
      <c r="G1216" s="58">
        <f t="shared" si="270"/>
        <v>-137</v>
      </c>
      <c r="H1216" s="142">
        <f t="shared" si="271"/>
        <v>0</v>
      </c>
      <c r="I1216" s="142">
        <f t="shared" si="272"/>
        <v>0</v>
      </c>
      <c r="J1216" s="143">
        <f t="shared" si="273"/>
        <v>21923.5</v>
      </c>
      <c r="K1216" s="143">
        <f t="shared" si="274"/>
        <v>0</v>
      </c>
      <c r="L1216" s="142">
        <f t="shared" si="275"/>
        <v>0</v>
      </c>
      <c r="M1216" s="142">
        <f t="shared" si="276"/>
        <v>0</v>
      </c>
      <c r="N1216" s="142">
        <f t="shared" si="277"/>
        <v>0</v>
      </c>
      <c r="O1216" s="59">
        <f t="shared" si="278"/>
        <v>21923.5</v>
      </c>
      <c r="P1216" s="142">
        <f t="shared" si="279"/>
        <v>0</v>
      </c>
      <c r="Q1216" s="142">
        <f t="shared" si="280"/>
        <v>0</v>
      </c>
      <c r="R1216" s="142">
        <f t="shared" si="281"/>
        <v>0</v>
      </c>
      <c r="S1216" s="142">
        <f t="shared" si="282"/>
        <v>0</v>
      </c>
      <c r="T1216" s="142">
        <f t="shared" si="283"/>
        <v>0</v>
      </c>
      <c r="U1216" s="60">
        <f t="shared" si="284"/>
        <v>0</v>
      </c>
    </row>
    <row r="1217" spans="1:21" x14ac:dyDescent="0.2">
      <c r="A1217" s="115"/>
      <c r="B1217" s="139" t="s">
        <v>54</v>
      </c>
      <c r="C1217" s="140" t="s">
        <v>361</v>
      </c>
      <c r="D1217" s="141">
        <v>45642</v>
      </c>
      <c r="E1217" s="141">
        <v>45916</v>
      </c>
      <c r="F1217" s="57">
        <v>21923.5</v>
      </c>
      <c r="G1217" s="58">
        <f t="shared" si="270"/>
        <v>-106</v>
      </c>
      <c r="H1217" s="142">
        <f t="shared" si="271"/>
        <v>0</v>
      </c>
      <c r="I1217" s="142">
        <f t="shared" si="272"/>
        <v>0</v>
      </c>
      <c r="J1217" s="143">
        <f t="shared" si="273"/>
        <v>0</v>
      </c>
      <c r="K1217" s="143">
        <f t="shared" si="274"/>
        <v>21923.5</v>
      </c>
      <c r="L1217" s="142">
        <f t="shared" si="275"/>
        <v>0</v>
      </c>
      <c r="M1217" s="142">
        <f t="shared" si="276"/>
        <v>0</v>
      </c>
      <c r="N1217" s="142">
        <f t="shared" si="277"/>
        <v>0</v>
      </c>
      <c r="O1217" s="59">
        <f t="shared" si="278"/>
        <v>21923.5</v>
      </c>
      <c r="P1217" s="142">
        <f t="shared" si="279"/>
        <v>0</v>
      </c>
      <c r="Q1217" s="142">
        <f t="shared" si="280"/>
        <v>0</v>
      </c>
      <c r="R1217" s="142">
        <f t="shared" si="281"/>
        <v>0</v>
      </c>
      <c r="S1217" s="142">
        <f t="shared" si="282"/>
        <v>0</v>
      </c>
      <c r="T1217" s="142">
        <f t="shared" si="283"/>
        <v>0</v>
      </c>
      <c r="U1217" s="60">
        <f t="shared" si="284"/>
        <v>0</v>
      </c>
    </row>
    <row r="1218" spans="1:21" x14ac:dyDescent="0.2">
      <c r="A1218" s="115"/>
      <c r="B1218" s="139" t="s">
        <v>54</v>
      </c>
      <c r="C1218" s="140" t="s">
        <v>361</v>
      </c>
      <c r="D1218" s="141">
        <v>45642</v>
      </c>
      <c r="E1218" s="141">
        <v>45946</v>
      </c>
      <c r="F1218" s="57">
        <v>21923.5</v>
      </c>
      <c r="G1218" s="58">
        <f t="shared" si="270"/>
        <v>-76</v>
      </c>
      <c r="H1218" s="142">
        <f t="shared" si="271"/>
        <v>0</v>
      </c>
      <c r="I1218" s="142">
        <f t="shared" si="272"/>
        <v>0</v>
      </c>
      <c r="J1218" s="143">
        <f t="shared" si="273"/>
        <v>0</v>
      </c>
      <c r="K1218" s="143">
        <f t="shared" si="274"/>
        <v>0</v>
      </c>
      <c r="L1218" s="142">
        <f t="shared" si="275"/>
        <v>21923.5</v>
      </c>
      <c r="M1218" s="142">
        <f t="shared" si="276"/>
        <v>0</v>
      </c>
      <c r="N1218" s="142">
        <f t="shared" si="277"/>
        <v>0</v>
      </c>
      <c r="O1218" s="59">
        <f t="shared" si="278"/>
        <v>21923.5</v>
      </c>
      <c r="P1218" s="142">
        <f t="shared" si="279"/>
        <v>0</v>
      </c>
      <c r="Q1218" s="142">
        <f t="shared" si="280"/>
        <v>0</v>
      </c>
      <c r="R1218" s="142">
        <f t="shared" si="281"/>
        <v>0</v>
      </c>
      <c r="S1218" s="142">
        <f t="shared" si="282"/>
        <v>0</v>
      </c>
      <c r="T1218" s="142">
        <f t="shared" si="283"/>
        <v>0</v>
      </c>
      <c r="U1218" s="60">
        <f t="shared" si="284"/>
        <v>0</v>
      </c>
    </row>
    <row r="1219" spans="1:21" x14ac:dyDescent="0.2">
      <c r="A1219" s="115"/>
      <c r="B1219" s="139" t="s">
        <v>54</v>
      </c>
      <c r="C1219" s="140" t="s">
        <v>361</v>
      </c>
      <c r="D1219" s="141">
        <v>45642</v>
      </c>
      <c r="E1219" s="141">
        <v>45977</v>
      </c>
      <c r="F1219" s="57">
        <v>21923.5</v>
      </c>
      <c r="G1219" s="58">
        <f t="shared" si="270"/>
        <v>-45</v>
      </c>
      <c r="H1219" s="142">
        <f t="shared" si="271"/>
        <v>0</v>
      </c>
      <c r="I1219" s="142">
        <f t="shared" si="272"/>
        <v>0</v>
      </c>
      <c r="J1219" s="143">
        <f t="shared" si="273"/>
        <v>0</v>
      </c>
      <c r="K1219" s="143">
        <f t="shared" si="274"/>
        <v>0</v>
      </c>
      <c r="L1219" s="142">
        <f t="shared" si="275"/>
        <v>0</v>
      </c>
      <c r="M1219" s="142">
        <f t="shared" si="276"/>
        <v>21923.5</v>
      </c>
      <c r="N1219" s="142">
        <f t="shared" si="277"/>
        <v>0</v>
      </c>
      <c r="O1219" s="59">
        <f t="shared" si="278"/>
        <v>21923.5</v>
      </c>
      <c r="P1219" s="142">
        <f t="shared" si="279"/>
        <v>0</v>
      </c>
      <c r="Q1219" s="142">
        <f t="shared" si="280"/>
        <v>0</v>
      </c>
      <c r="R1219" s="142">
        <f t="shared" si="281"/>
        <v>0</v>
      </c>
      <c r="S1219" s="142">
        <f t="shared" si="282"/>
        <v>0</v>
      </c>
      <c r="T1219" s="142">
        <f t="shared" si="283"/>
        <v>0</v>
      </c>
      <c r="U1219" s="60">
        <f t="shared" si="284"/>
        <v>0</v>
      </c>
    </row>
    <row r="1220" spans="1:21" x14ac:dyDescent="0.2">
      <c r="A1220" s="115"/>
      <c r="B1220" s="139" t="s">
        <v>54</v>
      </c>
      <c r="C1220" s="140" t="s">
        <v>361</v>
      </c>
      <c r="D1220" s="141">
        <v>45642</v>
      </c>
      <c r="E1220" s="141">
        <v>46007</v>
      </c>
      <c r="F1220" s="57">
        <v>21923.5</v>
      </c>
      <c r="G1220" s="58">
        <f t="shared" si="270"/>
        <v>-15</v>
      </c>
      <c r="H1220" s="142">
        <f t="shared" si="271"/>
        <v>0</v>
      </c>
      <c r="I1220" s="142">
        <f t="shared" si="272"/>
        <v>0</v>
      </c>
      <c r="J1220" s="143">
        <f t="shared" si="273"/>
        <v>0</v>
      </c>
      <c r="K1220" s="143">
        <f t="shared" si="274"/>
        <v>0</v>
      </c>
      <c r="L1220" s="142">
        <f t="shared" si="275"/>
        <v>0</v>
      </c>
      <c r="M1220" s="142">
        <f t="shared" si="276"/>
        <v>0</v>
      </c>
      <c r="N1220" s="142">
        <f t="shared" si="277"/>
        <v>21923.5</v>
      </c>
      <c r="O1220" s="59">
        <f t="shared" si="278"/>
        <v>21923.5</v>
      </c>
      <c r="P1220" s="142">
        <f t="shared" si="279"/>
        <v>0</v>
      </c>
      <c r="Q1220" s="142">
        <f t="shared" si="280"/>
        <v>0</v>
      </c>
      <c r="R1220" s="142">
        <f t="shared" si="281"/>
        <v>0</v>
      </c>
      <c r="S1220" s="142">
        <f t="shared" si="282"/>
        <v>0</v>
      </c>
      <c r="T1220" s="142">
        <f t="shared" si="283"/>
        <v>0</v>
      </c>
      <c r="U1220" s="60">
        <f t="shared" si="284"/>
        <v>0</v>
      </c>
    </row>
    <row r="1221" spans="1:21" x14ac:dyDescent="0.2">
      <c r="A1221" s="115"/>
      <c r="B1221" s="139" t="s">
        <v>54</v>
      </c>
      <c r="C1221" s="140" t="s">
        <v>361</v>
      </c>
      <c r="D1221" s="141">
        <v>45642</v>
      </c>
      <c r="E1221" s="141">
        <v>46038</v>
      </c>
      <c r="F1221" s="57">
        <v>21923.5</v>
      </c>
      <c r="G1221" s="58">
        <f t="shared" si="270"/>
        <v>16</v>
      </c>
      <c r="H1221" s="142">
        <f t="shared" si="271"/>
        <v>0</v>
      </c>
      <c r="I1221" s="142">
        <f t="shared" si="272"/>
        <v>0</v>
      </c>
      <c r="J1221" s="143">
        <f t="shared" si="273"/>
        <v>0</v>
      </c>
      <c r="K1221" s="143">
        <f t="shared" si="274"/>
        <v>0</v>
      </c>
      <c r="L1221" s="142">
        <f t="shared" si="275"/>
        <v>0</v>
      </c>
      <c r="M1221" s="142">
        <f t="shared" si="276"/>
        <v>0</v>
      </c>
      <c r="N1221" s="142">
        <f t="shared" si="277"/>
        <v>0</v>
      </c>
      <c r="O1221" s="59">
        <f t="shared" si="278"/>
        <v>0</v>
      </c>
      <c r="P1221" s="142">
        <f t="shared" si="279"/>
        <v>21923.5</v>
      </c>
      <c r="Q1221" s="142">
        <f t="shared" si="280"/>
        <v>0</v>
      </c>
      <c r="R1221" s="142">
        <f t="shared" si="281"/>
        <v>0</v>
      </c>
      <c r="S1221" s="142">
        <f t="shared" si="282"/>
        <v>0</v>
      </c>
      <c r="T1221" s="142">
        <f t="shared" si="283"/>
        <v>0</v>
      </c>
      <c r="U1221" s="60">
        <f t="shared" si="284"/>
        <v>21923.5</v>
      </c>
    </row>
    <row r="1222" spans="1:21" x14ac:dyDescent="0.2">
      <c r="A1222" s="115"/>
      <c r="B1222" s="139" t="s">
        <v>54</v>
      </c>
      <c r="C1222" s="140" t="s">
        <v>361</v>
      </c>
      <c r="D1222" s="141">
        <v>45642</v>
      </c>
      <c r="E1222" s="141">
        <v>46069</v>
      </c>
      <c r="F1222" s="57">
        <v>21923.5</v>
      </c>
      <c r="G1222" s="58">
        <f t="shared" si="270"/>
        <v>47</v>
      </c>
      <c r="H1222" s="142">
        <f t="shared" si="271"/>
        <v>0</v>
      </c>
      <c r="I1222" s="142">
        <f t="shared" si="272"/>
        <v>0</v>
      </c>
      <c r="J1222" s="143">
        <f t="shared" si="273"/>
        <v>0</v>
      </c>
      <c r="K1222" s="143">
        <f t="shared" si="274"/>
        <v>0</v>
      </c>
      <c r="L1222" s="142">
        <f t="shared" si="275"/>
        <v>0</v>
      </c>
      <c r="M1222" s="142">
        <f t="shared" si="276"/>
        <v>0</v>
      </c>
      <c r="N1222" s="142">
        <f t="shared" si="277"/>
        <v>0</v>
      </c>
      <c r="O1222" s="59">
        <f t="shared" si="278"/>
        <v>0</v>
      </c>
      <c r="P1222" s="142">
        <f t="shared" si="279"/>
        <v>0</v>
      </c>
      <c r="Q1222" s="142">
        <f t="shared" si="280"/>
        <v>21923.5</v>
      </c>
      <c r="R1222" s="142">
        <f t="shared" si="281"/>
        <v>0</v>
      </c>
      <c r="S1222" s="142">
        <f t="shared" si="282"/>
        <v>0</v>
      </c>
      <c r="T1222" s="142">
        <f t="shared" si="283"/>
        <v>0</v>
      </c>
      <c r="U1222" s="60">
        <f t="shared" si="284"/>
        <v>21923.5</v>
      </c>
    </row>
    <row r="1223" spans="1:21" x14ac:dyDescent="0.2">
      <c r="A1223" s="115"/>
      <c r="B1223" s="139" t="s">
        <v>54</v>
      </c>
      <c r="C1223" s="140" t="s">
        <v>361</v>
      </c>
      <c r="D1223" s="141">
        <v>45642</v>
      </c>
      <c r="E1223" s="141">
        <v>46097</v>
      </c>
      <c r="F1223" s="57">
        <v>21923.5</v>
      </c>
      <c r="G1223" s="58">
        <f t="shared" ref="G1223:G1244" si="285">E1223-$H$3</f>
        <v>75</v>
      </c>
      <c r="H1223" s="142">
        <f t="shared" ref="H1223:H1244" si="286">IF(AND($G1223&gt;=-8000,$G1223&lt;=-181),$F1223,0)</f>
        <v>0</v>
      </c>
      <c r="I1223" s="142">
        <f t="shared" ref="I1223:I1244" si="287">IF(AND($G1223&gt;=-180,$G1223&lt;=-151),$F1223,0)</f>
        <v>0</v>
      </c>
      <c r="J1223" s="143">
        <f t="shared" ref="J1223:J1244" si="288">IF(AND($G1223&gt;=-150,$G1223&lt;=-121),$F1223,0)</f>
        <v>0</v>
      </c>
      <c r="K1223" s="143">
        <f t="shared" ref="K1223:K1244" si="289">IF(AND($G1223&gt;=-120,$G1223&lt;=-91),$F1223,0)</f>
        <v>0</v>
      </c>
      <c r="L1223" s="142">
        <f t="shared" ref="L1223:L1244" si="290">IF(AND($G1223&gt;=-90,$G1223&lt;=-61),$F1223,0)</f>
        <v>0</v>
      </c>
      <c r="M1223" s="142">
        <f t="shared" ref="M1223:M1244" si="291">IF(AND($G1223&gt;=-60,$G1223&lt;=-31),$F1223,0)</f>
        <v>0</v>
      </c>
      <c r="N1223" s="142">
        <f t="shared" ref="N1223:N1244" si="292">IF(AND($G1223&gt;=-30,$G1223&lt;=-1),$F1223,0)</f>
        <v>0</v>
      </c>
      <c r="O1223" s="59">
        <f t="shared" ref="O1223:O1244" si="293">SUM(H1223:N1223)</f>
        <v>0</v>
      </c>
      <c r="P1223" s="142">
        <f t="shared" ref="P1223:P1244" si="294">IF(AND($G1223&lt;=30,$G1223&gt;=0),$F1223,0)</f>
        <v>0</v>
      </c>
      <c r="Q1223" s="142">
        <f t="shared" ref="Q1223:Q1244" si="295">IF(AND($G1223&lt;=60,$G1223&gt;=31),$F1223,0)</f>
        <v>0</v>
      </c>
      <c r="R1223" s="142">
        <f t="shared" ref="R1223:R1244" si="296">IF(AND($G1223&lt;=90,$G1223&gt;=61),$F1223,0)</f>
        <v>21923.5</v>
      </c>
      <c r="S1223" s="142">
        <f t="shared" ref="S1223:S1244" si="297">IF(AND($G1223&lt;=120,$G1223&gt;=91),$F1223,0)</f>
        <v>0</v>
      </c>
      <c r="T1223" s="142">
        <f t="shared" ref="T1223:T1244" si="298">IF(G1223&gt;=121,F1223,0)</f>
        <v>0</v>
      </c>
      <c r="U1223" s="60">
        <f t="shared" ref="U1223:U1244" si="299">SUM(P1223:T1223)</f>
        <v>21923.5</v>
      </c>
    </row>
    <row r="1224" spans="1:21" x14ac:dyDescent="0.2">
      <c r="A1224" s="115"/>
      <c r="B1224" s="139" t="s">
        <v>54</v>
      </c>
      <c r="C1224" s="140" t="s">
        <v>361</v>
      </c>
      <c r="D1224" s="141">
        <v>45642</v>
      </c>
      <c r="E1224" s="141">
        <v>46128</v>
      </c>
      <c r="F1224" s="57">
        <v>21923.5</v>
      </c>
      <c r="G1224" s="58">
        <f t="shared" si="285"/>
        <v>106</v>
      </c>
      <c r="H1224" s="142">
        <f t="shared" si="286"/>
        <v>0</v>
      </c>
      <c r="I1224" s="142">
        <f t="shared" si="287"/>
        <v>0</v>
      </c>
      <c r="J1224" s="143">
        <f t="shared" si="288"/>
        <v>0</v>
      </c>
      <c r="K1224" s="143">
        <f t="shared" si="289"/>
        <v>0</v>
      </c>
      <c r="L1224" s="142">
        <f t="shared" si="290"/>
        <v>0</v>
      </c>
      <c r="M1224" s="142">
        <f t="shared" si="291"/>
        <v>0</v>
      </c>
      <c r="N1224" s="142">
        <f t="shared" si="292"/>
        <v>0</v>
      </c>
      <c r="O1224" s="59">
        <f t="shared" si="293"/>
        <v>0</v>
      </c>
      <c r="P1224" s="142">
        <f t="shared" si="294"/>
        <v>0</v>
      </c>
      <c r="Q1224" s="142">
        <f t="shared" si="295"/>
        <v>0</v>
      </c>
      <c r="R1224" s="142">
        <f t="shared" si="296"/>
        <v>0</v>
      </c>
      <c r="S1224" s="142">
        <f t="shared" si="297"/>
        <v>21923.5</v>
      </c>
      <c r="T1224" s="142">
        <f t="shared" si="298"/>
        <v>0</v>
      </c>
      <c r="U1224" s="60">
        <f t="shared" si="299"/>
        <v>21923.5</v>
      </c>
    </row>
    <row r="1225" spans="1:21" x14ac:dyDescent="0.2">
      <c r="A1225" s="115"/>
      <c r="B1225" s="139" t="s">
        <v>54</v>
      </c>
      <c r="C1225" s="140" t="s">
        <v>361</v>
      </c>
      <c r="D1225" s="141">
        <v>45642</v>
      </c>
      <c r="E1225" s="141">
        <v>46158</v>
      </c>
      <c r="F1225" s="57">
        <v>21923.5</v>
      </c>
      <c r="G1225" s="58">
        <f t="shared" si="285"/>
        <v>136</v>
      </c>
      <c r="H1225" s="142">
        <f t="shared" si="286"/>
        <v>0</v>
      </c>
      <c r="I1225" s="142">
        <f t="shared" si="287"/>
        <v>0</v>
      </c>
      <c r="J1225" s="143">
        <f t="shared" si="288"/>
        <v>0</v>
      </c>
      <c r="K1225" s="143">
        <f t="shared" si="289"/>
        <v>0</v>
      </c>
      <c r="L1225" s="142">
        <f t="shared" si="290"/>
        <v>0</v>
      </c>
      <c r="M1225" s="142">
        <f t="shared" si="291"/>
        <v>0</v>
      </c>
      <c r="N1225" s="142">
        <f t="shared" si="292"/>
        <v>0</v>
      </c>
      <c r="O1225" s="59">
        <f t="shared" si="293"/>
        <v>0</v>
      </c>
      <c r="P1225" s="142">
        <f t="shared" si="294"/>
        <v>0</v>
      </c>
      <c r="Q1225" s="142">
        <f t="shared" si="295"/>
        <v>0</v>
      </c>
      <c r="R1225" s="142">
        <f t="shared" si="296"/>
        <v>0</v>
      </c>
      <c r="S1225" s="142">
        <f t="shared" si="297"/>
        <v>0</v>
      </c>
      <c r="T1225" s="142">
        <f t="shared" si="298"/>
        <v>21923.5</v>
      </c>
      <c r="U1225" s="60">
        <f t="shared" si="299"/>
        <v>21923.5</v>
      </c>
    </row>
    <row r="1226" spans="1:21" x14ac:dyDescent="0.2">
      <c r="A1226" s="115"/>
      <c r="B1226" s="139" t="s">
        <v>54</v>
      </c>
      <c r="C1226" s="140" t="s">
        <v>361</v>
      </c>
      <c r="D1226" s="141">
        <v>45642</v>
      </c>
      <c r="E1226" s="141">
        <v>46189</v>
      </c>
      <c r="F1226" s="57">
        <v>21923.5</v>
      </c>
      <c r="G1226" s="58">
        <f t="shared" si="285"/>
        <v>167</v>
      </c>
      <c r="H1226" s="142">
        <f t="shared" si="286"/>
        <v>0</v>
      </c>
      <c r="I1226" s="142">
        <f t="shared" si="287"/>
        <v>0</v>
      </c>
      <c r="J1226" s="143">
        <f t="shared" si="288"/>
        <v>0</v>
      </c>
      <c r="K1226" s="143">
        <f t="shared" si="289"/>
        <v>0</v>
      </c>
      <c r="L1226" s="142">
        <f t="shared" si="290"/>
        <v>0</v>
      </c>
      <c r="M1226" s="142">
        <f t="shared" si="291"/>
        <v>0</v>
      </c>
      <c r="N1226" s="142">
        <f t="shared" si="292"/>
        <v>0</v>
      </c>
      <c r="O1226" s="59">
        <f t="shared" si="293"/>
        <v>0</v>
      </c>
      <c r="P1226" s="142">
        <f t="shared" si="294"/>
        <v>0</v>
      </c>
      <c r="Q1226" s="142">
        <f t="shared" si="295"/>
        <v>0</v>
      </c>
      <c r="R1226" s="142">
        <f t="shared" si="296"/>
        <v>0</v>
      </c>
      <c r="S1226" s="142">
        <f t="shared" si="297"/>
        <v>0</v>
      </c>
      <c r="T1226" s="142">
        <f t="shared" si="298"/>
        <v>21923.5</v>
      </c>
      <c r="U1226" s="60">
        <f t="shared" si="299"/>
        <v>21923.5</v>
      </c>
    </row>
    <row r="1227" spans="1:21" x14ac:dyDescent="0.2">
      <c r="A1227" s="115"/>
      <c r="B1227" s="139" t="s">
        <v>54</v>
      </c>
      <c r="C1227" s="140" t="s">
        <v>361</v>
      </c>
      <c r="D1227" s="141">
        <v>45642</v>
      </c>
      <c r="E1227" s="141">
        <v>46219</v>
      </c>
      <c r="F1227" s="57">
        <v>21923.5</v>
      </c>
      <c r="G1227" s="58">
        <f t="shared" si="285"/>
        <v>197</v>
      </c>
      <c r="H1227" s="142">
        <f t="shared" si="286"/>
        <v>0</v>
      </c>
      <c r="I1227" s="142">
        <f t="shared" si="287"/>
        <v>0</v>
      </c>
      <c r="J1227" s="143">
        <f t="shared" si="288"/>
        <v>0</v>
      </c>
      <c r="K1227" s="143">
        <f t="shared" si="289"/>
        <v>0</v>
      </c>
      <c r="L1227" s="142">
        <f t="shared" si="290"/>
        <v>0</v>
      </c>
      <c r="M1227" s="142">
        <f t="shared" si="291"/>
        <v>0</v>
      </c>
      <c r="N1227" s="142">
        <f t="shared" si="292"/>
        <v>0</v>
      </c>
      <c r="O1227" s="59">
        <f t="shared" si="293"/>
        <v>0</v>
      </c>
      <c r="P1227" s="142">
        <f t="shared" si="294"/>
        <v>0</v>
      </c>
      <c r="Q1227" s="142">
        <f t="shared" si="295"/>
        <v>0</v>
      </c>
      <c r="R1227" s="142">
        <f t="shared" si="296"/>
        <v>0</v>
      </c>
      <c r="S1227" s="142">
        <f t="shared" si="297"/>
        <v>0</v>
      </c>
      <c r="T1227" s="142">
        <f t="shared" si="298"/>
        <v>21923.5</v>
      </c>
      <c r="U1227" s="60">
        <f t="shared" si="299"/>
        <v>21923.5</v>
      </c>
    </row>
    <row r="1228" spans="1:21" x14ac:dyDescent="0.2">
      <c r="A1228" s="115"/>
      <c r="B1228" s="139" t="s">
        <v>54</v>
      </c>
      <c r="C1228" s="140" t="s">
        <v>361</v>
      </c>
      <c r="D1228" s="141">
        <v>45642</v>
      </c>
      <c r="E1228" s="141">
        <v>46250</v>
      </c>
      <c r="F1228" s="57">
        <v>21923.5</v>
      </c>
      <c r="G1228" s="58">
        <f t="shared" si="285"/>
        <v>228</v>
      </c>
      <c r="H1228" s="142">
        <f t="shared" si="286"/>
        <v>0</v>
      </c>
      <c r="I1228" s="142">
        <f t="shared" si="287"/>
        <v>0</v>
      </c>
      <c r="J1228" s="143">
        <f t="shared" si="288"/>
        <v>0</v>
      </c>
      <c r="K1228" s="143">
        <f t="shared" si="289"/>
        <v>0</v>
      </c>
      <c r="L1228" s="142">
        <f t="shared" si="290"/>
        <v>0</v>
      </c>
      <c r="M1228" s="142">
        <f t="shared" si="291"/>
        <v>0</v>
      </c>
      <c r="N1228" s="142">
        <f t="shared" si="292"/>
        <v>0</v>
      </c>
      <c r="O1228" s="59">
        <f t="shared" si="293"/>
        <v>0</v>
      </c>
      <c r="P1228" s="142">
        <f t="shared" si="294"/>
        <v>0</v>
      </c>
      <c r="Q1228" s="142">
        <f t="shared" si="295"/>
        <v>0</v>
      </c>
      <c r="R1228" s="142">
        <f t="shared" si="296"/>
        <v>0</v>
      </c>
      <c r="S1228" s="142">
        <f t="shared" si="297"/>
        <v>0</v>
      </c>
      <c r="T1228" s="142">
        <f t="shared" si="298"/>
        <v>21923.5</v>
      </c>
      <c r="U1228" s="60">
        <f t="shared" si="299"/>
        <v>21923.5</v>
      </c>
    </row>
    <row r="1229" spans="1:21" x14ac:dyDescent="0.2">
      <c r="A1229" s="115"/>
      <c r="B1229" s="139" t="s">
        <v>54</v>
      </c>
      <c r="C1229" s="140" t="s">
        <v>361</v>
      </c>
      <c r="D1229" s="141">
        <v>45642</v>
      </c>
      <c r="E1229" s="141">
        <v>46281</v>
      </c>
      <c r="F1229" s="57">
        <v>21923.5</v>
      </c>
      <c r="G1229" s="58">
        <f t="shared" si="285"/>
        <v>259</v>
      </c>
      <c r="H1229" s="142">
        <f t="shared" si="286"/>
        <v>0</v>
      </c>
      <c r="I1229" s="142">
        <f t="shared" si="287"/>
        <v>0</v>
      </c>
      <c r="J1229" s="143">
        <f t="shared" si="288"/>
        <v>0</v>
      </c>
      <c r="K1229" s="143">
        <f t="shared" si="289"/>
        <v>0</v>
      </c>
      <c r="L1229" s="142">
        <f t="shared" si="290"/>
        <v>0</v>
      </c>
      <c r="M1229" s="142">
        <f t="shared" si="291"/>
        <v>0</v>
      </c>
      <c r="N1229" s="142">
        <f t="shared" si="292"/>
        <v>0</v>
      </c>
      <c r="O1229" s="59">
        <f t="shared" si="293"/>
        <v>0</v>
      </c>
      <c r="P1229" s="142">
        <f t="shared" si="294"/>
        <v>0</v>
      </c>
      <c r="Q1229" s="142">
        <f t="shared" si="295"/>
        <v>0</v>
      </c>
      <c r="R1229" s="142">
        <f t="shared" si="296"/>
        <v>0</v>
      </c>
      <c r="S1229" s="142">
        <f t="shared" si="297"/>
        <v>0</v>
      </c>
      <c r="T1229" s="142">
        <f t="shared" si="298"/>
        <v>21923.5</v>
      </c>
      <c r="U1229" s="60">
        <f t="shared" si="299"/>
        <v>21923.5</v>
      </c>
    </row>
    <row r="1230" spans="1:21" x14ac:dyDescent="0.2">
      <c r="A1230" s="115"/>
      <c r="B1230" s="139" t="s">
        <v>54</v>
      </c>
      <c r="C1230" s="140" t="s">
        <v>361</v>
      </c>
      <c r="D1230" s="141">
        <v>45642</v>
      </c>
      <c r="E1230" s="141">
        <v>46311</v>
      </c>
      <c r="F1230" s="57">
        <v>21923.5</v>
      </c>
      <c r="G1230" s="58">
        <f t="shared" si="285"/>
        <v>289</v>
      </c>
      <c r="H1230" s="142">
        <f t="shared" si="286"/>
        <v>0</v>
      </c>
      <c r="I1230" s="142">
        <f t="shared" si="287"/>
        <v>0</v>
      </c>
      <c r="J1230" s="143">
        <f t="shared" si="288"/>
        <v>0</v>
      </c>
      <c r="K1230" s="143">
        <f t="shared" si="289"/>
        <v>0</v>
      </c>
      <c r="L1230" s="142">
        <f t="shared" si="290"/>
        <v>0</v>
      </c>
      <c r="M1230" s="142">
        <f t="shared" si="291"/>
        <v>0</v>
      </c>
      <c r="N1230" s="142">
        <f t="shared" si="292"/>
        <v>0</v>
      </c>
      <c r="O1230" s="59">
        <f t="shared" si="293"/>
        <v>0</v>
      </c>
      <c r="P1230" s="142">
        <f t="shared" si="294"/>
        <v>0</v>
      </c>
      <c r="Q1230" s="142">
        <f t="shared" si="295"/>
        <v>0</v>
      </c>
      <c r="R1230" s="142">
        <f t="shared" si="296"/>
        <v>0</v>
      </c>
      <c r="S1230" s="142">
        <f t="shared" si="297"/>
        <v>0</v>
      </c>
      <c r="T1230" s="142">
        <f t="shared" si="298"/>
        <v>21923.5</v>
      </c>
      <c r="U1230" s="60">
        <f t="shared" si="299"/>
        <v>21923.5</v>
      </c>
    </row>
    <row r="1231" spans="1:21" x14ac:dyDescent="0.2">
      <c r="A1231" s="115"/>
      <c r="B1231" s="139" t="s">
        <v>54</v>
      </c>
      <c r="C1231" s="140" t="s">
        <v>361</v>
      </c>
      <c r="D1231" s="141">
        <v>45642</v>
      </c>
      <c r="E1231" s="141">
        <v>46342</v>
      </c>
      <c r="F1231" s="57">
        <v>21923.5</v>
      </c>
      <c r="G1231" s="58">
        <f t="shared" si="285"/>
        <v>320</v>
      </c>
      <c r="H1231" s="142">
        <f t="shared" si="286"/>
        <v>0</v>
      </c>
      <c r="I1231" s="142">
        <f t="shared" si="287"/>
        <v>0</v>
      </c>
      <c r="J1231" s="143">
        <f t="shared" si="288"/>
        <v>0</v>
      </c>
      <c r="K1231" s="143">
        <f t="shared" si="289"/>
        <v>0</v>
      </c>
      <c r="L1231" s="142">
        <f t="shared" si="290"/>
        <v>0</v>
      </c>
      <c r="M1231" s="142">
        <f t="shared" si="291"/>
        <v>0</v>
      </c>
      <c r="N1231" s="142">
        <f t="shared" si="292"/>
        <v>0</v>
      </c>
      <c r="O1231" s="59">
        <f t="shared" si="293"/>
        <v>0</v>
      </c>
      <c r="P1231" s="142">
        <f t="shared" si="294"/>
        <v>0</v>
      </c>
      <c r="Q1231" s="142">
        <f t="shared" si="295"/>
        <v>0</v>
      </c>
      <c r="R1231" s="142">
        <f t="shared" si="296"/>
        <v>0</v>
      </c>
      <c r="S1231" s="142">
        <f t="shared" si="297"/>
        <v>0</v>
      </c>
      <c r="T1231" s="142">
        <f t="shared" si="298"/>
        <v>21923.5</v>
      </c>
      <c r="U1231" s="60">
        <f t="shared" si="299"/>
        <v>21923.5</v>
      </c>
    </row>
    <row r="1232" spans="1:21" x14ac:dyDescent="0.2">
      <c r="A1232" s="115"/>
      <c r="B1232" s="139" t="s">
        <v>373</v>
      </c>
      <c r="C1232" s="140" t="s">
        <v>1026</v>
      </c>
      <c r="D1232" s="141">
        <v>46017</v>
      </c>
      <c r="E1232" s="141">
        <v>46076</v>
      </c>
      <c r="F1232" s="57">
        <v>13900</v>
      </c>
      <c r="G1232" s="58">
        <f t="shared" si="285"/>
        <v>54</v>
      </c>
      <c r="H1232" s="142">
        <f t="shared" si="286"/>
        <v>0</v>
      </c>
      <c r="I1232" s="142">
        <f t="shared" si="287"/>
        <v>0</v>
      </c>
      <c r="J1232" s="143">
        <f t="shared" si="288"/>
        <v>0</v>
      </c>
      <c r="K1232" s="143">
        <f t="shared" si="289"/>
        <v>0</v>
      </c>
      <c r="L1232" s="142">
        <f t="shared" si="290"/>
        <v>0</v>
      </c>
      <c r="M1232" s="142">
        <f t="shared" si="291"/>
        <v>0</v>
      </c>
      <c r="N1232" s="142">
        <f t="shared" si="292"/>
        <v>0</v>
      </c>
      <c r="O1232" s="59">
        <f t="shared" si="293"/>
        <v>0</v>
      </c>
      <c r="P1232" s="142">
        <f t="shared" si="294"/>
        <v>0</v>
      </c>
      <c r="Q1232" s="142">
        <f t="shared" si="295"/>
        <v>13900</v>
      </c>
      <c r="R1232" s="142">
        <f t="shared" si="296"/>
        <v>0</v>
      </c>
      <c r="S1232" s="142">
        <f t="shared" si="297"/>
        <v>0</v>
      </c>
      <c r="T1232" s="142">
        <f t="shared" si="298"/>
        <v>0</v>
      </c>
      <c r="U1232" s="60">
        <f t="shared" si="299"/>
        <v>13900</v>
      </c>
    </row>
    <row r="1233" spans="1:24" x14ac:dyDescent="0.2">
      <c r="A1233" s="115"/>
      <c r="B1233" s="139" t="s">
        <v>499</v>
      </c>
      <c r="C1233" s="140" t="s">
        <v>362</v>
      </c>
      <c r="D1233" s="141">
        <v>45630</v>
      </c>
      <c r="E1233" s="141">
        <v>45673</v>
      </c>
      <c r="F1233" s="57">
        <v>24260</v>
      </c>
      <c r="G1233" s="58">
        <f t="shared" si="285"/>
        <v>-349</v>
      </c>
      <c r="H1233" s="142">
        <f t="shared" si="286"/>
        <v>24260</v>
      </c>
      <c r="I1233" s="142">
        <f t="shared" si="287"/>
        <v>0</v>
      </c>
      <c r="J1233" s="143">
        <f t="shared" si="288"/>
        <v>0</v>
      </c>
      <c r="K1233" s="143">
        <f t="shared" si="289"/>
        <v>0</v>
      </c>
      <c r="L1233" s="142">
        <f t="shared" si="290"/>
        <v>0</v>
      </c>
      <c r="M1233" s="142">
        <f t="shared" si="291"/>
        <v>0</v>
      </c>
      <c r="N1233" s="142">
        <f t="shared" si="292"/>
        <v>0</v>
      </c>
      <c r="O1233" s="59">
        <f t="shared" si="293"/>
        <v>24260</v>
      </c>
      <c r="P1233" s="142">
        <f t="shared" si="294"/>
        <v>0</v>
      </c>
      <c r="Q1233" s="142">
        <f t="shared" si="295"/>
        <v>0</v>
      </c>
      <c r="R1233" s="142">
        <f t="shared" si="296"/>
        <v>0</v>
      </c>
      <c r="S1233" s="142">
        <f t="shared" si="297"/>
        <v>0</v>
      </c>
      <c r="T1233" s="142">
        <f t="shared" si="298"/>
        <v>0</v>
      </c>
      <c r="U1233" s="60">
        <f t="shared" si="299"/>
        <v>0</v>
      </c>
    </row>
    <row r="1234" spans="1:24" x14ac:dyDescent="0.2">
      <c r="A1234" s="115"/>
      <c r="B1234" s="139" t="s">
        <v>499</v>
      </c>
      <c r="C1234" s="140" t="s">
        <v>362</v>
      </c>
      <c r="D1234" s="141">
        <v>45630</v>
      </c>
      <c r="E1234" s="141">
        <v>45704</v>
      </c>
      <c r="F1234" s="57">
        <v>24260</v>
      </c>
      <c r="G1234" s="58">
        <f t="shared" si="285"/>
        <v>-318</v>
      </c>
      <c r="H1234" s="142">
        <f t="shared" si="286"/>
        <v>24260</v>
      </c>
      <c r="I1234" s="142">
        <f t="shared" si="287"/>
        <v>0</v>
      </c>
      <c r="J1234" s="143">
        <f t="shared" si="288"/>
        <v>0</v>
      </c>
      <c r="K1234" s="143">
        <f t="shared" si="289"/>
        <v>0</v>
      </c>
      <c r="L1234" s="142">
        <f t="shared" si="290"/>
        <v>0</v>
      </c>
      <c r="M1234" s="142">
        <f t="shared" si="291"/>
        <v>0</v>
      </c>
      <c r="N1234" s="142">
        <f t="shared" si="292"/>
        <v>0</v>
      </c>
      <c r="O1234" s="59">
        <f t="shared" si="293"/>
        <v>24260</v>
      </c>
      <c r="P1234" s="142">
        <f t="shared" si="294"/>
        <v>0</v>
      </c>
      <c r="Q1234" s="142">
        <f t="shared" si="295"/>
        <v>0</v>
      </c>
      <c r="R1234" s="142">
        <f t="shared" si="296"/>
        <v>0</v>
      </c>
      <c r="S1234" s="142">
        <f t="shared" si="297"/>
        <v>0</v>
      </c>
      <c r="T1234" s="142">
        <f t="shared" si="298"/>
        <v>0</v>
      </c>
      <c r="U1234" s="60">
        <f t="shared" si="299"/>
        <v>0</v>
      </c>
    </row>
    <row r="1235" spans="1:24" x14ac:dyDescent="0.2">
      <c r="A1235" s="115"/>
      <c r="B1235" s="139" t="s">
        <v>499</v>
      </c>
      <c r="C1235" s="140" t="s">
        <v>362</v>
      </c>
      <c r="D1235" s="141">
        <v>45630</v>
      </c>
      <c r="E1235" s="141">
        <v>45732</v>
      </c>
      <c r="F1235" s="57">
        <v>24260</v>
      </c>
      <c r="G1235" s="58">
        <f t="shared" si="285"/>
        <v>-290</v>
      </c>
      <c r="H1235" s="142">
        <f t="shared" si="286"/>
        <v>24260</v>
      </c>
      <c r="I1235" s="142">
        <f t="shared" si="287"/>
        <v>0</v>
      </c>
      <c r="J1235" s="143">
        <f t="shared" si="288"/>
        <v>0</v>
      </c>
      <c r="K1235" s="143">
        <f t="shared" si="289"/>
        <v>0</v>
      </c>
      <c r="L1235" s="142">
        <f t="shared" si="290"/>
        <v>0</v>
      </c>
      <c r="M1235" s="142">
        <f t="shared" si="291"/>
        <v>0</v>
      </c>
      <c r="N1235" s="142">
        <f t="shared" si="292"/>
        <v>0</v>
      </c>
      <c r="O1235" s="59">
        <f t="shared" si="293"/>
        <v>24260</v>
      </c>
      <c r="P1235" s="142">
        <f t="shared" si="294"/>
        <v>0</v>
      </c>
      <c r="Q1235" s="142">
        <f t="shared" si="295"/>
        <v>0</v>
      </c>
      <c r="R1235" s="142">
        <f t="shared" si="296"/>
        <v>0</v>
      </c>
      <c r="S1235" s="142">
        <f t="shared" si="297"/>
        <v>0</v>
      </c>
      <c r="T1235" s="142">
        <f t="shared" si="298"/>
        <v>0</v>
      </c>
      <c r="U1235" s="60">
        <f t="shared" si="299"/>
        <v>0</v>
      </c>
    </row>
    <row r="1236" spans="1:24" x14ac:dyDescent="0.2">
      <c r="A1236" s="115"/>
      <c r="B1236" s="139" t="s">
        <v>499</v>
      </c>
      <c r="C1236" s="140" t="s">
        <v>362</v>
      </c>
      <c r="D1236" s="141">
        <v>45630</v>
      </c>
      <c r="E1236" s="141">
        <v>45763</v>
      </c>
      <c r="F1236" s="57">
        <v>24260</v>
      </c>
      <c r="G1236" s="58">
        <f t="shared" si="285"/>
        <v>-259</v>
      </c>
      <c r="H1236" s="142">
        <f t="shared" si="286"/>
        <v>24260</v>
      </c>
      <c r="I1236" s="142">
        <f t="shared" si="287"/>
        <v>0</v>
      </c>
      <c r="J1236" s="143">
        <f t="shared" si="288"/>
        <v>0</v>
      </c>
      <c r="K1236" s="143">
        <f t="shared" si="289"/>
        <v>0</v>
      </c>
      <c r="L1236" s="142">
        <f t="shared" si="290"/>
        <v>0</v>
      </c>
      <c r="M1236" s="142">
        <f t="shared" si="291"/>
        <v>0</v>
      </c>
      <c r="N1236" s="142">
        <f t="shared" si="292"/>
        <v>0</v>
      </c>
      <c r="O1236" s="59">
        <f t="shared" si="293"/>
        <v>24260</v>
      </c>
      <c r="P1236" s="142">
        <f t="shared" si="294"/>
        <v>0</v>
      </c>
      <c r="Q1236" s="142">
        <f t="shared" si="295"/>
        <v>0</v>
      </c>
      <c r="R1236" s="142">
        <f t="shared" si="296"/>
        <v>0</v>
      </c>
      <c r="S1236" s="142">
        <f t="shared" si="297"/>
        <v>0</v>
      </c>
      <c r="T1236" s="142">
        <f t="shared" si="298"/>
        <v>0</v>
      </c>
      <c r="U1236" s="60">
        <f t="shared" si="299"/>
        <v>0</v>
      </c>
    </row>
    <row r="1237" spans="1:24" x14ac:dyDescent="0.2">
      <c r="A1237" s="115"/>
      <c r="B1237" s="139" t="s">
        <v>499</v>
      </c>
      <c r="C1237" s="140" t="s">
        <v>362</v>
      </c>
      <c r="D1237" s="141">
        <v>45630</v>
      </c>
      <c r="E1237" s="141">
        <v>45793</v>
      </c>
      <c r="F1237" s="57">
        <v>24260</v>
      </c>
      <c r="G1237" s="58">
        <f t="shared" si="285"/>
        <v>-229</v>
      </c>
      <c r="H1237" s="142">
        <f t="shared" si="286"/>
        <v>24260</v>
      </c>
      <c r="I1237" s="142">
        <f t="shared" si="287"/>
        <v>0</v>
      </c>
      <c r="J1237" s="143">
        <f t="shared" si="288"/>
        <v>0</v>
      </c>
      <c r="K1237" s="143">
        <f t="shared" si="289"/>
        <v>0</v>
      </c>
      <c r="L1237" s="142">
        <f t="shared" si="290"/>
        <v>0</v>
      </c>
      <c r="M1237" s="142">
        <f t="shared" si="291"/>
        <v>0</v>
      </c>
      <c r="N1237" s="142">
        <f t="shared" si="292"/>
        <v>0</v>
      </c>
      <c r="O1237" s="59">
        <f t="shared" si="293"/>
        <v>24260</v>
      </c>
      <c r="P1237" s="142">
        <f t="shared" si="294"/>
        <v>0</v>
      </c>
      <c r="Q1237" s="142">
        <f t="shared" si="295"/>
        <v>0</v>
      </c>
      <c r="R1237" s="142">
        <f t="shared" si="296"/>
        <v>0</v>
      </c>
      <c r="S1237" s="142">
        <f t="shared" si="297"/>
        <v>0</v>
      </c>
      <c r="T1237" s="142">
        <f t="shared" si="298"/>
        <v>0</v>
      </c>
      <c r="U1237" s="60">
        <f t="shared" si="299"/>
        <v>0</v>
      </c>
    </row>
    <row r="1238" spans="1:24" x14ac:dyDescent="0.2">
      <c r="A1238" s="115"/>
      <c r="B1238" s="139" t="s">
        <v>499</v>
      </c>
      <c r="C1238" s="140" t="s">
        <v>362</v>
      </c>
      <c r="D1238" s="141">
        <v>45630</v>
      </c>
      <c r="E1238" s="141">
        <v>45824</v>
      </c>
      <c r="F1238" s="57">
        <v>24260</v>
      </c>
      <c r="G1238" s="58">
        <f t="shared" si="285"/>
        <v>-198</v>
      </c>
      <c r="H1238" s="142">
        <f t="shared" si="286"/>
        <v>24260</v>
      </c>
      <c r="I1238" s="142">
        <f t="shared" si="287"/>
        <v>0</v>
      </c>
      <c r="J1238" s="143">
        <f t="shared" si="288"/>
        <v>0</v>
      </c>
      <c r="K1238" s="143">
        <f t="shared" si="289"/>
        <v>0</v>
      </c>
      <c r="L1238" s="142">
        <f t="shared" si="290"/>
        <v>0</v>
      </c>
      <c r="M1238" s="142">
        <f t="shared" si="291"/>
        <v>0</v>
      </c>
      <c r="N1238" s="142">
        <f t="shared" si="292"/>
        <v>0</v>
      </c>
      <c r="O1238" s="59">
        <f t="shared" si="293"/>
        <v>24260</v>
      </c>
      <c r="P1238" s="142">
        <f t="shared" si="294"/>
        <v>0</v>
      </c>
      <c r="Q1238" s="142">
        <f t="shared" si="295"/>
        <v>0</v>
      </c>
      <c r="R1238" s="142">
        <f t="shared" si="296"/>
        <v>0</v>
      </c>
      <c r="S1238" s="142">
        <f t="shared" si="297"/>
        <v>0</v>
      </c>
      <c r="T1238" s="142">
        <f t="shared" si="298"/>
        <v>0</v>
      </c>
      <c r="U1238" s="60">
        <f t="shared" si="299"/>
        <v>0</v>
      </c>
    </row>
    <row r="1239" spans="1:24" x14ac:dyDescent="0.2">
      <c r="A1239" s="115"/>
      <c r="B1239" s="139" t="s">
        <v>499</v>
      </c>
      <c r="C1239" s="140" t="s">
        <v>362</v>
      </c>
      <c r="D1239" s="141">
        <v>45630</v>
      </c>
      <c r="E1239" s="141">
        <v>45854</v>
      </c>
      <c r="F1239" s="57">
        <v>24260</v>
      </c>
      <c r="G1239" s="58">
        <f t="shared" si="285"/>
        <v>-168</v>
      </c>
      <c r="H1239" s="142">
        <f t="shared" si="286"/>
        <v>0</v>
      </c>
      <c r="I1239" s="142">
        <f t="shared" si="287"/>
        <v>24260</v>
      </c>
      <c r="J1239" s="143">
        <f t="shared" si="288"/>
        <v>0</v>
      </c>
      <c r="K1239" s="143">
        <f t="shared" si="289"/>
        <v>0</v>
      </c>
      <c r="L1239" s="142">
        <f t="shared" si="290"/>
        <v>0</v>
      </c>
      <c r="M1239" s="142">
        <f t="shared" si="291"/>
        <v>0</v>
      </c>
      <c r="N1239" s="142">
        <f t="shared" si="292"/>
        <v>0</v>
      </c>
      <c r="O1239" s="59">
        <f t="shared" si="293"/>
        <v>24260</v>
      </c>
      <c r="P1239" s="142">
        <f t="shared" si="294"/>
        <v>0</v>
      </c>
      <c r="Q1239" s="142">
        <f t="shared" si="295"/>
        <v>0</v>
      </c>
      <c r="R1239" s="142">
        <f t="shared" si="296"/>
        <v>0</v>
      </c>
      <c r="S1239" s="142">
        <f t="shared" si="297"/>
        <v>0</v>
      </c>
      <c r="T1239" s="142">
        <f t="shared" si="298"/>
        <v>0</v>
      </c>
      <c r="U1239" s="60">
        <f t="shared" si="299"/>
        <v>0</v>
      </c>
    </row>
    <row r="1240" spans="1:24" x14ac:dyDescent="0.2">
      <c r="A1240" s="115"/>
      <c r="B1240" s="139" t="s">
        <v>499</v>
      </c>
      <c r="C1240" s="140" t="s">
        <v>362</v>
      </c>
      <c r="D1240" s="141">
        <v>45630</v>
      </c>
      <c r="E1240" s="141">
        <v>45885</v>
      </c>
      <c r="F1240" s="57">
        <v>24260</v>
      </c>
      <c r="G1240" s="58">
        <f t="shared" si="285"/>
        <v>-137</v>
      </c>
      <c r="H1240" s="142">
        <f t="shared" si="286"/>
        <v>0</v>
      </c>
      <c r="I1240" s="142">
        <f t="shared" si="287"/>
        <v>0</v>
      </c>
      <c r="J1240" s="143">
        <f t="shared" si="288"/>
        <v>24260</v>
      </c>
      <c r="K1240" s="143">
        <f t="shared" si="289"/>
        <v>0</v>
      </c>
      <c r="L1240" s="142">
        <f t="shared" si="290"/>
        <v>0</v>
      </c>
      <c r="M1240" s="142">
        <f t="shared" si="291"/>
        <v>0</v>
      </c>
      <c r="N1240" s="142">
        <f t="shared" si="292"/>
        <v>0</v>
      </c>
      <c r="O1240" s="59">
        <f t="shared" si="293"/>
        <v>24260</v>
      </c>
      <c r="P1240" s="142">
        <f t="shared" si="294"/>
        <v>0</v>
      </c>
      <c r="Q1240" s="142">
        <f t="shared" si="295"/>
        <v>0</v>
      </c>
      <c r="R1240" s="142">
        <f t="shared" si="296"/>
        <v>0</v>
      </c>
      <c r="S1240" s="142">
        <f t="shared" si="297"/>
        <v>0</v>
      </c>
      <c r="T1240" s="142">
        <f t="shared" si="298"/>
        <v>0</v>
      </c>
      <c r="U1240" s="60">
        <f t="shared" si="299"/>
        <v>0</v>
      </c>
    </row>
    <row r="1241" spans="1:24" x14ac:dyDescent="0.2">
      <c r="A1241" s="115"/>
      <c r="B1241" s="139" t="s">
        <v>499</v>
      </c>
      <c r="C1241" s="140" t="s">
        <v>362</v>
      </c>
      <c r="D1241" s="141">
        <v>45630</v>
      </c>
      <c r="E1241" s="141">
        <v>45916</v>
      </c>
      <c r="F1241" s="57">
        <v>24260</v>
      </c>
      <c r="G1241" s="58">
        <f t="shared" si="285"/>
        <v>-106</v>
      </c>
      <c r="H1241" s="142">
        <f t="shared" si="286"/>
        <v>0</v>
      </c>
      <c r="I1241" s="142">
        <f t="shared" si="287"/>
        <v>0</v>
      </c>
      <c r="J1241" s="143">
        <f t="shared" si="288"/>
        <v>0</v>
      </c>
      <c r="K1241" s="143">
        <f t="shared" si="289"/>
        <v>24260</v>
      </c>
      <c r="L1241" s="142">
        <f t="shared" si="290"/>
        <v>0</v>
      </c>
      <c r="M1241" s="142">
        <f t="shared" si="291"/>
        <v>0</v>
      </c>
      <c r="N1241" s="142">
        <f t="shared" si="292"/>
        <v>0</v>
      </c>
      <c r="O1241" s="59">
        <f t="shared" si="293"/>
        <v>24260</v>
      </c>
      <c r="P1241" s="142">
        <f t="shared" si="294"/>
        <v>0</v>
      </c>
      <c r="Q1241" s="142">
        <f t="shared" si="295"/>
        <v>0</v>
      </c>
      <c r="R1241" s="142">
        <f t="shared" si="296"/>
        <v>0</v>
      </c>
      <c r="S1241" s="142">
        <f t="shared" si="297"/>
        <v>0</v>
      </c>
      <c r="T1241" s="142">
        <f t="shared" si="298"/>
        <v>0</v>
      </c>
      <c r="U1241" s="60">
        <f t="shared" si="299"/>
        <v>0</v>
      </c>
    </row>
    <row r="1242" spans="1:24" x14ac:dyDescent="0.2">
      <c r="A1242" s="115"/>
      <c r="B1242" s="139" t="s">
        <v>499</v>
      </c>
      <c r="C1242" s="140" t="s">
        <v>362</v>
      </c>
      <c r="D1242" s="141">
        <v>45630</v>
      </c>
      <c r="E1242" s="141">
        <v>45946</v>
      </c>
      <c r="F1242" s="57">
        <v>24260</v>
      </c>
      <c r="G1242" s="58">
        <f t="shared" si="285"/>
        <v>-76</v>
      </c>
      <c r="H1242" s="142">
        <f t="shared" si="286"/>
        <v>0</v>
      </c>
      <c r="I1242" s="142">
        <f t="shared" si="287"/>
        <v>0</v>
      </c>
      <c r="J1242" s="143">
        <f t="shared" si="288"/>
        <v>0</v>
      </c>
      <c r="K1242" s="143">
        <f t="shared" si="289"/>
        <v>0</v>
      </c>
      <c r="L1242" s="142">
        <f t="shared" si="290"/>
        <v>24260</v>
      </c>
      <c r="M1242" s="142">
        <f t="shared" si="291"/>
        <v>0</v>
      </c>
      <c r="N1242" s="142">
        <f t="shared" si="292"/>
        <v>0</v>
      </c>
      <c r="O1242" s="59">
        <f t="shared" si="293"/>
        <v>24260</v>
      </c>
      <c r="P1242" s="142">
        <f t="shared" si="294"/>
        <v>0</v>
      </c>
      <c r="Q1242" s="142">
        <f t="shared" si="295"/>
        <v>0</v>
      </c>
      <c r="R1242" s="142">
        <f t="shared" si="296"/>
        <v>0</v>
      </c>
      <c r="S1242" s="142">
        <f t="shared" si="297"/>
        <v>0</v>
      </c>
      <c r="T1242" s="142">
        <f t="shared" si="298"/>
        <v>0</v>
      </c>
      <c r="U1242" s="60">
        <f t="shared" si="299"/>
        <v>0</v>
      </c>
    </row>
    <row r="1243" spans="1:24" x14ac:dyDescent="0.2">
      <c r="A1243" s="115"/>
      <c r="B1243" s="139" t="s">
        <v>499</v>
      </c>
      <c r="C1243" s="140" t="s">
        <v>362</v>
      </c>
      <c r="D1243" s="141">
        <v>45630</v>
      </c>
      <c r="E1243" s="141">
        <v>45977</v>
      </c>
      <c r="F1243" s="57">
        <v>24260</v>
      </c>
      <c r="G1243" s="58">
        <f t="shared" si="285"/>
        <v>-45</v>
      </c>
      <c r="H1243" s="142">
        <f t="shared" si="286"/>
        <v>0</v>
      </c>
      <c r="I1243" s="142">
        <f t="shared" si="287"/>
        <v>0</v>
      </c>
      <c r="J1243" s="143">
        <f t="shared" si="288"/>
        <v>0</v>
      </c>
      <c r="K1243" s="143">
        <f t="shared" si="289"/>
        <v>0</v>
      </c>
      <c r="L1243" s="142">
        <f t="shared" si="290"/>
        <v>0</v>
      </c>
      <c r="M1243" s="142">
        <f t="shared" si="291"/>
        <v>24260</v>
      </c>
      <c r="N1243" s="142">
        <f t="shared" si="292"/>
        <v>0</v>
      </c>
      <c r="O1243" s="59">
        <f t="shared" si="293"/>
        <v>24260</v>
      </c>
      <c r="P1243" s="142">
        <f t="shared" si="294"/>
        <v>0</v>
      </c>
      <c r="Q1243" s="142">
        <f t="shared" si="295"/>
        <v>0</v>
      </c>
      <c r="R1243" s="142">
        <f t="shared" si="296"/>
        <v>0</v>
      </c>
      <c r="S1243" s="142">
        <f t="shared" si="297"/>
        <v>0</v>
      </c>
      <c r="T1243" s="142">
        <f t="shared" si="298"/>
        <v>0</v>
      </c>
      <c r="U1243" s="60">
        <f t="shared" si="299"/>
        <v>0</v>
      </c>
    </row>
    <row r="1244" spans="1:24" ht="13.5" customHeight="1" x14ac:dyDescent="0.2">
      <c r="A1244" s="115"/>
      <c r="B1244" s="146" t="s">
        <v>718</v>
      </c>
      <c r="C1244" s="147" t="s">
        <v>719</v>
      </c>
      <c r="D1244" s="148">
        <v>45918</v>
      </c>
      <c r="E1244" s="148">
        <v>45948</v>
      </c>
      <c r="F1244" s="62">
        <v>12210</v>
      </c>
      <c r="G1244" s="63">
        <f t="shared" si="285"/>
        <v>-74</v>
      </c>
      <c r="H1244" s="149">
        <f t="shared" si="286"/>
        <v>0</v>
      </c>
      <c r="I1244" s="149">
        <f t="shared" si="287"/>
        <v>0</v>
      </c>
      <c r="J1244" s="150">
        <f t="shared" si="288"/>
        <v>0</v>
      </c>
      <c r="K1244" s="150">
        <f t="shared" si="289"/>
        <v>0</v>
      </c>
      <c r="L1244" s="149">
        <f t="shared" si="290"/>
        <v>12210</v>
      </c>
      <c r="M1244" s="149">
        <f t="shared" si="291"/>
        <v>0</v>
      </c>
      <c r="N1244" s="149">
        <f t="shared" si="292"/>
        <v>0</v>
      </c>
      <c r="O1244" s="64">
        <f t="shared" si="293"/>
        <v>12210</v>
      </c>
      <c r="P1244" s="149">
        <f t="shared" si="294"/>
        <v>0</v>
      </c>
      <c r="Q1244" s="149">
        <f t="shared" si="295"/>
        <v>0</v>
      </c>
      <c r="R1244" s="149">
        <f t="shared" si="296"/>
        <v>0</v>
      </c>
      <c r="S1244" s="149">
        <f t="shared" si="297"/>
        <v>0</v>
      </c>
      <c r="T1244" s="149">
        <f t="shared" si="298"/>
        <v>0</v>
      </c>
      <c r="U1244" s="65">
        <f t="shared" si="299"/>
        <v>0</v>
      </c>
    </row>
    <row r="1245" spans="1:24" s="158" customFormat="1" x14ac:dyDescent="0.2">
      <c r="A1245" s="151"/>
      <c r="B1245" s="152" t="s">
        <v>1032</v>
      </c>
      <c r="C1245" s="153"/>
      <c r="D1245" s="153"/>
      <c r="E1245" s="153"/>
      <c r="F1245" s="154">
        <f>SUBTOTAL(109,Tabela1[Valor - R$])</f>
        <v>30820119.550000057</v>
      </c>
      <c r="G1245" s="155"/>
      <c r="H1245" s="156">
        <f>SUBTOTAL(109,Tabela1[acima de 181 dias])</f>
        <v>6665278.3700000001</v>
      </c>
      <c r="I1245" s="156">
        <f>SUBTOTAL(109,Tabela1[151 a 180 dias])</f>
        <v>602111.4800000001</v>
      </c>
      <c r="J1245" s="156">
        <f>SUBTOTAL(109,Tabela1[121 a 150 dias])</f>
        <v>584174.46</v>
      </c>
      <c r="K1245" s="156">
        <f>SUBTOTAL(109,Tabela1[91 a 120 dias])</f>
        <v>891015.13000000012</v>
      </c>
      <c r="L1245" s="156">
        <f>SUBTOTAL(109,Tabela1[61 a 90 dias])</f>
        <v>1551825.71</v>
      </c>
      <c r="M1245" s="156">
        <f>SUBTOTAL(109,Tabela1[31 a 60 dias])</f>
        <v>1808018.6899999995</v>
      </c>
      <c r="N1245" s="156">
        <f>SUBTOTAL(109,Tabela1[30 dias])</f>
        <v>3768998.0199999991</v>
      </c>
      <c r="O1245" s="156">
        <f>SUBTOTAL(109,Tabela1[TOTAL])</f>
        <v>15871421.859999996</v>
      </c>
      <c r="P1245" s="156">
        <f>SUBTOTAL(109,Tabela1[30 dias2])</f>
        <v>6462797.7799999975</v>
      </c>
      <c r="Q1245" s="156">
        <f>SUBTOTAL(109,Tabela1[31 a 60 dias3])</f>
        <v>3605657.9100000006</v>
      </c>
      <c r="R1245" s="156">
        <f>SUBTOTAL(109,Tabela1[61 a 90 dias4])</f>
        <v>2291653.9300000006</v>
      </c>
      <c r="S1245" s="156">
        <f>SUBTOTAL(109,Tabela1[91 a 120 dias5])</f>
        <v>1150018.01</v>
      </c>
      <c r="T1245" s="156">
        <f>SUBTOTAL(109,Tabela1[acima de  120 dias])</f>
        <v>1455775.2600000035</v>
      </c>
      <c r="U1245" s="159">
        <f>SUBTOTAL(109,Tabela1[TOTAL6])</f>
        <v>14775702.89000003</v>
      </c>
      <c r="V1245" s="157"/>
      <c r="W1245" s="157"/>
      <c r="X1245" s="157"/>
    </row>
  </sheetData>
  <mergeCells count="2">
    <mergeCell ref="H5:N5"/>
    <mergeCell ref="P5:U5"/>
  </mergeCells>
  <phoneticPr fontId="0" type="noConversion"/>
  <printOptions horizontalCentered="1"/>
  <pageMargins left="0.39370078740157483" right="0.19685039370078741" top="0.78740157480314965" bottom="0.59055118110236227" header="0.51181102362204722" footer="0.51181102362204722"/>
  <pageSetup scale="41" fitToHeight="22" orientation="landscape" r:id="rId1"/>
  <headerFooter alignWithMargins="0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E8489-A31D-4854-A3E9-89D68690C149}">
  <sheetPr codeName="Planilha5"/>
  <dimension ref="A1:D351"/>
  <sheetViews>
    <sheetView workbookViewId="0">
      <selection activeCell="E22" sqref="E22"/>
    </sheetView>
  </sheetViews>
  <sheetFormatPr defaultRowHeight="12.75" x14ac:dyDescent="0.2"/>
  <cols>
    <col min="1" max="1" width="6.140625" style="68" customWidth="1"/>
    <col min="2" max="2" width="15.42578125" style="68" customWidth="1"/>
    <col min="3" max="3" width="82" style="68" customWidth="1"/>
    <col min="4" max="4" width="6.140625" style="68" customWidth="1"/>
    <col min="5" max="16384" width="9.140625" style="1"/>
  </cols>
  <sheetData>
    <row r="1" spans="1:4" ht="12.75" customHeight="1" x14ac:dyDescent="0.2">
      <c r="A1" s="69">
        <v>3097</v>
      </c>
      <c r="B1" s="70" t="s">
        <v>1034</v>
      </c>
      <c r="C1" s="71" t="s">
        <v>1035</v>
      </c>
      <c r="D1" s="69">
        <v>3097</v>
      </c>
    </row>
    <row r="2" spans="1:4" x14ac:dyDescent="0.2">
      <c r="A2" s="69">
        <v>3098</v>
      </c>
      <c r="B2" s="70" t="s">
        <v>1036</v>
      </c>
      <c r="C2" s="71" t="s">
        <v>1037</v>
      </c>
      <c r="D2" s="69">
        <v>3098</v>
      </c>
    </row>
    <row r="3" spans="1:4" x14ac:dyDescent="0.2">
      <c r="A3" s="69">
        <v>3099</v>
      </c>
      <c r="B3" s="70" t="s">
        <v>1038</v>
      </c>
      <c r="C3" s="71" t="s">
        <v>1039</v>
      </c>
      <c r="D3" s="69">
        <v>3099</v>
      </c>
    </row>
    <row r="4" spans="1:4" ht="12.75" customHeight="1" x14ac:dyDescent="0.2">
      <c r="A4" s="69">
        <v>3100</v>
      </c>
      <c r="B4" s="70" t="s">
        <v>1040</v>
      </c>
      <c r="C4" s="71" t="s">
        <v>1041</v>
      </c>
      <c r="D4" s="69">
        <v>3100</v>
      </c>
    </row>
    <row r="5" spans="1:4" x14ac:dyDescent="0.2">
      <c r="A5" s="69">
        <v>3103</v>
      </c>
      <c r="B5" s="70" t="s">
        <v>1042</v>
      </c>
      <c r="C5" s="71" t="s">
        <v>1039</v>
      </c>
      <c r="D5" s="69">
        <v>3103</v>
      </c>
    </row>
    <row r="6" spans="1:4" ht="12.75" customHeight="1" x14ac:dyDescent="0.2">
      <c r="A6" s="69">
        <v>3104</v>
      </c>
      <c r="B6" s="70" t="s">
        <v>1043</v>
      </c>
      <c r="C6" s="71" t="s">
        <v>1044</v>
      </c>
      <c r="D6" s="69">
        <v>3104</v>
      </c>
    </row>
    <row r="7" spans="1:4" ht="12.75" customHeight="1" x14ac:dyDescent="0.2">
      <c r="A7" s="69">
        <v>3105</v>
      </c>
      <c r="B7" s="70" t="s">
        <v>1045</v>
      </c>
      <c r="C7" s="71" t="s">
        <v>1046</v>
      </c>
      <c r="D7" s="69">
        <v>3105</v>
      </c>
    </row>
    <row r="8" spans="1:4" ht="12.75" customHeight="1" x14ac:dyDescent="0.2">
      <c r="A8" s="69">
        <v>3106</v>
      </c>
      <c r="B8" s="70" t="s">
        <v>1047</v>
      </c>
      <c r="C8" s="71" t="s">
        <v>1048</v>
      </c>
      <c r="D8" s="69">
        <v>3106</v>
      </c>
    </row>
    <row r="9" spans="1:4" x14ac:dyDescent="0.2">
      <c r="A9" s="69">
        <v>3107</v>
      </c>
      <c r="B9" s="70" t="s">
        <v>1049</v>
      </c>
      <c r="C9" s="71" t="s">
        <v>1050</v>
      </c>
      <c r="D9" s="69">
        <v>3107</v>
      </c>
    </row>
    <row r="10" spans="1:4" x14ac:dyDescent="0.2">
      <c r="A10" s="69">
        <v>3110</v>
      </c>
      <c r="B10" s="70" t="s">
        <v>1051</v>
      </c>
      <c r="C10" s="71" t="s">
        <v>1052</v>
      </c>
      <c r="D10" s="69">
        <v>3110</v>
      </c>
    </row>
    <row r="11" spans="1:4" ht="12.75" customHeight="1" x14ac:dyDescent="0.2">
      <c r="A11" s="69">
        <v>3111</v>
      </c>
      <c r="B11" s="70" t="s">
        <v>1053</v>
      </c>
      <c r="C11" s="71" t="s">
        <v>1054</v>
      </c>
      <c r="D11" s="69">
        <v>3111</v>
      </c>
    </row>
    <row r="12" spans="1:4" x14ac:dyDescent="0.2">
      <c r="A12" s="69">
        <v>3112</v>
      </c>
      <c r="B12" s="70" t="s">
        <v>1055</v>
      </c>
      <c r="C12" s="71" t="s">
        <v>1056</v>
      </c>
      <c r="D12" s="69">
        <v>3112</v>
      </c>
    </row>
    <row r="13" spans="1:4" ht="12.75" customHeight="1" x14ac:dyDescent="0.2">
      <c r="A13" s="69">
        <v>3113</v>
      </c>
      <c r="B13" s="70" t="s">
        <v>1057</v>
      </c>
      <c r="C13" s="71" t="s">
        <v>1058</v>
      </c>
      <c r="D13" s="69">
        <v>3113</v>
      </c>
    </row>
    <row r="14" spans="1:4" ht="12.75" customHeight="1" x14ac:dyDescent="0.2">
      <c r="A14" s="69">
        <v>3114</v>
      </c>
      <c r="B14" s="70" t="s">
        <v>1059</v>
      </c>
      <c r="C14" s="71" t="s">
        <v>1060</v>
      </c>
      <c r="D14" s="69">
        <v>3114</v>
      </c>
    </row>
    <row r="15" spans="1:4" x14ac:dyDescent="0.2">
      <c r="A15" s="69">
        <v>3115</v>
      </c>
      <c r="B15" s="70" t="s">
        <v>1061</v>
      </c>
      <c r="C15" s="71" t="s">
        <v>1062</v>
      </c>
      <c r="D15" s="69">
        <v>3115</v>
      </c>
    </row>
    <row r="16" spans="1:4" x14ac:dyDescent="0.2">
      <c r="A16" s="69">
        <v>3116</v>
      </c>
      <c r="B16" s="70" t="s">
        <v>1063</v>
      </c>
      <c r="C16" s="71" t="s">
        <v>305</v>
      </c>
      <c r="D16" s="69">
        <v>3116</v>
      </c>
    </row>
    <row r="17" spans="1:4" x14ac:dyDescent="0.2">
      <c r="A17" s="69">
        <v>3117</v>
      </c>
      <c r="B17" s="70" t="s">
        <v>1064</v>
      </c>
      <c r="C17" s="71" t="s">
        <v>1065</v>
      </c>
      <c r="D17" s="69">
        <v>3117</v>
      </c>
    </row>
    <row r="18" spans="1:4" ht="12.75" customHeight="1" x14ac:dyDescent="0.2">
      <c r="A18" s="69">
        <v>3118</v>
      </c>
      <c r="B18" s="70" t="s">
        <v>1066</v>
      </c>
      <c r="C18" s="71" t="s">
        <v>1067</v>
      </c>
      <c r="D18" s="69">
        <v>3118</v>
      </c>
    </row>
    <row r="19" spans="1:4" ht="12.75" customHeight="1" x14ac:dyDescent="0.2">
      <c r="A19" s="69">
        <v>3119</v>
      </c>
      <c r="B19" s="70" t="s">
        <v>1068</v>
      </c>
      <c r="C19" s="71" t="s">
        <v>1069</v>
      </c>
      <c r="D19" s="69">
        <v>3119</v>
      </c>
    </row>
    <row r="20" spans="1:4" x14ac:dyDescent="0.2">
      <c r="A20" s="69">
        <v>3120</v>
      </c>
      <c r="B20" s="70" t="s">
        <v>1070</v>
      </c>
      <c r="C20" s="71" t="s">
        <v>1071</v>
      </c>
      <c r="D20" s="69">
        <v>3120</v>
      </c>
    </row>
    <row r="21" spans="1:4" x14ac:dyDescent="0.2">
      <c r="A21" s="69">
        <v>3121</v>
      </c>
      <c r="B21" s="70" t="s">
        <v>1072</v>
      </c>
      <c r="C21" s="71" t="s">
        <v>1073</v>
      </c>
      <c r="D21" s="69">
        <v>3121</v>
      </c>
    </row>
    <row r="22" spans="1:4" ht="12.75" customHeight="1" x14ac:dyDescent="0.2">
      <c r="A22" s="69">
        <v>3122</v>
      </c>
      <c r="B22" s="70" t="s">
        <v>1074</v>
      </c>
      <c r="C22" s="71" t="s">
        <v>1075</v>
      </c>
      <c r="D22" s="69">
        <v>3122</v>
      </c>
    </row>
    <row r="23" spans="1:4" ht="12.75" customHeight="1" x14ac:dyDescent="0.2">
      <c r="A23" s="69">
        <v>3123</v>
      </c>
      <c r="B23" s="70" t="s">
        <v>1076</v>
      </c>
      <c r="C23" s="71" t="s">
        <v>1077</v>
      </c>
      <c r="D23" s="69">
        <v>3123</v>
      </c>
    </row>
    <row r="24" spans="1:4" ht="12.75" customHeight="1" x14ac:dyDescent="0.2">
      <c r="A24" s="69">
        <v>3124</v>
      </c>
      <c r="B24" s="70" t="s">
        <v>1078</v>
      </c>
      <c r="C24" s="71" t="s">
        <v>1079</v>
      </c>
      <c r="D24" s="69">
        <v>3124</v>
      </c>
    </row>
    <row r="25" spans="1:4" x14ac:dyDescent="0.2">
      <c r="A25" s="69">
        <v>3125</v>
      </c>
      <c r="B25" s="70" t="s">
        <v>1080</v>
      </c>
      <c r="C25" s="71" t="s">
        <v>1081</v>
      </c>
      <c r="D25" s="69">
        <v>3125</v>
      </c>
    </row>
    <row r="26" spans="1:4" x14ac:dyDescent="0.2">
      <c r="A26" s="69">
        <v>3126</v>
      </c>
      <c r="B26" s="70" t="s">
        <v>1082</v>
      </c>
      <c r="C26" s="71" t="s">
        <v>1083</v>
      </c>
      <c r="D26" s="69">
        <v>3126</v>
      </c>
    </row>
    <row r="27" spans="1:4" ht="12.75" customHeight="1" x14ac:dyDescent="0.2">
      <c r="A27" s="69">
        <v>3127</v>
      </c>
      <c r="B27" s="70" t="s">
        <v>1084</v>
      </c>
      <c r="C27" s="71" t="s">
        <v>1085</v>
      </c>
      <c r="D27" s="69">
        <v>3127</v>
      </c>
    </row>
    <row r="28" spans="1:4" x14ac:dyDescent="0.2">
      <c r="A28" s="69">
        <v>3128</v>
      </c>
      <c r="B28" s="70" t="s">
        <v>1086</v>
      </c>
      <c r="C28" s="71" t="s">
        <v>1087</v>
      </c>
      <c r="D28" s="69">
        <v>3128</v>
      </c>
    </row>
    <row r="29" spans="1:4" ht="12.75" customHeight="1" x14ac:dyDescent="0.2">
      <c r="A29" s="69">
        <v>3129</v>
      </c>
      <c r="B29" s="70" t="s">
        <v>1088</v>
      </c>
      <c r="C29" s="71" t="s">
        <v>1089</v>
      </c>
      <c r="D29" s="69">
        <v>3129</v>
      </c>
    </row>
    <row r="30" spans="1:4" x14ac:dyDescent="0.2">
      <c r="A30" s="69">
        <v>3131</v>
      </c>
      <c r="B30" s="70" t="s">
        <v>1090</v>
      </c>
      <c r="C30" s="71" t="s">
        <v>1091</v>
      </c>
      <c r="D30" s="69">
        <v>3131</v>
      </c>
    </row>
    <row r="31" spans="1:4" ht="12.75" customHeight="1" x14ac:dyDescent="0.2">
      <c r="A31" s="69">
        <v>3132</v>
      </c>
      <c r="B31" s="70" t="s">
        <v>1092</v>
      </c>
      <c r="C31" s="71" t="s">
        <v>1093</v>
      </c>
      <c r="D31" s="69">
        <v>3132</v>
      </c>
    </row>
    <row r="32" spans="1:4" x14ac:dyDescent="0.2">
      <c r="A32" s="69">
        <v>3134</v>
      </c>
      <c r="B32" s="70" t="s">
        <v>1094</v>
      </c>
      <c r="C32" s="71" t="s">
        <v>1087</v>
      </c>
      <c r="D32" s="69">
        <v>3134</v>
      </c>
    </row>
    <row r="33" spans="1:4" x14ac:dyDescent="0.2">
      <c r="A33" s="69">
        <v>3135</v>
      </c>
      <c r="B33" s="70" t="s">
        <v>1095</v>
      </c>
      <c r="C33" s="71" t="s">
        <v>1096</v>
      </c>
      <c r="D33" s="69">
        <v>3135</v>
      </c>
    </row>
    <row r="34" spans="1:4" ht="12.75" customHeight="1" x14ac:dyDescent="0.2">
      <c r="A34" s="69">
        <v>3136</v>
      </c>
      <c r="B34" s="70" t="s">
        <v>1097</v>
      </c>
      <c r="C34" s="71" t="s">
        <v>1098</v>
      </c>
      <c r="D34" s="69">
        <v>3136</v>
      </c>
    </row>
    <row r="35" spans="1:4" x14ac:dyDescent="0.2">
      <c r="A35" s="69">
        <v>3138</v>
      </c>
      <c r="B35" s="70" t="s">
        <v>1099</v>
      </c>
      <c r="C35" s="71" t="s">
        <v>1100</v>
      </c>
      <c r="D35" s="69">
        <v>3138</v>
      </c>
    </row>
    <row r="36" spans="1:4" x14ac:dyDescent="0.2">
      <c r="A36" s="69">
        <v>3139</v>
      </c>
      <c r="B36" s="70" t="s">
        <v>1101</v>
      </c>
      <c r="C36" s="71" t="s">
        <v>1087</v>
      </c>
      <c r="D36" s="69">
        <v>3139</v>
      </c>
    </row>
    <row r="37" spans="1:4" x14ac:dyDescent="0.2">
      <c r="A37" s="69">
        <v>3140</v>
      </c>
      <c r="B37" s="70" t="s">
        <v>1102</v>
      </c>
      <c r="C37" s="71" t="s">
        <v>1103</v>
      </c>
      <c r="D37" s="69">
        <v>3140</v>
      </c>
    </row>
    <row r="38" spans="1:4" x14ac:dyDescent="0.2">
      <c r="A38" s="69">
        <v>3141</v>
      </c>
      <c r="B38" s="70" t="s">
        <v>1104</v>
      </c>
      <c r="C38" s="71" t="s">
        <v>1087</v>
      </c>
      <c r="D38" s="69">
        <v>3141</v>
      </c>
    </row>
    <row r="39" spans="1:4" x14ac:dyDescent="0.2">
      <c r="A39" s="69">
        <v>3142</v>
      </c>
      <c r="B39" s="70" t="s">
        <v>1105</v>
      </c>
      <c r="C39" s="71" t="s">
        <v>1106</v>
      </c>
      <c r="D39" s="69">
        <v>3142</v>
      </c>
    </row>
    <row r="40" spans="1:4" x14ac:dyDescent="0.2">
      <c r="A40" s="69">
        <v>3143</v>
      </c>
      <c r="B40" s="70" t="s">
        <v>1107</v>
      </c>
      <c r="C40" s="71" t="s">
        <v>574</v>
      </c>
      <c r="D40" s="69">
        <v>3143</v>
      </c>
    </row>
    <row r="41" spans="1:4" x14ac:dyDescent="0.2">
      <c r="A41" s="69">
        <v>3144</v>
      </c>
      <c r="B41" s="70" t="s">
        <v>1108</v>
      </c>
      <c r="C41" s="71" t="s">
        <v>1109</v>
      </c>
      <c r="D41" s="69">
        <v>3144</v>
      </c>
    </row>
    <row r="42" spans="1:4" x14ac:dyDescent="0.2">
      <c r="A42" s="69">
        <v>3145</v>
      </c>
      <c r="B42" s="70" t="s">
        <v>1110</v>
      </c>
      <c r="C42" s="71" t="s">
        <v>1111</v>
      </c>
      <c r="D42" s="69">
        <v>3145</v>
      </c>
    </row>
    <row r="43" spans="1:4" ht="12.75" customHeight="1" x14ac:dyDescent="0.2">
      <c r="A43" s="69">
        <v>3146</v>
      </c>
      <c r="B43" s="70" t="s">
        <v>1112</v>
      </c>
      <c r="C43" s="71" t="s">
        <v>1113</v>
      </c>
      <c r="D43" s="69">
        <v>3146</v>
      </c>
    </row>
    <row r="44" spans="1:4" x14ac:dyDescent="0.2">
      <c r="A44" s="69">
        <v>3147</v>
      </c>
      <c r="B44" s="70" t="s">
        <v>1114</v>
      </c>
      <c r="C44" s="71" t="s">
        <v>1115</v>
      </c>
      <c r="D44" s="69">
        <v>3147</v>
      </c>
    </row>
    <row r="45" spans="1:4" ht="12.75" customHeight="1" x14ac:dyDescent="0.2">
      <c r="A45" s="69">
        <v>3148</v>
      </c>
      <c r="B45" s="70" t="s">
        <v>1116</v>
      </c>
      <c r="C45" s="71" t="s">
        <v>1117</v>
      </c>
      <c r="D45" s="69">
        <v>3148</v>
      </c>
    </row>
    <row r="46" spans="1:4" x14ac:dyDescent="0.2">
      <c r="A46" s="69">
        <v>3149</v>
      </c>
      <c r="B46" s="70" t="s">
        <v>1118</v>
      </c>
      <c r="C46" s="71" t="s">
        <v>1119</v>
      </c>
      <c r="D46" s="69">
        <v>3149</v>
      </c>
    </row>
    <row r="47" spans="1:4" x14ac:dyDescent="0.2">
      <c r="A47" s="69">
        <v>3150</v>
      </c>
      <c r="B47" s="70" t="s">
        <v>1120</v>
      </c>
      <c r="C47" s="71" t="s">
        <v>1121</v>
      </c>
      <c r="D47" s="69">
        <v>3150</v>
      </c>
    </row>
    <row r="48" spans="1:4" ht="12.75" customHeight="1" x14ac:dyDescent="0.2">
      <c r="A48" s="69">
        <v>3151</v>
      </c>
      <c r="B48" s="70" t="s">
        <v>1122</v>
      </c>
      <c r="C48" s="71" t="s">
        <v>1123</v>
      </c>
      <c r="D48" s="69">
        <v>3151</v>
      </c>
    </row>
    <row r="49" spans="1:4" ht="12.75" customHeight="1" x14ac:dyDescent="0.2">
      <c r="A49" s="69">
        <v>3153</v>
      </c>
      <c r="B49" s="70" t="s">
        <v>1124</v>
      </c>
      <c r="C49" s="71" t="s">
        <v>1125</v>
      </c>
      <c r="D49" s="69">
        <v>3153</v>
      </c>
    </row>
    <row r="50" spans="1:4" x14ac:dyDescent="0.2">
      <c r="A50" s="69">
        <v>3154</v>
      </c>
      <c r="B50" s="70" t="s">
        <v>1126</v>
      </c>
      <c r="C50" s="71" t="s">
        <v>1127</v>
      </c>
      <c r="D50" s="69">
        <v>3154</v>
      </c>
    </row>
    <row r="51" spans="1:4" x14ac:dyDescent="0.2">
      <c r="A51" s="69">
        <v>3155</v>
      </c>
      <c r="B51" s="70" t="s">
        <v>1128</v>
      </c>
      <c r="C51" s="71" t="s">
        <v>1129</v>
      </c>
      <c r="D51" s="69">
        <v>3155</v>
      </c>
    </row>
    <row r="52" spans="1:4" ht="12.75" customHeight="1" x14ac:dyDescent="0.2">
      <c r="A52" s="69">
        <v>3157</v>
      </c>
      <c r="B52" s="70" t="s">
        <v>1130</v>
      </c>
      <c r="C52" s="71" t="s">
        <v>1131</v>
      </c>
      <c r="D52" s="69">
        <v>3157</v>
      </c>
    </row>
    <row r="53" spans="1:4" x14ac:dyDescent="0.2">
      <c r="A53" s="69">
        <v>3158</v>
      </c>
      <c r="B53" s="70" t="s">
        <v>1132</v>
      </c>
      <c r="C53" s="71" t="s">
        <v>1133</v>
      </c>
      <c r="D53" s="69">
        <v>3158</v>
      </c>
    </row>
    <row r="54" spans="1:4" x14ac:dyDescent="0.2">
      <c r="A54" s="69">
        <v>3159</v>
      </c>
      <c r="B54" s="70" t="s">
        <v>1134</v>
      </c>
      <c r="C54" s="71" t="s">
        <v>1135</v>
      </c>
      <c r="D54" s="69">
        <v>3159</v>
      </c>
    </row>
    <row r="55" spans="1:4" ht="12.75" customHeight="1" x14ac:dyDescent="0.2">
      <c r="A55" s="69">
        <v>3161</v>
      </c>
      <c r="B55" s="70" t="s">
        <v>1136</v>
      </c>
      <c r="C55" s="71" t="s">
        <v>1137</v>
      </c>
      <c r="D55" s="69">
        <v>3161</v>
      </c>
    </row>
    <row r="56" spans="1:4" ht="12.75" customHeight="1" x14ac:dyDescent="0.2">
      <c r="A56" s="69">
        <v>3162</v>
      </c>
      <c r="B56" s="70" t="s">
        <v>1138</v>
      </c>
      <c r="C56" s="71" t="s">
        <v>1139</v>
      </c>
      <c r="D56" s="69">
        <v>3162</v>
      </c>
    </row>
    <row r="57" spans="1:4" x14ac:dyDescent="0.2">
      <c r="A57" s="69">
        <v>3163</v>
      </c>
      <c r="B57" s="70" t="s">
        <v>1140</v>
      </c>
      <c r="C57" s="71" t="s">
        <v>1141</v>
      </c>
      <c r="D57" s="69">
        <v>3163</v>
      </c>
    </row>
    <row r="58" spans="1:4" ht="12.75" customHeight="1" x14ac:dyDescent="0.2">
      <c r="A58" s="69">
        <v>3164</v>
      </c>
      <c r="B58" s="70" t="s">
        <v>1142</v>
      </c>
      <c r="C58" s="71" t="s">
        <v>1143</v>
      </c>
      <c r="D58" s="69">
        <v>3164</v>
      </c>
    </row>
    <row r="59" spans="1:4" x14ac:dyDescent="0.2">
      <c r="A59" s="69">
        <v>3165</v>
      </c>
      <c r="B59" s="70" t="s">
        <v>1144</v>
      </c>
      <c r="C59" s="71" t="s">
        <v>1145</v>
      </c>
      <c r="D59" s="69">
        <v>3165</v>
      </c>
    </row>
    <row r="60" spans="1:4" x14ac:dyDescent="0.2">
      <c r="A60" s="69">
        <v>3167</v>
      </c>
      <c r="B60" s="70" t="s">
        <v>1146</v>
      </c>
      <c r="C60" s="71" t="s">
        <v>1147</v>
      </c>
      <c r="D60" s="69">
        <v>3167</v>
      </c>
    </row>
    <row r="61" spans="1:4" ht="12.75" customHeight="1" x14ac:dyDescent="0.2">
      <c r="A61" s="69">
        <v>3168</v>
      </c>
      <c r="B61" s="70" t="s">
        <v>1148</v>
      </c>
      <c r="C61" s="71" t="s">
        <v>1149</v>
      </c>
      <c r="D61" s="69">
        <v>3168</v>
      </c>
    </row>
    <row r="62" spans="1:4" x14ac:dyDescent="0.2">
      <c r="A62" s="69">
        <v>3169</v>
      </c>
      <c r="B62" s="70" t="s">
        <v>1150</v>
      </c>
      <c r="C62" s="71" t="s">
        <v>1151</v>
      </c>
      <c r="D62" s="69">
        <v>3169</v>
      </c>
    </row>
    <row r="63" spans="1:4" x14ac:dyDescent="0.2">
      <c r="A63" s="69">
        <v>3171</v>
      </c>
      <c r="B63" s="70" t="s">
        <v>1152</v>
      </c>
      <c r="C63" s="71" t="s">
        <v>1153</v>
      </c>
      <c r="D63" s="69">
        <v>3171</v>
      </c>
    </row>
    <row r="64" spans="1:4" x14ac:dyDescent="0.2">
      <c r="A64" s="69">
        <v>3172</v>
      </c>
      <c r="B64" s="70" t="s">
        <v>1154</v>
      </c>
      <c r="C64" s="71" t="s">
        <v>1155</v>
      </c>
      <c r="D64" s="69">
        <v>3172</v>
      </c>
    </row>
    <row r="65" spans="1:4" x14ac:dyDescent="0.2">
      <c r="A65" s="69">
        <v>3173</v>
      </c>
      <c r="B65" s="70" t="s">
        <v>1156</v>
      </c>
      <c r="C65" s="71" t="s">
        <v>1157</v>
      </c>
      <c r="D65" s="69">
        <v>3173</v>
      </c>
    </row>
    <row r="66" spans="1:4" x14ac:dyDescent="0.2">
      <c r="A66" s="69">
        <v>3174</v>
      </c>
      <c r="B66" s="70" t="s">
        <v>1158</v>
      </c>
      <c r="C66" s="71" t="s">
        <v>1159</v>
      </c>
      <c r="D66" s="69">
        <v>3174</v>
      </c>
    </row>
    <row r="67" spans="1:4" x14ac:dyDescent="0.2">
      <c r="A67" s="69">
        <v>3177</v>
      </c>
      <c r="B67" s="70" t="s">
        <v>1160</v>
      </c>
      <c r="C67" s="71" t="s">
        <v>1161</v>
      </c>
      <c r="D67" s="69">
        <v>3177</v>
      </c>
    </row>
    <row r="68" spans="1:4" ht="12.75" customHeight="1" x14ac:dyDescent="0.2">
      <c r="A68" s="69">
        <v>3179</v>
      </c>
      <c r="B68" s="70" t="s">
        <v>1162</v>
      </c>
      <c r="C68" s="71" t="s">
        <v>1163</v>
      </c>
      <c r="D68" s="69">
        <v>3179</v>
      </c>
    </row>
    <row r="69" spans="1:4" ht="12.75" customHeight="1" x14ac:dyDescent="0.2">
      <c r="A69" s="69">
        <v>3181</v>
      </c>
      <c r="B69" s="70" t="s">
        <v>1164</v>
      </c>
      <c r="C69" s="71" t="s">
        <v>1165</v>
      </c>
      <c r="D69" s="69">
        <v>3181</v>
      </c>
    </row>
    <row r="70" spans="1:4" ht="12.75" customHeight="1" x14ac:dyDescent="0.2">
      <c r="A70" s="69">
        <v>3183</v>
      </c>
      <c r="B70" s="70" t="s">
        <v>1166</v>
      </c>
      <c r="C70" s="71" t="s">
        <v>1167</v>
      </c>
      <c r="D70" s="69">
        <v>3183</v>
      </c>
    </row>
    <row r="71" spans="1:4" x14ac:dyDescent="0.2">
      <c r="A71" s="69">
        <v>3184</v>
      </c>
      <c r="B71" s="70" t="s">
        <v>1168</v>
      </c>
      <c r="C71" s="71" t="s">
        <v>1169</v>
      </c>
      <c r="D71" s="69">
        <v>3184</v>
      </c>
    </row>
    <row r="72" spans="1:4" x14ac:dyDescent="0.2">
      <c r="A72" s="69">
        <v>3185</v>
      </c>
      <c r="B72" s="70" t="s">
        <v>1170</v>
      </c>
      <c r="C72" s="71" t="s">
        <v>1171</v>
      </c>
      <c r="D72" s="69">
        <v>3185</v>
      </c>
    </row>
    <row r="73" spans="1:4" x14ac:dyDescent="0.2">
      <c r="A73" s="69">
        <v>3186</v>
      </c>
      <c r="B73" s="70" t="s">
        <v>1172</v>
      </c>
      <c r="C73" s="71" t="s">
        <v>1173</v>
      </c>
      <c r="D73" s="69">
        <v>3186</v>
      </c>
    </row>
    <row r="74" spans="1:4" x14ac:dyDescent="0.2">
      <c r="A74" s="69">
        <v>3187</v>
      </c>
      <c r="B74" s="70" t="s">
        <v>1174</v>
      </c>
      <c r="C74" s="71" t="s">
        <v>1175</v>
      </c>
      <c r="D74" s="69">
        <v>3187</v>
      </c>
    </row>
    <row r="75" spans="1:4" x14ac:dyDescent="0.2">
      <c r="A75" s="69">
        <v>3190</v>
      </c>
      <c r="B75" s="70" t="s">
        <v>1176</v>
      </c>
      <c r="C75" s="71" t="s">
        <v>1177</v>
      </c>
      <c r="D75" s="69">
        <v>3190</v>
      </c>
    </row>
    <row r="76" spans="1:4" ht="12.75" customHeight="1" x14ac:dyDescent="0.2">
      <c r="A76" s="69">
        <v>3192</v>
      </c>
      <c r="B76" s="70" t="s">
        <v>1178</v>
      </c>
      <c r="C76" s="71" t="s">
        <v>1054</v>
      </c>
      <c r="D76" s="69">
        <v>3192</v>
      </c>
    </row>
    <row r="77" spans="1:4" ht="12.75" customHeight="1" x14ac:dyDescent="0.2">
      <c r="A77" s="69">
        <v>3194</v>
      </c>
      <c r="B77" s="70" t="s">
        <v>1179</v>
      </c>
      <c r="C77" s="71" t="s">
        <v>1180</v>
      </c>
      <c r="D77" s="69">
        <v>3194</v>
      </c>
    </row>
    <row r="78" spans="1:4" x14ac:dyDescent="0.2">
      <c r="A78" s="69">
        <v>3197</v>
      </c>
      <c r="B78" s="70" t="s">
        <v>1181</v>
      </c>
      <c r="C78" s="71" t="s">
        <v>1182</v>
      </c>
      <c r="D78" s="69">
        <v>3197</v>
      </c>
    </row>
    <row r="79" spans="1:4" x14ac:dyDescent="0.2">
      <c r="A79" s="69">
        <v>3198</v>
      </c>
      <c r="B79" s="70" t="s">
        <v>1183</v>
      </c>
      <c r="C79" s="71" t="s">
        <v>1184</v>
      </c>
      <c r="D79" s="69">
        <v>3198</v>
      </c>
    </row>
    <row r="80" spans="1:4" ht="12.75" customHeight="1" x14ac:dyDescent="0.2">
      <c r="A80" s="69">
        <v>3199</v>
      </c>
      <c r="B80" s="70" t="s">
        <v>1185</v>
      </c>
      <c r="C80" s="71" t="s">
        <v>1186</v>
      </c>
      <c r="D80" s="69">
        <v>3199</v>
      </c>
    </row>
    <row r="81" spans="1:4" ht="12.75" customHeight="1" x14ac:dyDescent="0.2">
      <c r="A81" s="69">
        <v>3200</v>
      </c>
      <c r="B81" s="70" t="s">
        <v>1187</v>
      </c>
      <c r="C81" s="71" t="s">
        <v>1188</v>
      </c>
      <c r="D81" s="69">
        <v>3200</v>
      </c>
    </row>
    <row r="82" spans="1:4" ht="12.75" customHeight="1" x14ac:dyDescent="0.2">
      <c r="A82" s="69">
        <v>3201</v>
      </c>
      <c r="B82" s="70" t="s">
        <v>1189</v>
      </c>
      <c r="C82" s="71" t="s">
        <v>1190</v>
      </c>
      <c r="D82" s="69">
        <v>3201</v>
      </c>
    </row>
    <row r="83" spans="1:4" x14ac:dyDescent="0.2">
      <c r="A83" s="69">
        <v>3202</v>
      </c>
      <c r="B83" s="70" t="s">
        <v>1191</v>
      </c>
      <c r="C83" s="71" t="s">
        <v>1192</v>
      </c>
      <c r="D83" s="69">
        <v>3202</v>
      </c>
    </row>
    <row r="84" spans="1:4" x14ac:dyDescent="0.2">
      <c r="A84" s="69">
        <v>3203</v>
      </c>
      <c r="B84" s="70" t="s">
        <v>1193</v>
      </c>
      <c r="C84" s="71" t="s">
        <v>1119</v>
      </c>
      <c r="D84" s="69">
        <v>3203</v>
      </c>
    </row>
    <row r="85" spans="1:4" x14ac:dyDescent="0.2">
      <c r="A85" s="69">
        <v>3204</v>
      </c>
      <c r="B85" s="70" t="s">
        <v>1194</v>
      </c>
      <c r="C85" s="71" t="s">
        <v>1195</v>
      </c>
      <c r="D85" s="69">
        <v>3204</v>
      </c>
    </row>
    <row r="86" spans="1:4" ht="12.75" customHeight="1" x14ac:dyDescent="0.2">
      <c r="A86" s="69">
        <v>3205</v>
      </c>
      <c r="B86" s="70" t="s">
        <v>1196</v>
      </c>
      <c r="C86" s="71" t="s">
        <v>1197</v>
      </c>
      <c r="D86" s="69">
        <v>3205</v>
      </c>
    </row>
    <row r="87" spans="1:4" ht="12.75" customHeight="1" x14ac:dyDescent="0.2">
      <c r="A87" s="69">
        <v>3206</v>
      </c>
      <c r="B87" s="70" t="s">
        <v>1198</v>
      </c>
      <c r="C87" s="71" t="s">
        <v>1199</v>
      </c>
      <c r="D87" s="69">
        <v>3206</v>
      </c>
    </row>
    <row r="88" spans="1:4" ht="12.75" customHeight="1" x14ac:dyDescent="0.2">
      <c r="A88" s="69">
        <v>3208</v>
      </c>
      <c r="B88" s="70" t="s">
        <v>1200</v>
      </c>
      <c r="C88" s="71" t="s">
        <v>1098</v>
      </c>
      <c r="D88" s="69">
        <v>3208</v>
      </c>
    </row>
    <row r="89" spans="1:4" ht="12.75" customHeight="1" x14ac:dyDescent="0.2">
      <c r="A89" s="69">
        <v>3209</v>
      </c>
      <c r="B89" s="70" t="s">
        <v>1201</v>
      </c>
      <c r="C89" s="71" t="s">
        <v>1202</v>
      </c>
      <c r="D89" s="69">
        <v>3209</v>
      </c>
    </row>
    <row r="90" spans="1:4" ht="12.75" customHeight="1" x14ac:dyDescent="0.2">
      <c r="A90" s="69">
        <v>3210</v>
      </c>
      <c r="B90" s="70" t="s">
        <v>1203</v>
      </c>
      <c r="C90" s="71" t="s">
        <v>1204</v>
      </c>
      <c r="D90" s="69">
        <v>3210</v>
      </c>
    </row>
    <row r="91" spans="1:4" x14ac:dyDescent="0.2">
      <c r="A91" s="69">
        <v>3211</v>
      </c>
      <c r="B91" s="70" t="s">
        <v>1205</v>
      </c>
      <c r="C91" s="71" t="s">
        <v>1206</v>
      </c>
      <c r="D91" s="69">
        <v>3211</v>
      </c>
    </row>
    <row r="92" spans="1:4" x14ac:dyDescent="0.2">
      <c r="A92" s="69">
        <v>3212</v>
      </c>
      <c r="B92" s="70" t="s">
        <v>1207</v>
      </c>
      <c r="C92" s="71" t="s">
        <v>1208</v>
      </c>
      <c r="D92" s="69">
        <v>3212</v>
      </c>
    </row>
    <row r="93" spans="1:4" ht="12.75" customHeight="1" x14ac:dyDescent="0.2">
      <c r="A93" s="69">
        <v>3213</v>
      </c>
      <c r="B93" s="70" t="s">
        <v>1209</v>
      </c>
      <c r="C93" s="71" t="s">
        <v>1210</v>
      </c>
      <c r="D93" s="69">
        <v>3213</v>
      </c>
    </row>
    <row r="94" spans="1:4" ht="12.75" customHeight="1" x14ac:dyDescent="0.2">
      <c r="A94" s="69">
        <v>3214</v>
      </c>
      <c r="B94" s="70" t="s">
        <v>1211</v>
      </c>
      <c r="C94" s="71" t="s">
        <v>1212</v>
      </c>
      <c r="D94" s="69">
        <v>3214</v>
      </c>
    </row>
    <row r="95" spans="1:4" x14ac:dyDescent="0.2">
      <c r="A95" s="69">
        <v>3215</v>
      </c>
      <c r="B95" s="70" t="s">
        <v>1213</v>
      </c>
      <c r="C95" s="71" t="s">
        <v>1214</v>
      </c>
      <c r="D95" s="69">
        <v>3215</v>
      </c>
    </row>
    <row r="96" spans="1:4" x14ac:dyDescent="0.2">
      <c r="A96" s="69">
        <v>3217</v>
      </c>
      <c r="B96" s="70" t="s">
        <v>1215</v>
      </c>
      <c r="C96" s="71" t="s">
        <v>1216</v>
      </c>
      <c r="D96" s="69">
        <v>3217</v>
      </c>
    </row>
    <row r="97" spans="1:4" x14ac:dyDescent="0.2">
      <c r="A97" s="69">
        <v>3218</v>
      </c>
      <c r="B97" s="70" t="s">
        <v>1217</v>
      </c>
      <c r="C97" s="71" t="s">
        <v>1218</v>
      </c>
      <c r="D97" s="69">
        <v>3218</v>
      </c>
    </row>
    <row r="98" spans="1:4" ht="12.75" customHeight="1" x14ac:dyDescent="0.2">
      <c r="A98" s="69">
        <v>3220</v>
      </c>
      <c r="B98" s="70" t="s">
        <v>1219</v>
      </c>
      <c r="C98" s="71" t="s">
        <v>1220</v>
      </c>
      <c r="D98" s="69">
        <v>3220</v>
      </c>
    </row>
    <row r="99" spans="1:4" x14ac:dyDescent="0.2">
      <c r="A99" s="69">
        <v>3542</v>
      </c>
      <c r="B99" s="70" t="s">
        <v>1221</v>
      </c>
      <c r="C99" s="71" t="s">
        <v>1222</v>
      </c>
      <c r="D99" s="69">
        <v>3542</v>
      </c>
    </row>
    <row r="100" spans="1:4" x14ac:dyDescent="0.2">
      <c r="A100" s="69">
        <v>3604</v>
      </c>
      <c r="B100" s="70" t="s">
        <v>1223</v>
      </c>
      <c r="C100" s="71" t="s">
        <v>1216</v>
      </c>
      <c r="D100" s="69">
        <v>3604</v>
      </c>
    </row>
    <row r="101" spans="1:4" x14ac:dyDescent="0.2">
      <c r="A101" s="69">
        <v>3595</v>
      </c>
      <c r="B101" s="70" t="s">
        <v>1223</v>
      </c>
      <c r="C101" s="71" t="s">
        <v>1224</v>
      </c>
      <c r="D101" s="69">
        <v>3595</v>
      </c>
    </row>
    <row r="102" spans="1:4" x14ac:dyDescent="0.2">
      <c r="A102" s="69">
        <v>3611</v>
      </c>
      <c r="B102" s="70" t="s">
        <v>1223</v>
      </c>
      <c r="C102" s="71" t="s">
        <v>1225</v>
      </c>
      <c r="D102" s="69">
        <v>3611</v>
      </c>
    </row>
    <row r="103" spans="1:4" x14ac:dyDescent="0.2">
      <c r="A103" s="69">
        <v>3570</v>
      </c>
      <c r="B103" s="70" t="s">
        <v>1223</v>
      </c>
      <c r="C103" s="71" t="s">
        <v>1226</v>
      </c>
      <c r="D103" s="69">
        <v>3570</v>
      </c>
    </row>
    <row r="104" spans="1:4" x14ac:dyDescent="0.2">
      <c r="A104" s="69">
        <v>3554</v>
      </c>
      <c r="B104" s="70" t="s">
        <v>1223</v>
      </c>
      <c r="C104" s="71" t="s">
        <v>1227</v>
      </c>
      <c r="D104" s="69">
        <v>3554</v>
      </c>
    </row>
    <row r="105" spans="1:4" x14ac:dyDescent="0.2">
      <c r="A105" s="69">
        <v>3589</v>
      </c>
      <c r="B105" s="70" t="s">
        <v>1223</v>
      </c>
      <c r="C105" s="71" t="s">
        <v>1228</v>
      </c>
      <c r="D105" s="69">
        <v>3589</v>
      </c>
    </row>
    <row r="106" spans="1:4" ht="12.75" customHeight="1" x14ac:dyDescent="0.2">
      <c r="A106" s="69">
        <v>3537</v>
      </c>
      <c r="B106" s="70" t="s">
        <v>1223</v>
      </c>
      <c r="C106" s="71" t="s">
        <v>1229</v>
      </c>
      <c r="D106" s="69">
        <v>3537</v>
      </c>
    </row>
    <row r="107" spans="1:4" ht="12.75" customHeight="1" x14ac:dyDescent="0.2">
      <c r="A107" s="69">
        <v>3583</v>
      </c>
      <c r="B107" s="70" t="s">
        <v>1223</v>
      </c>
      <c r="C107" s="71" t="s">
        <v>1230</v>
      </c>
      <c r="D107" s="69">
        <v>3583</v>
      </c>
    </row>
    <row r="108" spans="1:4" x14ac:dyDescent="0.2">
      <c r="A108" s="69">
        <v>3557</v>
      </c>
      <c r="B108" s="70" t="s">
        <v>1223</v>
      </c>
      <c r="C108" s="71" t="s">
        <v>1231</v>
      </c>
      <c r="D108" s="69">
        <v>3557</v>
      </c>
    </row>
    <row r="109" spans="1:4" x14ac:dyDescent="0.2">
      <c r="A109" s="69">
        <v>3586</v>
      </c>
      <c r="B109" s="70" t="s">
        <v>1223</v>
      </c>
      <c r="C109" s="71" t="s">
        <v>1232</v>
      </c>
      <c r="D109" s="69">
        <v>3586</v>
      </c>
    </row>
    <row r="110" spans="1:4" ht="12.75" customHeight="1" x14ac:dyDescent="0.2">
      <c r="A110" s="69">
        <v>3573</v>
      </c>
      <c r="B110" s="70" t="s">
        <v>1223</v>
      </c>
      <c r="C110" s="71" t="s">
        <v>1233</v>
      </c>
      <c r="D110" s="69">
        <v>3573</v>
      </c>
    </row>
    <row r="111" spans="1:4" ht="12.75" customHeight="1" x14ac:dyDescent="0.2">
      <c r="A111" s="69">
        <v>3551</v>
      </c>
      <c r="B111" s="70" t="s">
        <v>1223</v>
      </c>
      <c r="C111" s="71" t="s">
        <v>1234</v>
      </c>
      <c r="D111" s="69">
        <v>3551</v>
      </c>
    </row>
    <row r="112" spans="1:4" ht="12.75" customHeight="1" x14ac:dyDescent="0.2">
      <c r="A112" s="69">
        <v>3221</v>
      </c>
      <c r="B112" s="70" t="s">
        <v>1235</v>
      </c>
      <c r="C112" s="71" t="s">
        <v>1125</v>
      </c>
      <c r="D112" s="69">
        <v>3221</v>
      </c>
    </row>
    <row r="113" spans="1:4" ht="12.75" customHeight="1" x14ac:dyDescent="0.2">
      <c r="A113" s="69">
        <v>3222</v>
      </c>
      <c r="B113" s="70" t="s">
        <v>1236</v>
      </c>
      <c r="C113" s="71" t="s">
        <v>1237</v>
      </c>
      <c r="D113" s="69">
        <v>3222</v>
      </c>
    </row>
    <row r="114" spans="1:4" x14ac:dyDescent="0.2">
      <c r="A114" s="69">
        <v>3223</v>
      </c>
      <c r="B114" s="70" t="s">
        <v>1238</v>
      </c>
      <c r="C114" s="71" t="s">
        <v>1239</v>
      </c>
      <c r="D114" s="69">
        <v>3223</v>
      </c>
    </row>
    <row r="115" spans="1:4" ht="12.75" customHeight="1" x14ac:dyDescent="0.2">
      <c r="A115" s="69">
        <v>3224</v>
      </c>
      <c r="B115" s="70" t="s">
        <v>1240</v>
      </c>
      <c r="C115" s="71" t="s">
        <v>1241</v>
      </c>
      <c r="D115" s="69">
        <v>3224</v>
      </c>
    </row>
    <row r="116" spans="1:4" x14ac:dyDescent="0.2">
      <c r="A116" s="69">
        <v>3225</v>
      </c>
      <c r="B116" s="70" t="s">
        <v>1242</v>
      </c>
      <c r="C116" s="71" t="s">
        <v>1243</v>
      </c>
      <c r="D116" s="69">
        <v>3225</v>
      </c>
    </row>
    <row r="117" spans="1:4" x14ac:dyDescent="0.2">
      <c r="A117" s="69">
        <v>3226</v>
      </c>
      <c r="B117" s="70" t="s">
        <v>1244</v>
      </c>
      <c r="C117" s="71" t="s">
        <v>1245</v>
      </c>
      <c r="D117" s="69">
        <v>3226</v>
      </c>
    </row>
    <row r="118" spans="1:4" ht="12.75" customHeight="1" x14ac:dyDescent="0.2">
      <c r="A118" s="69">
        <v>3227</v>
      </c>
      <c r="B118" s="70" t="s">
        <v>1246</v>
      </c>
      <c r="C118" s="71" t="s">
        <v>1247</v>
      </c>
      <c r="D118" s="69">
        <v>3227</v>
      </c>
    </row>
    <row r="119" spans="1:4" ht="12.75" customHeight="1" x14ac:dyDescent="0.2">
      <c r="A119" s="69">
        <v>3228</v>
      </c>
      <c r="B119" s="70" t="s">
        <v>1248</v>
      </c>
      <c r="C119" s="71" t="s">
        <v>1249</v>
      </c>
      <c r="D119" s="69">
        <v>3228</v>
      </c>
    </row>
    <row r="120" spans="1:4" x14ac:dyDescent="0.2">
      <c r="A120" s="69">
        <v>3230</v>
      </c>
      <c r="B120" s="70" t="s">
        <v>1250</v>
      </c>
      <c r="C120" s="71" t="s">
        <v>1251</v>
      </c>
      <c r="D120" s="69">
        <v>3230</v>
      </c>
    </row>
    <row r="121" spans="1:4" ht="12.75" customHeight="1" x14ac:dyDescent="0.2">
      <c r="A121" s="69">
        <v>3231</v>
      </c>
      <c r="B121" s="70" t="s">
        <v>1252</v>
      </c>
      <c r="C121" s="71" t="s">
        <v>1253</v>
      </c>
      <c r="D121" s="69">
        <v>3231</v>
      </c>
    </row>
    <row r="122" spans="1:4" ht="12.75" customHeight="1" x14ac:dyDescent="0.2">
      <c r="A122" s="69">
        <v>3587</v>
      </c>
      <c r="B122" s="70" t="s">
        <v>1254</v>
      </c>
      <c r="C122" s="71" t="s">
        <v>1255</v>
      </c>
      <c r="D122" s="69">
        <v>3587</v>
      </c>
    </row>
    <row r="123" spans="1:4" x14ac:dyDescent="0.2">
      <c r="A123" s="69">
        <v>3552</v>
      </c>
      <c r="B123" s="70" t="s">
        <v>1254</v>
      </c>
      <c r="C123" s="71" t="s">
        <v>1256</v>
      </c>
      <c r="D123" s="69">
        <v>3552</v>
      </c>
    </row>
    <row r="124" spans="1:4" x14ac:dyDescent="0.2">
      <c r="A124" s="69">
        <v>3538</v>
      </c>
      <c r="B124" s="70" t="s">
        <v>1254</v>
      </c>
      <c r="C124" s="71" t="s">
        <v>1257</v>
      </c>
      <c r="D124" s="69">
        <v>3538</v>
      </c>
    </row>
    <row r="125" spans="1:4" x14ac:dyDescent="0.2">
      <c r="A125" s="69">
        <v>3584</v>
      </c>
      <c r="B125" s="70" t="s">
        <v>1254</v>
      </c>
      <c r="C125" s="71" t="s">
        <v>1258</v>
      </c>
      <c r="D125" s="69">
        <v>3584</v>
      </c>
    </row>
    <row r="126" spans="1:4" x14ac:dyDescent="0.2">
      <c r="A126" s="69">
        <v>3571</v>
      </c>
      <c r="B126" s="70" t="s">
        <v>1254</v>
      </c>
      <c r="C126" s="71" t="s">
        <v>1259</v>
      </c>
      <c r="D126" s="69">
        <v>3571</v>
      </c>
    </row>
    <row r="127" spans="1:4" ht="12.75" customHeight="1" x14ac:dyDescent="0.2">
      <c r="A127" s="69">
        <v>3606</v>
      </c>
      <c r="B127" s="70" t="s">
        <v>1254</v>
      </c>
      <c r="C127" s="71" t="s">
        <v>1260</v>
      </c>
      <c r="D127" s="69">
        <v>3606</v>
      </c>
    </row>
    <row r="128" spans="1:4" x14ac:dyDescent="0.2">
      <c r="A128" s="69">
        <v>3555</v>
      </c>
      <c r="B128" s="70" t="s">
        <v>1254</v>
      </c>
      <c r="C128" s="71" t="s">
        <v>1087</v>
      </c>
      <c r="D128" s="69">
        <v>3555</v>
      </c>
    </row>
    <row r="129" spans="1:4" x14ac:dyDescent="0.2">
      <c r="A129" s="69">
        <v>3558</v>
      </c>
      <c r="B129" s="70" t="s">
        <v>1254</v>
      </c>
      <c r="C129" s="71" t="s">
        <v>1261</v>
      </c>
      <c r="D129" s="69">
        <v>3558</v>
      </c>
    </row>
    <row r="130" spans="1:4" ht="12.75" customHeight="1" x14ac:dyDescent="0.2">
      <c r="A130" s="69">
        <v>3590</v>
      </c>
      <c r="B130" s="70" t="s">
        <v>1254</v>
      </c>
      <c r="C130" s="71" t="s">
        <v>1117</v>
      </c>
      <c r="D130" s="69">
        <v>3590</v>
      </c>
    </row>
    <row r="131" spans="1:4" ht="12.75" customHeight="1" x14ac:dyDescent="0.2">
      <c r="A131" s="69">
        <v>3232</v>
      </c>
      <c r="B131" s="70" t="s">
        <v>1262</v>
      </c>
      <c r="C131" s="71" t="s">
        <v>1263</v>
      </c>
      <c r="D131" s="69">
        <v>3232</v>
      </c>
    </row>
    <row r="132" spans="1:4" x14ac:dyDescent="0.2">
      <c r="A132" s="69">
        <v>3233</v>
      </c>
      <c r="B132" s="70" t="s">
        <v>1264</v>
      </c>
      <c r="C132" s="71" t="s">
        <v>1265</v>
      </c>
      <c r="D132" s="69">
        <v>3233</v>
      </c>
    </row>
    <row r="133" spans="1:4" x14ac:dyDescent="0.2">
      <c r="A133" s="69">
        <v>3234</v>
      </c>
      <c r="B133" s="70" t="s">
        <v>1266</v>
      </c>
      <c r="C133" s="71" t="s">
        <v>1267</v>
      </c>
      <c r="D133" s="69">
        <v>3234</v>
      </c>
    </row>
    <row r="134" spans="1:4" x14ac:dyDescent="0.2">
      <c r="A134" s="69">
        <v>3235</v>
      </c>
      <c r="B134" s="70" t="s">
        <v>1268</v>
      </c>
      <c r="C134" s="71" t="s">
        <v>1269</v>
      </c>
      <c r="D134" s="69">
        <v>3235</v>
      </c>
    </row>
    <row r="135" spans="1:4" x14ac:dyDescent="0.2">
      <c r="A135" s="69">
        <v>3236</v>
      </c>
      <c r="B135" s="70" t="s">
        <v>1270</v>
      </c>
      <c r="C135" s="71" t="s">
        <v>1271</v>
      </c>
      <c r="D135" s="69">
        <v>3236</v>
      </c>
    </row>
    <row r="136" spans="1:4" x14ac:dyDescent="0.2">
      <c r="A136" s="69">
        <v>3237</v>
      </c>
      <c r="B136" s="70" t="s">
        <v>1272</v>
      </c>
      <c r="C136" s="71" t="s">
        <v>1273</v>
      </c>
      <c r="D136" s="69">
        <v>3237</v>
      </c>
    </row>
    <row r="137" spans="1:4" ht="12.75" customHeight="1" x14ac:dyDescent="0.2">
      <c r="A137" s="69">
        <v>3238</v>
      </c>
      <c r="B137" s="70" t="s">
        <v>1274</v>
      </c>
      <c r="C137" s="71" t="s">
        <v>1054</v>
      </c>
      <c r="D137" s="69">
        <v>3238</v>
      </c>
    </row>
    <row r="138" spans="1:4" ht="12.75" customHeight="1" x14ac:dyDescent="0.2">
      <c r="A138" s="69">
        <v>3240</v>
      </c>
      <c r="B138" s="70" t="s">
        <v>1275</v>
      </c>
      <c r="C138" s="71" t="s">
        <v>1276</v>
      </c>
      <c r="D138" s="69">
        <v>3240</v>
      </c>
    </row>
    <row r="139" spans="1:4" ht="12.75" customHeight="1" x14ac:dyDescent="0.2">
      <c r="A139" s="69">
        <v>3241</v>
      </c>
      <c r="B139" s="70" t="s">
        <v>1277</v>
      </c>
      <c r="C139" s="71" t="s">
        <v>1278</v>
      </c>
      <c r="D139" s="69">
        <v>3241</v>
      </c>
    </row>
    <row r="140" spans="1:4" x14ac:dyDescent="0.2">
      <c r="A140" s="69">
        <v>3242</v>
      </c>
      <c r="B140" s="70" t="s">
        <v>1279</v>
      </c>
      <c r="C140" s="71" t="s">
        <v>1280</v>
      </c>
      <c r="D140" s="69">
        <v>3242</v>
      </c>
    </row>
    <row r="141" spans="1:4" x14ac:dyDescent="0.2">
      <c r="A141" s="69">
        <v>3585</v>
      </c>
      <c r="B141" s="70" t="s">
        <v>1281</v>
      </c>
      <c r="C141" s="71" t="s">
        <v>1282</v>
      </c>
      <c r="D141" s="69">
        <v>3585</v>
      </c>
    </row>
    <row r="142" spans="1:4" x14ac:dyDescent="0.2">
      <c r="A142" s="69">
        <v>3559</v>
      </c>
      <c r="B142" s="70" t="s">
        <v>1281</v>
      </c>
      <c r="C142" s="71" t="s">
        <v>1283</v>
      </c>
      <c r="D142" s="69">
        <v>3559</v>
      </c>
    </row>
    <row r="143" spans="1:4" x14ac:dyDescent="0.2">
      <c r="A143" s="69">
        <v>3588</v>
      </c>
      <c r="B143" s="70" t="s">
        <v>1281</v>
      </c>
      <c r="C143" s="71" t="s">
        <v>1284</v>
      </c>
      <c r="D143" s="69">
        <v>3588</v>
      </c>
    </row>
    <row r="144" spans="1:4" x14ac:dyDescent="0.2">
      <c r="A144" s="69">
        <v>3556</v>
      </c>
      <c r="B144" s="70" t="s">
        <v>1281</v>
      </c>
      <c r="C144" s="71" t="s">
        <v>1285</v>
      </c>
      <c r="D144" s="69">
        <v>3556</v>
      </c>
    </row>
    <row r="145" spans="1:4" x14ac:dyDescent="0.2">
      <c r="A145" s="69">
        <v>3553</v>
      </c>
      <c r="B145" s="70" t="s">
        <v>1281</v>
      </c>
      <c r="C145" s="71" t="s">
        <v>1083</v>
      </c>
      <c r="D145" s="69">
        <v>3553</v>
      </c>
    </row>
    <row r="146" spans="1:4" x14ac:dyDescent="0.2">
      <c r="A146" s="69">
        <v>3572</v>
      </c>
      <c r="B146" s="70" t="s">
        <v>1281</v>
      </c>
      <c r="C146" s="71" t="s">
        <v>1286</v>
      </c>
      <c r="D146" s="69">
        <v>3572</v>
      </c>
    </row>
    <row r="147" spans="1:4" ht="12.75" customHeight="1" x14ac:dyDescent="0.2">
      <c r="A147" s="69">
        <v>3607</v>
      </c>
      <c r="B147" s="70" t="s">
        <v>1281</v>
      </c>
      <c r="C147" s="71" t="s">
        <v>1287</v>
      </c>
      <c r="D147" s="69">
        <v>3607</v>
      </c>
    </row>
    <row r="148" spans="1:4" ht="12.75" customHeight="1" x14ac:dyDescent="0.2">
      <c r="A148" s="69">
        <v>3539</v>
      </c>
      <c r="B148" s="70" t="s">
        <v>1281</v>
      </c>
      <c r="C148" s="71" t="s">
        <v>1288</v>
      </c>
      <c r="D148" s="69">
        <v>3539</v>
      </c>
    </row>
    <row r="149" spans="1:4" ht="12.75" customHeight="1" x14ac:dyDescent="0.2">
      <c r="A149" s="69">
        <v>3591</v>
      </c>
      <c r="B149" s="70" t="s">
        <v>1281</v>
      </c>
      <c r="C149" s="71" t="s">
        <v>1054</v>
      </c>
      <c r="D149" s="69">
        <v>3591</v>
      </c>
    </row>
    <row r="150" spans="1:4" ht="12.75" customHeight="1" x14ac:dyDescent="0.2">
      <c r="A150" s="69">
        <v>3243</v>
      </c>
      <c r="B150" s="70" t="s">
        <v>1289</v>
      </c>
      <c r="C150" s="71" t="s">
        <v>1290</v>
      </c>
      <c r="D150" s="69">
        <v>3243</v>
      </c>
    </row>
    <row r="151" spans="1:4" x14ac:dyDescent="0.2">
      <c r="A151" s="69">
        <v>3245</v>
      </c>
      <c r="B151" s="70" t="s">
        <v>1291</v>
      </c>
      <c r="C151" s="71" t="s">
        <v>1292</v>
      </c>
      <c r="D151" s="69">
        <v>3245</v>
      </c>
    </row>
    <row r="152" spans="1:4" x14ac:dyDescent="0.2">
      <c r="A152" s="69">
        <v>3246</v>
      </c>
      <c r="B152" s="70" t="s">
        <v>1293</v>
      </c>
      <c r="C152" s="71" t="s">
        <v>1294</v>
      </c>
      <c r="D152" s="69">
        <v>3246</v>
      </c>
    </row>
    <row r="153" spans="1:4" x14ac:dyDescent="0.2">
      <c r="A153" s="69">
        <v>3247</v>
      </c>
      <c r="B153" s="70" t="s">
        <v>1295</v>
      </c>
      <c r="C153" s="71" t="s">
        <v>1296</v>
      </c>
      <c r="D153" s="69">
        <v>3247</v>
      </c>
    </row>
    <row r="154" spans="1:4" x14ac:dyDescent="0.2">
      <c r="A154" s="69">
        <v>3249</v>
      </c>
      <c r="B154" s="70" t="s">
        <v>1297</v>
      </c>
      <c r="C154" s="71" t="s">
        <v>1298</v>
      </c>
      <c r="D154" s="69">
        <v>3249</v>
      </c>
    </row>
    <row r="155" spans="1:4" ht="12.75" customHeight="1" x14ac:dyDescent="0.2">
      <c r="A155" s="69">
        <v>3250</v>
      </c>
      <c r="B155" s="70" t="s">
        <v>1299</v>
      </c>
      <c r="C155" s="71" t="s">
        <v>1300</v>
      </c>
      <c r="D155" s="69">
        <v>3250</v>
      </c>
    </row>
    <row r="156" spans="1:4" x14ac:dyDescent="0.2">
      <c r="A156" s="69">
        <v>3251</v>
      </c>
      <c r="B156" s="70" t="s">
        <v>1301</v>
      </c>
      <c r="C156" s="71" t="s">
        <v>1302</v>
      </c>
      <c r="D156" s="69">
        <v>3251</v>
      </c>
    </row>
    <row r="157" spans="1:4" x14ac:dyDescent="0.2">
      <c r="A157" s="69">
        <v>3252</v>
      </c>
      <c r="B157" s="70" t="s">
        <v>1303</v>
      </c>
      <c r="C157" s="71" t="s">
        <v>1304</v>
      </c>
      <c r="D157" s="69">
        <v>3252</v>
      </c>
    </row>
    <row r="158" spans="1:4" ht="12.75" customHeight="1" x14ac:dyDescent="0.2">
      <c r="A158" s="69">
        <v>3253</v>
      </c>
      <c r="B158" s="70" t="s">
        <v>1305</v>
      </c>
      <c r="C158" s="71" t="s">
        <v>1306</v>
      </c>
      <c r="D158" s="69">
        <v>3253</v>
      </c>
    </row>
    <row r="159" spans="1:4" x14ac:dyDescent="0.2">
      <c r="A159" s="69">
        <v>3254</v>
      </c>
      <c r="B159" s="70" t="s">
        <v>1307</v>
      </c>
      <c r="C159" s="71" t="s">
        <v>1308</v>
      </c>
      <c r="D159" s="69">
        <v>3254</v>
      </c>
    </row>
    <row r="160" spans="1:4" x14ac:dyDescent="0.2">
      <c r="A160" s="69">
        <v>3608</v>
      </c>
      <c r="B160" s="70" t="s">
        <v>1309</v>
      </c>
      <c r="C160" s="71" t="s">
        <v>1310</v>
      </c>
      <c r="D160" s="69">
        <v>3608</v>
      </c>
    </row>
    <row r="161" spans="1:4" x14ac:dyDescent="0.2">
      <c r="A161" s="69">
        <v>3592</v>
      </c>
      <c r="B161" s="70" t="s">
        <v>1309</v>
      </c>
      <c r="C161" s="71" t="s">
        <v>1284</v>
      </c>
      <c r="D161" s="69">
        <v>3592</v>
      </c>
    </row>
    <row r="162" spans="1:4" x14ac:dyDescent="0.2">
      <c r="A162" s="69">
        <v>3560</v>
      </c>
      <c r="B162" s="70" t="s">
        <v>1309</v>
      </c>
      <c r="C162" s="71" t="s">
        <v>1311</v>
      </c>
      <c r="D162" s="69">
        <v>3560</v>
      </c>
    </row>
    <row r="163" spans="1:4" ht="12.75" customHeight="1" x14ac:dyDescent="0.2">
      <c r="A163" s="69">
        <v>3540</v>
      </c>
      <c r="B163" s="70" t="s">
        <v>1309</v>
      </c>
      <c r="C163" s="71" t="s">
        <v>1312</v>
      </c>
      <c r="D163" s="69">
        <v>3540</v>
      </c>
    </row>
    <row r="164" spans="1:4" x14ac:dyDescent="0.2">
      <c r="A164" s="69">
        <v>3574</v>
      </c>
      <c r="B164" s="70" t="s">
        <v>1309</v>
      </c>
      <c r="C164" s="71" t="s">
        <v>1313</v>
      </c>
      <c r="D164" s="69">
        <v>3574</v>
      </c>
    </row>
    <row r="165" spans="1:4" x14ac:dyDescent="0.2">
      <c r="A165" s="69">
        <v>3255</v>
      </c>
      <c r="B165" s="70" t="s">
        <v>1314</v>
      </c>
      <c r="C165" s="71" t="s">
        <v>1315</v>
      </c>
      <c r="D165" s="69">
        <v>3255</v>
      </c>
    </row>
    <row r="166" spans="1:4" x14ac:dyDescent="0.2">
      <c r="A166" s="69">
        <v>3271</v>
      </c>
      <c r="B166" s="70" t="s">
        <v>1316</v>
      </c>
      <c r="C166" s="71" t="s">
        <v>1317</v>
      </c>
      <c r="D166" s="69">
        <v>3271</v>
      </c>
    </row>
    <row r="167" spans="1:4" x14ac:dyDescent="0.2">
      <c r="A167" s="69">
        <v>3272</v>
      </c>
      <c r="B167" s="70" t="s">
        <v>1318</v>
      </c>
      <c r="C167" s="71" t="s">
        <v>1039</v>
      </c>
      <c r="D167" s="69">
        <v>3272</v>
      </c>
    </row>
    <row r="168" spans="1:4" x14ac:dyDescent="0.2">
      <c r="A168" s="69">
        <v>3273</v>
      </c>
      <c r="B168" s="70" t="s">
        <v>1319</v>
      </c>
      <c r="C168" s="71" t="s">
        <v>1320</v>
      </c>
      <c r="D168" s="69">
        <v>3273</v>
      </c>
    </row>
    <row r="169" spans="1:4" x14ac:dyDescent="0.2">
      <c r="A169" s="69">
        <v>3274</v>
      </c>
      <c r="B169" s="70" t="s">
        <v>1321</v>
      </c>
      <c r="C169" s="71" t="s">
        <v>1257</v>
      </c>
      <c r="D169" s="69">
        <v>3274</v>
      </c>
    </row>
    <row r="170" spans="1:4" ht="12.75" customHeight="1" x14ac:dyDescent="0.2">
      <c r="A170" s="69">
        <v>3275</v>
      </c>
      <c r="B170" s="70" t="s">
        <v>1322</v>
      </c>
      <c r="C170" s="71" t="s">
        <v>1204</v>
      </c>
      <c r="D170" s="69">
        <v>3275</v>
      </c>
    </row>
    <row r="171" spans="1:4" x14ac:dyDescent="0.2">
      <c r="A171" s="69">
        <v>3276</v>
      </c>
      <c r="B171" s="70" t="s">
        <v>1323</v>
      </c>
      <c r="C171" s="71" t="s">
        <v>1324</v>
      </c>
      <c r="D171" s="69">
        <v>3276</v>
      </c>
    </row>
    <row r="172" spans="1:4" x14ac:dyDescent="0.2">
      <c r="A172" s="69">
        <v>3277</v>
      </c>
      <c r="B172" s="70" t="s">
        <v>1325</v>
      </c>
      <c r="C172" s="71" t="s">
        <v>1216</v>
      </c>
      <c r="D172" s="69">
        <v>3277</v>
      </c>
    </row>
    <row r="173" spans="1:4" x14ac:dyDescent="0.2">
      <c r="A173" s="69">
        <v>3278</v>
      </c>
      <c r="B173" s="70" t="s">
        <v>1326</v>
      </c>
      <c r="C173" s="71" t="s">
        <v>1327</v>
      </c>
      <c r="D173" s="69">
        <v>3278</v>
      </c>
    </row>
    <row r="174" spans="1:4" x14ac:dyDescent="0.2">
      <c r="A174" s="69">
        <v>3279</v>
      </c>
      <c r="B174" s="70" t="s">
        <v>1328</v>
      </c>
      <c r="C174" s="71" t="s">
        <v>1329</v>
      </c>
      <c r="D174" s="69">
        <v>3279</v>
      </c>
    </row>
    <row r="175" spans="1:4" x14ac:dyDescent="0.2">
      <c r="A175" s="69">
        <v>3575</v>
      </c>
      <c r="B175" s="70" t="s">
        <v>1330</v>
      </c>
      <c r="C175" s="71" t="s">
        <v>1331</v>
      </c>
      <c r="D175" s="69">
        <v>3575</v>
      </c>
    </row>
    <row r="176" spans="1:4" x14ac:dyDescent="0.2">
      <c r="A176" s="69">
        <v>3541</v>
      </c>
      <c r="B176" s="70" t="s">
        <v>1330</v>
      </c>
      <c r="C176" s="71" t="s">
        <v>1332</v>
      </c>
      <c r="D176" s="69">
        <v>3541</v>
      </c>
    </row>
    <row r="177" spans="1:4" x14ac:dyDescent="0.2">
      <c r="A177" s="69">
        <v>3593</v>
      </c>
      <c r="B177" s="70" t="s">
        <v>1330</v>
      </c>
      <c r="C177" s="71" t="s">
        <v>1333</v>
      </c>
      <c r="D177" s="69">
        <v>3593</v>
      </c>
    </row>
    <row r="178" spans="1:4" x14ac:dyDescent="0.2">
      <c r="A178" s="69">
        <v>3561</v>
      </c>
      <c r="B178" s="70" t="s">
        <v>1330</v>
      </c>
      <c r="C178" s="71" t="s">
        <v>1334</v>
      </c>
      <c r="D178" s="69">
        <v>3561</v>
      </c>
    </row>
    <row r="179" spans="1:4" x14ac:dyDescent="0.2">
      <c r="A179" s="69">
        <v>3609</v>
      </c>
      <c r="B179" s="70" t="s">
        <v>1330</v>
      </c>
      <c r="C179" s="71" t="s">
        <v>1335</v>
      </c>
      <c r="D179" s="69">
        <v>3609</v>
      </c>
    </row>
    <row r="180" spans="1:4" x14ac:dyDescent="0.2">
      <c r="A180" s="69">
        <v>3280</v>
      </c>
      <c r="B180" s="70" t="s">
        <v>1336</v>
      </c>
      <c r="C180" s="71" t="s">
        <v>1033</v>
      </c>
      <c r="D180" s="69">
        <v>3280</v>
      </c>
    </row>
    <row r="181" spans="1:4" x14ac:dyDescent="0.2">
      <c r="A181" s="69">
        <v>3281</v>
      </c>
      <c r="B181" s="70" t="s">
        <v>1337</v>
      </c>
      <c r="C181" s="71" t="s">
        <v>1338</v>
      </c>
      <c r="D181" s="69">
        <v>3281</v>
      </c>
    </row>
    <row r="182" spans="1:4" ht="12.75" customHeight="1" x14ac:dyDescent="0.2">
      <c r="A182" s="69">
        <v>3282</v>
      </c>
      <c r="B182" s="70" t="s">
        <v>1339</v>
      </c>
      <c r="C182" s="71" t="s">
        <v>1340</v>
      </c>
      <c r="D182" s="69">
        <v>3282</v>
      </c>
    </row>
    <row r="183" spans="1:4" x14ac:dyDescent="0.2">
      <c r="A183" s="69">
        <v>3283</v>
      </c>
      <c r="B183" s="70" t="s">
        <v>1341</v>
      </c>
      <c r="C183" s="71" t="s">
        <v>1182</v>
      </c>
      <c r="D183" s="69">
        <v>3283</v>
      </c>
    </row>
    <row r="184" spans="1:4" x14ac:dyDescent="0.2">
      <c r="A184" s="69">
        <v>3284</v>
      </c>
      <c r="B184" s="70" t="s">
        <v>1342</v>
      </c>
      <c r="C184" s="71" t="s">
        <v>1343</v>
      </c>
      <c r="D184" s="69">
        <v>3284</v>
      </c>
    </row>
    <row r="185" spans="1:4" x14ac:dyDescent="0.2">
      <c r="A185" s="69">
        <v>3285</v>
      </c>
      <c r="B185" s="70" t="s">
        <v>1344</v>
      </c>
      <c r="C185" s="71" t="s">
        <v>1345</v>
      </c>
      <c r="D185" s="69">
        <v>3285</v>
      </c>
    </row>
    <row r="186" spans="1:4" x14ac:dyDescent="0.2">
      <c r="A186" s="69">
        <v>3286</v>
      </c>
      <c r="B186" s="70" t="s">
        <v>1346</v>
      </c>
      <c r="C186" s="71" t="s">
        <v>1347</v>
      </c>
      <c r="D186" s="69">
        <v>3286</v>
      </c>
    </row>
    <row r="187" spans="1:4" x14ac:dyDescent="0.2">
      <c r="A187" s="69">
        <v>3287</v>
      </c>
      <c r="B187" s="70" t="s">
        <v>1348</v>
      </c>
      <c r="C187" s="71" t="s">
        <v>1349</v>
      </c>
      <c r="D187" s="69">
        <v>3287</v>
      </c>
    </row>
    <row r="188" spans="1:4" ht="12.75" customHeight="1" x14ac:dyDescent="0.2">
      <c r="A188" s="69">
        <v>3288</v>
      </c>
      <c r="B188" s="70" t="s">
        <v>1350</v>
      </c>
      <c r="C188" s="71" t="s">
        <v>1351</v>
      </c>
      <c r="D188" s="69">
        <v>3288</v>
      </c>
    </row>
    <row r="189" spans="1:4" x14ac:dyDescent="0.2">
      <c r="A189" s="69">
        <v>3289</v>
      </c>
      <c r="B189" s="70" t="s">
        <v>1352</v>
      </c>
      <c r="C189" s="71" t="s">
        <v>1353</v>
      </c>
      <c r="D189" s="69">
        <v>3289</v>
      </c>
    </row>
    <row r="190" spans="1:4" x14ac:dyDescent="0.2">
      <c r="A190" s="69">
        <v>3610</v>
      </c>
      <c r="B190" s="70" t="s">
        <v>1354</v>
      </c>
      <c r="C190" s="71" t="s">
        <v>1355</v>
      </c>
      <c r="D190" s="69">
        <v>3610</v>
      </c>
    </row>
    <row r="191" spans="1:4" ht="12.75" customHeight="1" x14ac:dyDescent="0.2">
      <c r="A191" s="69">
        <v>3576</v>
      </c>
      <c r="B191" s="70" t="s">
        <v>1354</v>
      </c>
      <c r="C191" s="71" t="s">
        <v>1356</v>
      </c>
      <c r="D191" s="69">
        <v>3576</v>
      </c>
    </row>
    <row r="192" spans="1:4" ht="12.75" customHeight="1" x14ac:dyDescent="0.2">
      <c r="A192" s="69">
        <v>3594</v>
      </c>
      <c r="B192" s="70" t="s">
        <v>1354</v>
      </c>
      <c r="C192" s="71" t="s">
        <v>1229</v>
      </c>
      <c r="D192" s="69">
        <v>3594</v>
      </c>
    </row>
    <row r="193" spans="1:4" x14ac:dyDescent="0.2">
      <c r="A193" s="69">
        <v>3562</v>
      </c>
      <c r="B193" s="70" t="s">
        <v>1354</v>
      </c>
      <c r="C193" s="71" t="s">
        <v>1357</v>
      </c>
      <c r="D193" s="69">
        <v>3562</v>
      </c>
    </row>
    <row r="194" spans="1:4" x14ac:dyDescent="0.2">
      <c r="A194" s="69">
        <v>3290</v>
      </c>
      <c r="B194" s="70" t="s">
        <v>1358</v>
      </c>
      <c r="C194" s="71" t="s">
        <v>1359</v>
      </c>
      <c r="D194" s="69">
        <v>3290</v>
      </c>
    </row>
    <row r="195" spans="1:4" x14ac:dyDescent="0.2">
      <c r="A195" s="69">
        <v>3291</v>
      </c>
      <c r="B195" s="70" t="s">
        <v>1360</v>
      </c>
      <c r="C195" s="71" t="s">
        <v>1361</v>
      </c>
      <c r="D195" s="69">
        <v>3291</v>
      </c>
    </row>
    <row r="196" spans="1:4" x14ac:dyDescent="0.2">
      <c r="A196" s="69">
        <v>3292</v>
      </c>
      <c r="B196" s="70" t="s">
        <v>1362</v>
      </c>
      <c r="C196" s="71" t="s">
        <v>1363</v>
      </c>
      <c r="D196" s="69">
        <v>3292</v>
      </c>
    </row>
    <row r="197" spans="1:4" ht="12.75" customHeight="1" x14ac:dyDescent="0.2">
      <c r="A197" s="69">
        <v>3293</v>
      </c>
      <c r="B197" s="70" t="s">
        <v>1364</v>
      </c>
      <c r="C197" s="71" t="s">
        <v>1365</v>
      </c>
      <c r="D197" s="69">
        <v>3293</v>
      </c>
    </row>
    <row r="198" spans="1:4" x14ac:dyDescent="0.2">
      <c r="A198" s="69">
        <v>3294</v>
      </c>
      <c r="B198" s="70" t="s">
        <v>1366</v>
      </c>
      <c r="C198" s="71" t="s">
        <v>1087</v>
      </c>
      <c r="D198" s="69">
        <v>3294</v>
      </c>
    </row>
    <row r="199" spans="1:4" ht="12.75" customHeight="1" x14ac:dyDescent="0.2">
      <c r="A199" s="69">
        <v>3295</v>
      </c>
      <c r="B199" s="70" t="s">
        <v>1367</v>
      </c>
      <c r="C199" s="71" t="s">
        <v>1368</v>
      </c>
      <c r="D199" s="69">
        <v>3295</v>
      </c>
    </row>
    <row r="200" spans="1:4" ht="12.75" customHeight="1" x14ac:dyDescent="0.2">
      <c r="A200" s="69">
        <v>3296</v>
      </c>
      <c r="B200" s="70" t="s">
        <v>1369</v>
      </c>
      <c r="C200" s="71" t="s">
        <v>1370</v>
      </c>
      <c r="D200" s="69">
        <v>3296</v>
      </c>
    </row>
    <row r="201" spans="1:4" x14ac:dyDescent="0.2">
      <c r="A201" s="69">
        <v>3297</v>
      </c>
      <c r="B201" s="70" t="s">
        <v>1371</v>
      </c>
      <c r="C201" s="71" t="s">
        <v>1372</v>
      </c>
      <c r="D201" s="69">
        <v>3297</v>
      </c>
    </row>
    <row r="202" spans="1:4" ht="12.75" customHeight="1" x14ac:dyDescent="0.2">
      <c r="A202" s="69">
        <v>3298</v>
      </c>
      <c r="B202" s="70" t="s">
        <v>1373</v>
      </c>
      <c r="C202" s="71" t="s">
        <v>1374</v>
      </c>
      <c r="D202" s="69">
        <v>3298</v>
      </c>
    </row>
    <row r="203" spans="1:4" x14ac:dyDescent="0.2">
      <c r="A203" s="69">
        <v>3299</v>
      </c>
      <c r="B203" s="70" t="s">
        <v>1375</v>
      </c>
      <c r="C203" s="71" t="s">
        <v>1106</v>
      </c>
      <c r="D203" s="69">
        <v>3299</v>
      </c>
    </row>
    <row r="204" spans="1:4" x14ac:dyDescent="0.2">
      <c r="A204" s="69">
        <v>3563</v>
      </c>
      <c r="B204" s="70" t="s">
        <v>1376</v>
      </c>
      <c r="C204" s="71" t="s">
        <v>1377</v>
      </c>
      <c r="D204" s="69">
        <v>3563</v>
      </c>
    </row>
    <row r="205" spans="1:4" x14ac:dyDescent="0.2">
      <c r="A205" s="69">
        <v>3577</v>
      </c>
      <c r="B205" s="70" t="s">
        <v>1376</v>
      </c>
      <c r="C205" s="71" t="s">
        <v>1378</v>
      </c>
      <c r="D205" s="69">
        <v>3577</v>
      </c>
    </row>
    <row r="206" spans="1:4" x14ac:dyDescent="0.2">
      <c r="A206" s="69">
        <v>3300</v>
      </c>
      <c r="B206" s="70" t="s">
        <v>1379</v>
      </c>
      <c r="C206" s="71" t="s">
        <v>1380</v>
      </c>
      <c r="D206" s="69">
        <v>3300</v>
      </c>
    </row>
    <row r="207" spans="1:4" ht="12.75" customHeight="1" x14ac:dyDescent="0.2">
      <c r="A207" s="69">
        <v>3301</v>
      </c>
      <c r="B207" s="70" t="s">
        <v>1381</v>
      </c>
      <c r="C207" s="71" t="s">
        <v>1382</v>
      </c>
      <c r="D207" s="69">
        <v>3301</v>
      </c>
    </row>
    <row r="208" spans="1:4" x14ac:dyDescent="0.2">
      <c r="A208" s="69">
        <v>3302</v>
      </c>
      <c r="B208" s="70" t="s">
        <v>1383</v>
      </c>
      <c r="C208" s="71" t="s">
        <v>1083</v>
      </c>
      <c r="D208" s="69">
        <v>3302</v>
      </c>
    </row>
    <row r="209" spans="1:4" x14ac:dyDescent="0.2">
      <c r="A209" s="69">
        <v>3303</v>
      </c>
      <c r="B209" s="70" t="s">
        <v>1384</v>
      </c>
      <c r="C209" s="71" t="s">
        <v>1385</v>
      </c>
      <c r="D209" s="69">
        <v>3303</v>
      </c>
    </row>
    <row r="210" spans="1:4" x14ac:dyDescent="0.2">
      <c r="A210" s="69">
        <v>3304</v>
      </c>
      <c r="B210" s="70" t="s">
        <v>1386</v>
      </c>
      <c r="C210" s="71" t="s">
        <v>1387</v>
      </c>
      <c r="D210" s="69">
        <v>3304</v>
      </c>
    </row>
    <row r="211" spans="1:4" x14ac:dyDescent="0.2">
      <c r="A211" s="69">
        <v>3305</v>
      </c>
      <c r="B211" s="70" t="s">
        <v>1388</v>
      </c>
      <c r="C211" s="71" t="s">
        <v>1389</v>
      </c>
      <c r="D211" s="69">
        <v>3305</v>
      </c>
    </row>
    <row r="212" spans="1:4" x14ac:dyDescent="0.2">
      <c r="A212" s="69">
        <v>3306</v>
      </c>
      <c r="B212" s="70" t="s">
        <v>1390</v>
      </c>
      <c r="C212" s="71" t="s">
        <v>1161</v>
      </c>
      <c r="D212" s="69">
        <v>3306</v>
      </c>
    </row>
    <row r="213" spans="1:4" x14ac:dyDescent="0.2">
      <c r="A213" s="69">
        <v>3307</v>
      </c>
      <c r="B213" s="70" t="s">
        <v>1391</v>
      </c>
      <c r="C213" s="71" t="s">
        <v>1392</v>
      </c>
      <c r="D213" s="69">
        <v>3307</v>
      </c>
    </row>
    <row r="214" spans="1:4" x14ac:dyDescent="0.2">
      <c r="A214" s="69">
        <v>3308</v>
      </c>
      <c r="B214" s="70" t="s">
        <v>1393</v>
      </c>
      <c r="C214" s="71" t="s">
        <v>1394</v>
      </c>
      <c r="D214" s="69">
        <v>3308</v>
      </c>
    </row>
    <row r="215" spans="1:4" x14ac:dyDescent="0.2">
      <c r="A215" s="69">
        <v>3309</v>
      </c>
      <c r="B215" s="70" t="s">
        <v>1395</v>
      </c>
      <c r="C215" s="71" t="s">
        <v>1396</v>
      </c>
      <c r="D215" s="69">
        <v>3309</v>
      </c>
    </row>
    <row r="216" spans="1:4" x14ac:dyDescent="0.2">
      <c r="A216" s="69">
        <v>3564</v>
      </c>
      <c r="B216" s="70" t="s">
        <v>1397</v>
      </c>
      <c r="C216" s="71" t="s">
        <v>1398</v>
      </c>
      <c r="D216" s="69">
        <v>3564</v>
      </c>
    </row>
    <row r="217" spans="1:4" ht="12.75" customHeight="1" x14ac:dyDescent="0.2">
      <c r="A217" s="69">
        <v>3578</v>
      </c>
      <c r="B217" s="70" t="s">
        <v>1397</v>
      </c>
      <c r="C217" s="71" t="s">
        <v>1399</v>
      </c>
      <c r="D217" s="69">
        <v>3578</v>
      </c>
    </row>
    <row r="218" spans="1:4" x14ac:dyDescent="0.2">
      <c r="A218" s="69">
        <v>3310</v>
      </c>
      <c r="B218" s="70" t="s">
        <v>1400</v>
      </c>
      <c r="C218" s="71" t="s">
        <v>1401</v>
      </c>
      <c r="D218" s="69">
        <v>3310</v>
      </c>
    </row>
    <row r="219" spans="1:4" x14ac:dyDescent="0.2">
      <c r="A219" s="69">
        <v>3311</v>
      </c>
      <c r="B219" s="70" t="s">
        <v>1402</v>
      </c>
      <c r="C219" s="71" t="s">
        <v>1403</v>
      </c>
      <c r="D219" s="69">
        <v>3311</v>
      </c>
    </row>
    <row r="220" spans="1:4" x14ac:dyDescent="0.2">
      <c r="A220" s="69">
        <v>3312</v>
      </c>
      <c r="B220" s="70" t="s">
        <v>1404</v>
      </c>
      <c r="C220" s="71" t="s">
        <v>1405</v>
      </c>
      <c r="D220" s="69">
        <v>3312</v>
      </c>
    </row>
    <row r="221" spans="1:4" ht="12.75" customHeight="1" x14ac:dyDescent="0.2">
      <c r="A221" s="69">
        <v>3313</v>
      </c>
      <c r="B221" s="70" t="s">
        <v>1406</v>
      </c>
      <c r="C221" s="71" t="s">
        <v>1407</v>
      </c>
      <c r="D221" s="69">
        <v>3313</v>
      </c>
    </row>
    <row r="222" spans="1:4" x14ac:dyDescent="0.2">
      <c r="A222" s="69">
        <v>3314</v>
      </c>
      <c r="B222" s="70" t="s">
        <v>1408</v>
      </c>
      <c r="C222" s="71" t="s">
        <v>1298</v>
      </c>
      <c r="D222" s="69">
        <v>3314</v>
      </c>
    </row>
    <row r="223" spans="1:4" ht="12.75" customHeight="1" x14ac:dyDescent="0.2">
      <c r="A223" s="69">
        <v>3315</v>
      </c>
      <c r="B223" s="70" t="s">
        <v>1409</v>
      </c>
      <c r="C223" s="71" t="s">
        <v>1410</v>
      </c>
      <c r="D223" s="69">
        <v>3315</v>
      </c>
    </row>
    <row r="224" spans="1:4" x14ac:dyDescent="0.2">
      <c r="A224" s="69">
        <v>3316</v>
      </c>
      <c r="B224" s="70" t="s">
        <v>1411</v>
      </c>
      <c r="C224" s="71" t="s">
        <v>1412</v>
      </c>
      <c r="D224" s="69">
        <v>3316</v>
      </c>
    </row>
    <row r="225" spans="1:4" x14ac:dyDescent="0.2">
      <c r="A225" s="69">
        <v>3338</v>
      </c>
      <c r="B225" s="70" t="s">
        <v>1413</v>
      </c>
      <c r="C225" s="71" t="s">
        <v>1414</v>
      </c>
      <c r="D225" s="69">
        <v>3338</v>
      </c>
    </row>
    <row r="226" spans="1:4" x14ac:dyDescent="0.2">
      <c r="A226" s="69">
        <v>3340</v>
      </c>
      <c r="B226" s="70" t="s">
        <v>1415</v>
      </c>
      <c r="C226" s="71" t="s">
        <v>1416</v>
      </c>
      <c r="D226" s="69">
        <v>3340</v>
      </c>
    </row>
    <row r="227" spans="1:4" ht="12.75" customHeight="1" x14ac:dyDescent="0.2">
      <c r="A227" s="69">
        <v>3341</v>
      </c>
      <c r="B227" s="70" t="s">
        <v>1417</v>
      </c>
      <c r="C227" s="71" t="s">
        <v>1418</v>
      </c>
      <c r="D227" s="69">
        <v>3341</v>
      </c>
    </row>
    <row r="228" spans="1:4" x14ac:dyDescent="0.2">
      <c r="A228" s="69">
        <v>3579</v>
      </c>
      <c r="B228" s="70" t="s">
        <v>1419</v>
      </c>
      <c r="C228" s="71" t="s">
        <v>1420</v>
      </c>
      <c r="D228" s="69">
        <v>3579</v>
      </c>
    </row>
    <row r="229" spans="1:4" ht="12.75" customHeight="1" x14ac:dyDescent="0.2">
      <c r="A229" s="69">
        <v>3565</v>
      </c>
      <c r="B229" s="70" t="s">
        <v>1419</v>
      </c>
      <c r="C229" s="71" t="s">
        <v>1421</v>
      </c>
      <c r="D229" s="69">
        <v>3565</v>
      </c>
    </row>
    <row r="230" spans="1:4" x14ac:dyDescent="0.2">
      <c r="A230" s="69">
        <v>3342</v>
      </c>
      <c r="B230" s="70" t="s">
        <v>1422</v>
      </c>
      <c r="C230" s="71" t="s">
        <v>1423</v>
      </c>
      <c r="D230" s="69">
        <v>3342</v>
      </c>
    </row>
    <row r="231" spans="1:4" ht="12.75" customHeight="1" x14ac:dyDescent="0.2">
      <c r="A231" s="69">
        <v>3343</v>
      </c>
      <c r="B231" s="70" t="s">
        <v>1424</v>
      </c>
      <c r="C231" s="71" t="s">
        <v>1425</v>
      </c>
      <c r="D231" s="69">
        <v>3343</v>
      </c>
    </row>
    <row r="232" spans="1:4" x14ac:dyDescent="0.2">
      <c r="A232" s="69">
        <v>3345</v>
      </c>
      <c r="B232" s="70" t="s">
        <v>1426</v>
      </c>
      <c r="C232" s="71" t="s">
        <v>1427</v>
      </c>
      <c r="D232" s="69">
        <v>3345</v>
      </c>
    </row>
    <row r="233" spans="1:4" x14ac:dyDescent="0.2">
      <c r="A233" s="69">
        <v>3347</v>
      </c>
      <c r="B233" s="70" t="s">
        <v>1428</v>
      </c>
      <c r="C233" s="71" t="s">
        <v>1429</v>
      </c>
      <c r="D233" s="69">
        <v>3347</v>
      </c>
    </row>
    <row r="234" spans="1:4" x14ac:dyDescent="0.2">
      <c r="A234" s="69">
        <v>3348</v>
      </c>
      <c r="B234" s="70" t="s">
        <v>1430</v>
      </c>
      <c r="C234" s="71" t="s">
        <v>1431</v>
      </c>
      <c r="D234" s="69">
        <v>3348</v>
      </c>
    </row>
    <row r="235" spans="1:4" x14ac:dyDescent="0.2">
      <c r="A235" s="69">
        <v>3350</v>
      </c>
      <c r="B235" s="70" t="s">
        <v>1432</v>
      </c>
      <c r="C235" s="71" t="s">
        <v>1257</v>
      </c>
      <c r="D235" s="69">
        <v>3350</v>
      </c>
    </row>
    <row r="236" spans="1:4" x14ac:dyDescent="0.2">
      <c r="A236" s="69">
        <v>3351</v>
      </c>
      <c r="B236" s="70" t="s">
        <v>1433</v>
      </c>
      <c r="C236" s="71" t="s">
        <v>1434</v>
      </c>
      <c r="D236" s="69">
        <v>3351</v>
      </c>
    </row>
    <row r="237" spans="1:4" x14ac:dyDescent="0.2">
      <c r="A237" s="69">
        <v>3352</v>
      </c>
      <c r="B237" s="70" t="s">
        <v>1435</v>
      </c>
      <c r="C237" s="71" t="s">
        <v>1006</v>
      </c>
      <c r="D237" s="69">
        <v>3352</v>
      </c>
    </row>
    <row r="238" spans="1:4" x14ac:dyDescent="0.2">
      <c r="A238" s="69">
        <v>3353</v>
      </c>
      <c r="B238" s="70" t="s">
        <v>1436</v>
      </c>
      <c r="C238" s="71" t="s">
        <v>1087</v>
      </c>
      <c r="D238" s="69">
        <v>3353</v>
      </c>
    </row>
    <row r="239" spans="1:4" x14ac:dyDescent="0.2">
      <c r="A239" s="69">
        <v>3354</v>
      </c>
      <c r="B239" s="70" t="s">
        <v>1437</v>
      </c>
      <c r="C239" s="71" t="s">
        <v>1438</v>
      </c>
      <c r="D239" s="69">
        <v>3354</v>
      </c>
    </row>
    <row r="240" spans="1:4" ht="12.75" customHeight="1" x14ac:dyDescent="0.2">
      <c r="A240" s="69">
        <v>3580</v>
      </c>
      <c r="B240" s="70" t="s">
        <v>1439</v>
      </c>
      <c r="C240" s="71" t="s">
        <v>1440</v>
      </c>
      <c r="D240" s="69">
        <v>3580</v>
      </c>
    </row>
    <row r="241" spans="1:4" ht="12.75" customHeight="1" x14ac:dyDescent="0.2">
      <c r="A241" s="69">
        <v>3566</v>
      </c>
      <c r="B241" s="70" t="s">
        <v>1439</v>
      </c>
      <c r="C241" s="71" t="s">
        <v>1441</v>
      </c>
      <c r="D241" s="69">
        <v>3566</v>
      </c>
    </row>
    <row r="242" spans="1:4" ht="12.75" customHeight="1" x14ac:dyDescent="0.2">
      <c r="A242" s="69">
        <v>3355</v>
      </c>
      <c r="B242" s="70" t="s">
        <v>1442</v>
      </c>
      <c r="C242" s="71" t="s">
        <v>1443</v>
      </c>
      <c r="D242" s="69">
        <v>3355</v>
      </c>
    </row>
    <row r="243" spans="1:4" ht="12.75" customHeight="1" x14ac:dyDescent="0.2">
      <c r="A243" s="69">
        <v>3356</v>
      </c>
      <c r="B243" s="70" t="s">
        <v>1444</v>
      </c>
      <c r="C243" s="71" t="s">
        <v>1445</v>
      </c>
      <c r="D243" s="69">
        <v>3356</v>
      </c>
    </row>
    <row r="244" spans="1:4" x14ac:dyDescent="0.2">
      <c r="A244" s="69">
        <v>3357</v>
      </c>
      <c r="B244" s="70" t="s">
        <v>1446</v>
      </c>
      <c r="C244" s="71" t="s">
        <v>1447</v>
      </c>
      <c r="D244" s="69">
        <v>3357</v>
      </c>
    </row>
    <row r="245" spans="1:4" x14ac:dyDescent="0.2">
      <c r="A245" s="69">
        <v>3358</v>
      </c>
      <c r="B245" s="70" t="s">
        <v>1448</v>
      </c>
      <c r="C245" s="71" t="s">
        <v>1083</v>
      </c>
      <c r="D245" s="69">
        <v>3358</v>
      </c>
    </row>
    <row r="246" spans="1:4" ht="12.75" customHeight="1" x14ac:dyDescent="0.2">
      <c r="A246" s="69">
        <v>3361</v>
      </c>
      <c r="B246" s="70" t="s">
        <v>1449</v>
      </c>
      <c r="C246" s="71" t="s">
        <v>1450</v>
      </c>
      <c r="D246" s="69">
        <v>3361</v>
      </c>
    </row>
    <row r="247" spans="1:4" x14ac:dyDescent="0.2">
      <c r="A247" s="69">
        <v>3362</v>
      </c>
      <c r="B247" s="70" t="s">
        <v>1451</v>
      </c>
      <c r="C247" s="71" t="s">
        <v>1452</v>
      </c>
      <c r="D247" s="69">
        <v>3362</v>
      </c>
    </row>
    <row r="248" spans="1:4" ht="12.75" customHeight="1" x14ac:dyDescent="0.2">
      <c r="A248" s="69">
        <v>3364</v>
      </c>
      <c r="B248" s="70" t="s">
        <v>1453</v>
      </c>
      <c r="C248" s="71" t="s">
        <v>1454</v>
      </c>
      <c r="D248" s="69">
        <v>3364</v>
      </c>
    </row>
    <row r="249" spans="1:4" ht="12.75" customHeight="1" x14ac:dyDescent="0.2">
      <c r="A249" s="69">
        <v>3365</v>
      </c>
      <c r="B249" s="70" t="s">
        <v>1455</v>
      </c>
      <c r="C249" s="71" t="s">
        <v>1456</v>
      </c>
      <c r="D249" s="69">
        <v>3365</v>
      </c>
    </row>
    <row r="250" spans="1:4" x14ac:dyDescent="0.2">
      <c r="A250" s="69">
        <v>3366</v>
      </c>
      <c r="B250" s="70" t="s">
        <v>1457</v>
      </c>
      <c r="C250" s="71" t="s">
        <v>1458</v>
      </c>
      <c r="D250" s="69">
        <v>3366</v>
      </c>
    </row>
    <row r="251" spans="1:4" x14ac:dyDescent="0.2">
      <c r="A251" s="69">
        <v>3367</v>
      </c>
      <c r="B251" s="70" t="s">
        <v>1459</v>
      </c>
      <c r="C251" s="71" t="s">
        <v>1460</v>
      </c>
      <c r="D251" s="69">
        <v>3367</v>
      </c>
    </row>
    <row r="252" spans="1:4" ht="12.75" customHeight="1" x14ac:dyDescent="0.2">
      <c r="A252" s="69">
        <v>3543</v>
      </c>
      <c r="B252" s="70" t="s">
        <v>1461</v>
      </c>
      <c r="C252" s="71" t="s">
        <v>1462</v>
      </c>
      <c r="D252" s="69">
        <v>3543</v>
      </c>
    </row>
    <row r="253" spans="1:4" x14ac:dyDescent="0.2">
      <c r="A253" s="69">
        <v>3567</v>
      </c>
      <c r="B253" s="70" t="s">
        <v>1463</v>
      </c>
      <c r="C253" s="71" t="s">
        <v>1464</v>
      </c>
      <c r="D253" s="69">
        <v>3567</v>
      </c>
    </row>
    <row r="254" spans="1:4" ht="12.75" customHeight="1" x14ac:dyDescent="0.2">
      <c r="A254" s="69">
        <v>3581</v>
      </c>
      <c r="B254" s="70" t="s">
        <v>1463</v>
      </c>
      <c r="C254" s="71" t="s">
        <v>1465</v>
      </c>
      <c r="D254" s="69">
        <v>3581</v>
      </c>
    </row>
    <row r="255" spans="1:4" x14ac:dyDescent="0.2">
      <c r="A255" s="69">
        <v>3375</v>
      </c>
      <c r="B255" s="70" t="s">
        <v>1466</v>
      </c>
      <c r="C255" s="71" t="s">
        <v>1467</v>
      </c>
      <c r="D255" s="69">
        <v>3375</v>
      </c>
    </row>
    <row r="256" spans="1:4" ht="12.75" customHeight="1" x14ac:dyDescent="0.2">
      <c r="A256" s="69">
        <v>3376</v>
      </c>
      <c r="B256" s="70" t="s">
        <v>1468</v>
      </c>
      <c r="C256" s="71" t="s">
        <v>1113</v>
      </c>
      <c r="D256" s="69">
        <v>3376</v>
      </c>
    </row>
    <row r="257" spans="1:4" x14ac:dyDescent="0.2">
      <c r="A257" s="69">
        <v>3377</v>
      </c>
      <c r="B257" s="70" t="s">
        <v>1469</v>
      </c>
      <c r="C257" s="71" t="s">
        <v>1470</v>
      </c>
      <c r="D257" s="69">
        <v>3377</v>
      </c>
    </row>
    <row r="258" spans="1:4" x14ac:dyDescent="0.2">
      <c r="A258" s="69">
        <v>3378</v>
      </c>
      <c r="B258" s="70" t="s">
        <v>1471</v>
      </c>
      <c r="C258" s="71" t="s">
        <v>1033</v>
      </c>
      <c r="D258" s="69">
        <v>3378</v>
      </c>
    </row>
    <row r="259" spans="1:4" ht="12.75" customHeight="1" x14ac:dyDescent="0.2">
      <c r="A259" s="69">
        <v>3379</v>
      </c>
      <c r="B259" s="70" t="s">
        <v>1472</v>
      </c>
      <c r="C259" s="71" t="s">
        <v>1445</v>
      </c>
      <c r="D259" s="69">
        <v>3379</v>
      </c>
    </row>
    <row r="260" spans="1:4" x14ac:dyDescent="0.2">
      <c r="A260" s="69">
        <v>3380</v>
      </c>
      <c r="B260" s="70" t="s">
        <v>1473</v>
      </c>
      <c r="C260" s="71" t="s">
        <v>1474</v>
      </c>
      <c r="D260" s="69">
        <v>3380</v>
      </c>
    </row>
    <row r="261" spans="1:4" x14ac:dyDescent="0.2">
      <c r="A261" s="69">
        <v>3381</v>
      </c>
      <c r="B261" s="70" t="s">
        <v>1475</v>
      </c>
      <c r="C261" s="71" t="s">
        <v>1447</v>
      </c>
      <c r="D261" s="69">
        <v>3381</v>
      </c>
    </row>
    <row r="262" spans="1:4" x14ac:dyDescent="0.2">
      <c r="A262" s="69">
        <v>3383</v>
      </c>
      <c r="B262" s="70" t="s">
        <v>1476</v>
      </c>
      <c r="C262" s="71" t="s">
        <v>1192</v>
      </c>
      <c r="D262" s="69">
        <v>3383</v>
      </c>
    </row>
    <row r="263" spans="1:4" x14ac:dyDescent="0.2">
      <c r="A263" s="69">
        <v>3384</v>
      </c>
      <c r="B263" s="70" t="s">
        <v>1477</v>
      </c>
      <c r="C263" s="71" t="s">
        <v>1434</v>
      </c>
      <c r="D263" s="69">
        <v>3384</v>
      </c>
    </row>
    <row r="264" spans="1:4" x14ac:dyDescent="0.2">
      <c r="A264" s="69">
        <v>3385</v>
      </c>
      <c r="B264" s="70" t="s">
        <v>1478</v>
      </c>
      <c r="C264" s="71" t="s">
        <v>1479</v>
      </c>
      <c r="D264" s="69">
        <v>3385</v>
      </c>
    </row>
    <row r="265" spans="1:4" x14ac:dyDescent="0.2">
      <c r="A265" s="69">
        <v>3568</v>
      </c>
      <c r="B265" s="70" t="s">
        <v>1480</v>
      </c>
      <c r="C265" s="71" t="s">
        <v>1481</v>
      </c>
      <c r="D265" s="69">
        <v>3568</v>
      </c>
    </row>
    <row r="266" spans="1:4" ht="12.75" customHeight="1" x14ac:dyDescent="0.2">
      <c r="A266" s="69">
        <v>3582</v>
      </c>
      <c r="B266" s="70" t="s">
        <v>1480</v>
      </c>
      <c r="C266" s="71" t="s">
        <v>1482</v>
      </c>
      <c r="D266" s="69">
        <v>3582</v>
      </c>
    </row>
    <row r="267" spans="1:4" x14ac:dyDescent="0.2">
      <c r="A267" s="69">
        <v>3386</v>
      </c>
      <c r="B267" s="70" t="s">
        <v>1483</v>
      </c>
      <c r="C267" s="71" t="s">
        <v>1484</v>
      </c>
      <c r="D267" s="69">
        <v>3386</v>
      </c>
    </row>
    <row r="268" spans="1:4" ht="12.75" customHeight="1" x14ac:dyDescent="0.2">
      <c r="A268" s="69">
        <v>3394</v>
      </c>
      <c r="B268" s="70" t="s">
        <v>1485</v>
      </c>
      <c r="C268" s="71" t="s">
        <v>1465</v>
      </c>
      <c r="D268" s="69">
        <v>3394</v>
      </c>
    </row>
    <row r="269" spans="1:4" x14ac:dyDescent="0.2">
      <c r="A269" s="69">
        <v>3396</v>
      </c>
      <c r="B269" s="70" t="s">
        <v>1486</v>
      </c>
      <c r="C269" s="71" t="s">
        <v>1273</v>
      </c>
      <c r="D269" s="69">
        <v>3396</v>
      </c>
    </row>
    <row r="270" spans="1:4" ht="12.75" customHeight="1" x14ac:dyDescent="0.2">
      <c r="A270" s="69">
        <v>3397</v>
      </c>
      <c r="B270" s="70" t="s">
        <v>1487</v>
      </c>
      <c r="C270" s="71" t="s">
        <v>1488</v>
      </c>
      <c r="D270" s="69">
        <v>3397</v>
      </c>
    </row>
    <row r="271" spans="1:4" x14ac:dyDescent="0.2">
      <c r="A271" s="69">
        <v>3401</v>
      </c>
      <c r="B271" s="70" t="s">
        <v>1489</v>
      </c>
      <c r="C271" s="71" t="s">
        <v>1033</v>
      </c>
      <c r="D271" s="69">
        <v>3401</v>
      </c>
    </row>
    <row r="272" spans="1:4" ht="12.75" customHeight="1" x14ac:dyDescent="0.2">
      <c r="A272" s="69">
        <v>3409</v>
      </c>
      <c r="B272" s="70" t="s">
        <v>1490</v>
      </c>
      <c r="C272" s="71" t="s">
        <v>1491</v>
      </c>
      <c r="D272" s="69">
        <v>3409</v>
      </c>
    </row>
    <row r="273" spans="1:4" x14ac:dyDescent="0.2">
      <c r="A273" s="69">
        <v>3410</v>
      </c>
      <c r="B273" s="70" t="s">
        <v>1492</v>
      </c>
      <c r="C273" s="71" t="s">
        <v>1493</v>
      </c>
      <c r="D273" s="69">
        <v>3410</v>
      </c>
    </row>
    <row r="274" spans="1:4" ht="12.75" customHeight="1" x14ac:dyDescent="0.2">
      <c r="A274" s="69">
        <v>3416</v>
      </c>
      <c r="B274" s="70" t="s">
        <v>1494</v>
      </c>
      <c r="C274" s="71" t="s">
        <v>1495</v>
      </c>
      <c r="D274" s="69">
        <v>3416</v>
      </c>
    </row>
    <row r="275" spans="1:4" ht="12.75" customHeight="1" x14ac:dyDescent="0.2">
      <c r="A275" s="69">
        <v>3418</v>
      </c>
      <c r="B275" s="70" t="s">
        <v>1496</v>
      </c>
      <c r="C275" s="71" t="s">
        <v>1497</v>
      </c>
      <c r="D275" s="69">
        <v>3418</v>
      </c>
    </row>
    <row r="276" spans="1:4" x14ac:dyDescent="0.2">
      <c r="A276" s="69">
        <v>3419</v>
      </c>
      <c r="B276" s="70" t="s">
        <v>1498</v>
      </c>
      <c r="C276" s="71" t="s">
        <v>1479</v>
      </c>
      <c r="D276" s="69">
        <v>3419</v>
      </c>
    </row>
    <row r="277" spans="1:4" x14ac:dyDescent="0.2">
      <c r="A277" s="69">
        <v>3569</v>
      </c>
      <c r="B277" s="70" t="s">
        <v>1499</v>
      </c>
      <c r="C277" s="71" t="s">
        <v>1500</v>
      </c>
      <c r="D277" s="69">
        <v>3569</v>
      </c>
    </row>
    <row r="278" spans="1:4" x14ac:dyDescent="0.2">
      <c r="A278" s="69">
        <v>3420</v>
      </c>
      <c r="B278" s="70" t="s">
        <v>1501</v>
      </c>
      <c r="C278" s="71" t="s">
        <v>1423</v>
      </c>
      <c r="D278" s="69">
        <v>3420</v>
      </c>
    </row>
    <row r="279" spans="1:4" x14ac:dyDescent="0.2">
      <c r="A279" s="69">
        <v>3421</v>
      </c>
      <c r="B279" s="70" t="s">
        <v>1502</v>
      </c>
      <c r="C279" s="71" t="s">
        <v>1503</v>
      </c>
      <c r="D279" s="69">
        <v>3421</v>
      </c>
    </row>
    <row r="280" spans="1:4" ht="12.75" customHeight="1" x14ac:dyDescent="0.2">
      <c r="A280" s="69">
        <v>3422</v>
      </c>
      <c r="B280" s="70" t="s">
        <v>1504</v>
      </c>
      <c r="C280" s="71" t="s">
        <v>1505</v>
      </c>
      <c r="D280" s="69">
        <v>3422</v>
      </c>
    </row>
    <row r="281" spans="1:4" x14ac:dyDescent="0.2">
      <c r="A281" s="69">
        <v>3423</v>
      </c>
      <c r="B281" s="70" t="s">
        <v>1506</v>
      </c>
      <c r="C281" s="71" t="s">
        <v>1081</v>
      </c>
      <c r="D281" s="69">
        <v>3423</v>
      </c>
    </row>
    <row r="282" spans="1:4" x14ac:dyDescent="0.2">
      <c r="A282" s="69">
        <v>3424</v>
      </c>
      <c r="B282" s="70" t="s">
        <v>1507</v>
      </c>
      <c r="C282" s="71" t="s">
        <v>1508</v>
      </c>
      <c r="D282" s="69">
        <v>3424</v>
      </c>
    </row>
    <row r="283" spans="1:4" x14ac:dyDescent="0.2">
      <c r="A283" s="69">
        <v>3425</v>
      </c>
      <c r="B283" s="70" t="s">
        <v>1509</v>
      </c>
      <c r="C283" s="71" t="s">
        <v>1510</v>
      </c>
      <c r="D283" s="69">
        <v>3425</v>
      </c>
    </row>
    <row r="284" spans="1:4" x14ac:dyDescent="0.2">
      <c r="A284" s="69">
        <v>3426</v>
      </c>
      <c r="B284" s="70" t="s">
        <v>1511</v>
      </c>
      <c r="C284" s="71" t="s">
        <v>1512</v>
      </c>
      <c r="D284" s="69">
        <v>3426</v>
      </c>
    </row>
    <row r="285" spans="1:4" x14ac:dyDescent="0.2">
      <c r="A285" s="69">
        <v>3430</v>
      </c>
      <c r="B285" s="70" t="s">
        <v>1513</v>
      </c>
      <c r="C285" s="71" t="s">
        <v>1514</v>
      </c>
      <c r="D285" s="69">
        <v>3430</v>
      </c>
    </row>
    <row r="286" spans="1:4" x14ac:dyDescent="0.2">
      <c r="A286" s="69">
        <v>3433</v>
      </c>
      <c r="B286" s="70" t="s">
        <v>1515</v>
      </c>
      <c r="C286" s="71" t="s">
        <v>1516</v>
      </c>
      <c r="D286" s="69">
        <v>3433</v>
      </c>
    </row>
    <row r="287" spans="1:4" x14ac:dyDescent="0.2">
      <c r="A287" s="69">
        <v>3434</v>
      </c>
      <c r="B287" s="70" t="s">
        <v>1517</v>
      </c>
      <c r="C287" s="71" t="s">
        <v>1155</v>
      </c>
      <c r="D287" s="69">
        <v>3434</v>
      </c>
    </row>
    <row r="288" spans="1:4" ht="12.75" customHeight="1" x14ac:dyDescent="0.2">
      <c r="A288" s="69">
        <v>3437</v>
      </c>
      <c r="B288" s="70" t="s">
        <v>1518</v>
      </c>
      <c r="C288" s="71" t="s">
        <v>1519</v>
      </c>
      <c r="D288" s="69">
        <v>3437</v>
      </c>
    </row>
    <row r="289" spans="1:4" x14ac:dyDescent="0.2">
      <c r="A289" s="69">
        <v>3438</v>
      </c>
      <c r="B289" s="70" t="s">
        <v>1520</v>
      </c>
      <c r="C289" s="71" t="s">
        <v>1521</v>
      </c>
      <c r="D289" s="69">
        <v>3438</v>
      </c>
    </row>
    <row r="290" spans="1:4" ht="12.75" customHeight="1" x14ac:dyDescent="0.2">
      <c r="A290" s="69">
        <v>3440</v>
      </c>
      <c r="B290" s="70" t="s">
        <v>1522</v>
      </c>
      <c r="C290" s="71" t="s">
        <v>1523</v>
      </c>
      <c r="D290" s="69">
        <v>3440</v>
      </c>
    </row>
    <row r="291" spans="1:4" ht="12.75" customHeight="1" x14ac:dyDescent="0.2">
      <c r="A291" s="69">
        <v>3441</v>
      </c>
      <c r="B291" s="70" t="s">
        <v>1524</v>
      </c>
      <c r="C291" s="71" t="s">
        <v>1525</v>
      </c>
      <c r="D291" s="69">
        <v>3441</v>
      </c>
    </row>
    <row r="292" spans="1:4" ht="12.75" customHeight="1" x14ac:dyDescent="0.2">
      <c r="A292" s="69">
        <v>3442</v>
      </c>
      <c r="B292" s="70" t="s">
        <v>1526</v>
      </c>
      <c r="C292" s="71" t="s">
        <v>1527</v>
      </c>
      <c r="D292" s="69">
        <v>3442</v>
      </c>
    </row>
    <row r="293" spans="1:4" ht="12.75" customHeight="1" x14ac:dyDescent="0.2">
      <c r="A293" s="69">
        <v>3443</v>
      </c>
      <c r="B293" s="70" t="s">
        <v>1528</v>
      </c>
      <c r="C293" s="71" t="s">
        <v>1529</v>
      </c>
      <c r="D293" s="69">
        <v>3443</v>
      </c>
    </row>
    <row r="294" spans="1:4" x14ac:dyDescent="0.2">
      <c r="A294" s="69">
        <v>3444</v>
      </c>
      <c r="B294" s="70" t="s">
        <v>1530</v>
      </c>
      <c r="C294" s="71" t="s">
        <v>1531</v>
      </c>
      <c r="D294" s="69">
        <v>3444</v>
      </c>
    </row>
    <row r="295" spans="1:4" x14ac:dyDescent="0.2">
      <c r="A295" s="69">
        <v>3445</v>
      </c>
      <c r="B295" s="70" t="s">
        <v>1532</v>
      </c>
      <c r="C295" s="71" t="s">
        <v>1533</v>
      </c>
      <c r="D295" s="69">
        <v>3445</v>
      </c>
    </row>
    <row r="296" spans="1:4" x14ac:dyDescent="0.2">
      <c r="A296" s="69">
        <v>3448</v>
      </c>
      <c r="B296" s="70" t="s">
        <v>1534</v>
      </c>
      <c r="C296" s="71" t="s">
        <v>1535</v>
      </c>
      <c r="D296" s="69">
        <v>3448</v>
      </c>
    </row>
    <row r="297" spans="1:4" ht="12.75" customHeight="1" x14ac:dyDescent="0.2">
      <c r="A297" s="69">
        <v>3449</v>
      </c>
      <c r="B297" s="70" t="s">
        <v>1536</v>
      </c>
      <c r="C297" s="71" t="s">
        <v>1488</v>
      </c>
      <c r="D297" s="69">
        <v>3449</v>
      </c>
    </row>
    <row r="298" spans="1:4" ht="12.75" customHeight="1" x14ac:dyDescent="0.2">
      <c r="A298" s="69">
        <v>3450</v>
      </c>
      <c r="B298" s="70" t="s">
        <v>1537</v>
      </c>
      <c r="C298" s="71" t="s">
        <v>1538</v>
      </c>
      <c r="D298" s="69">
        <v>3450</v>
      </c>
    </row>
    <row r="299" spans="1:4" x14ac:dyDescent="0.2">
      <c r="A299" s="69">
        <v>3451</v>
      </c>
      <c r="B299" s="70" t="s">
        <v>1539</v>
      </c>
      <c r="C299" s="71" t="s">
        <v>1540</v>
      </c>
      <c r="D299" s="69">
        <v>3451</v>
      </c>
    </row>
    <row r="300" spans="1:4" ht="12.75" customHeight="1" x14ac:dyDescent="0.2">
      <c r="A300" s="69">
        <v>3452</v>
      </c>
      <c r="B300" s="70" t="s">
        <v>1541</v>
      </c>
      <c r="C300" s="71" t="s">
        <v>1542</v>
      </c>
      <c r="D300" s="69">
        <v>3452</v>
      </c>
    </row>
    <row r="301" spans="1:4" x14ac:dyDescent="0.2">
      <c r="A301" s="69">
        <v>3453</v>
      </c>
      <c r="B301" s="70" t="s">
        <v>1543</v>
      </c>
      <c r="C301" s="71" t="s">
        <v>1544</v>
      </c>
      <c r="D301" s="69">
        <v>3453</v>
      </c>
    </row>
    <row r="302" spans="1:4" x14ac:dyDescent="0.2">
      <c r="A302" s="69">
        <v>3454</v>
      </c>
      <c r="B302" s="70" t="s">
        <v>1545</v>
      </c>
      <c r="C302" s="71" t="s">
        <v>1431</v>
      </c>
      <c r="D302" s="69">
        <v>3454</v>
      </c>
    </row>
    <row r="303" spans="1:4" x14ac:dyDescent="0.2">
      <c r="A303" s="69">
        <v>3456</v>
      </c>
      <c r="B303" s="70" t="s">
        <v>1546</v>
      </c>
      <c r="C303" s="71" t="s">
        <v>1547</v>
      </c>
      <c r="D303" s="69">
        <v>3456</v>
      </c>
    </row>
    <row r="304" spans="1:4" ht="12.75" customHeight="1" x14ac:dyDescent="0.2">
      <c r="A304" s="69">
        <v>3457</v>
      </c>
      <c r="B304" s="70" t="s">
        <v>1548</v>
      </c>
      <c r="C304" s="71" t="s">
        <v>1098</v>
      </c>
      <c r="D304" s="69">
        <v>3457</v>
      </c>
    </row>
    <row r="305" spans="1:4" x14ac:dyDescent="0.2">
      <c r="A305" s="69">
        <v>3458</v>
      </c>
      <c r="B305" s="70" t="s">
        <v>1549</v>
      </c>
      <c r="C305" s="71" t="s">
        <v>1155</v>
      </c>
      <c r="D305" s="69">
        <v>3458</v>
      </c>
    </row>
    <row r="306" spans="1:4" ht="12.75" customHeight="1" x14ac:dyDescent="0.2">
      <c r="A306" s="69">
        <v>3459</v>
      </c>
      <c r="B306" s="70" t="s">
        <v>1550</v>
      </c>
      <c r="C306" s="71" t="s">
        <v>1551</v>
      </c>
      <c r="D306" s="69">
        <v>3459</v>
      </c>
    </row>
    <row r="307" spans="1:4" x14ac:dyDescent="0.2">
      <c r="A307" s="69">
        <v>3482</v>
      </c>
      <c r="B307" s="70" t="s">
        <v>1552</v>
      </c>
      <c r="C307" s="71" t="s">
        <v>1243</v>
      </c>
      <c r="D307" s="69">
        <v>3482</v>
      </c>
    </row>
    <row r="308" spans="1:4" ht="12.75" customHeight="1" x14ac:dyDescent="0.2">
      <c r="A308" s="69">
        <v>3483</v>
      </c>
      <c r="B308" s="70" t="s">
        <v>1553</v>
      </c>
      <c r="C308" s="71" t="s">
        <v>1525</v>
      </c>
      <c r="D308" s="69">
        <v>3483</v>
      </c>
    </row>
    <row r="309" spans="1:4" x14ac:dyDescent="0.2">
      <c r="A309" s="69">
        <v>3485</v>
      </c>
      <c r="B309" s="70" t="s">
        <v>1554</v>
      </c>
      <c r="C309" s="71" t="s">
        <v>1555</v>
      </c>
      <c r="D309" s="69">
        <v>3485</v>
      </c>
    </row>
    <row r="310" spans="1:4" x14ac:dyDescent="0.2">
      <c r="A310" s="69">
        <v>3486</v>
      </c>
      <c r="B310" s="70" t="s">
        <v>1556</v>
      </c>
      <c r="C310" s="71" t="s">
        <v>1557</v>
      </c>
      <c r="D310" s="69">
        <v>3486</v>
      </c>
    </row>
    <row r="311" spans="1:4" x14ac:dyDescent="0.2">
      <c r="A311" s="69">
        <v>3487</v>
      </c>
      <c r="B311" s="70" t="s">
        <v>1558</v>
      </c>
      <c r="C311" s="71" t="s">
        <v>1228</v>
      </c>
      <c r="D311" s="69">
        <v>3487</v>
      </c>
    </row>
    <row r="312" spans="1:4" x14ac:dyDescent="0.2">
      <c r="A312" s="69">
        <v>3488</v>
      </c>
      <c r="B312" s="70" t="s">
        <v>1559</v>
      </c>
      <c r="C312" s="71" t="s">
        <v>1282</v>
      </c>
      <c r="D312" s="69">
        <v>3488</v>
      </c>
    </row>
    <row r="313" spans="1:4" x14ac:dyDescent="0.2">
      <c r="A313" s="69">
        <v>3489</v>
      </c>
      <c r="B313" s="70" t="s">
        <v>1560</v>
      </c>
      <c r="C313" s="71" t="s">
        <v>1561</v>
      </c>
      <c r="D313" s="69">
        <v>3489</v>
      </c>
    </row>
    <row r="314" spans="1:4" x14ac:dyDescent="0.2">
      <c r="A314" s="69">
        <v>3490</v>
      </c>
      <c r="B314" s="70" t="s">
        <v>1562</v>
      </c>
      <c r="C314" s="71" t="s">
        <v>1563</v>
      </c>
      <c r="D314" s="69">
        <v>3490</v>
      </c>
    </row>
    <row r="315" spans="1:4" ht="12.75" customHeight="1" x14ac:dyDescent="0.2">
      <c r="A315" s="69">
        <v>3491</v>
      </c>
      <c r="B315" s="70" t="s">
        <v>1564</v>
      </c>
      <c r="C315" s="71" t="s">
        <v>1443</v>
      </c>
      <c r="D315" s="69">
        <v>3491</v>
      </c>
    </row>
    <row r="316" spans="1:4" x14ac:dyDescent="0.2">
      <c r="A316" s="69">
        <v>3503</v>
      </c>
      <c r="B316" s="70" t="s">
        <v>1565</v>
      </c>
      <c r="C316" s="71" t="s">
        <v>1566</v>
      </c>
      <c r="D316" s="69">
        <v>3503</v>
      </c>
    </row>
    <row r="317" spans="1:4" x14ac:dyDescent="0.2">
      <c r="A317" s="69">
        <v>3505</v>
      </c>
      <c r="B317" s="70" t="s">
        <v>1567</v>
      </c>
      <c r="C317" s="71" t="s">
        <v>990</v>
      </c>
      <c r="D317" s="69">
        <v>3505</v>
      </c>
    </row>
    <row r="318" spans="1:4" x14ac:dyDescent="0.2">
      <c r="A318" s="69">
        <v>3513</v>
      </c>
      <c r="B318" s="70" t="s">
        <v>1568</v>
      </c>
      <c r="C318" s="71" t="s">
        <v>1569</v>
      </c>
      <c r="D318" s="69">
        <v>3513</v>
      </c>
    </row>
    <row r="319" spans="1:4" ht="12.75" customHeight="1" x14ac:dyDescent="0.2">
      <c r="A319" s="69">
        <v>3515</v>
      </c>
      <c r="B319" s="70" t="s">
        <v>1570</v>
      </c>
      <c r="C319" s="71" t="s">
        <v>1445</v>
      </c>
      <c r="D319" s="69">
        <v>3515</v>
      </c>
    </row>
    <row r="320" spans="1:4" x14ac:dyDescent="0.2">
      <c r="A320" s="69">
        <v>3517</v>
      </c>
      <c r="B320" s="70" t="s">
        <v>1571</v>
      </c>
      <c r="C320" s="71" t="s">
        <v>1572</v>
      </c>
      <c r="D320" s="69">
        <v>3517</v>
      </c>
    </row>
    <row r="321" spans="1:4" x14ac:dyDescent="0.2">
      <c r="A321" s="69">
        <v>3518</v>
      </c>
      <c r="B321" s="70" t="s">
        <v>1573</v>
      </c>
      <c r="C321" s="71" t="s">
        <v>1574</v>
      </c>
      <c r="D321" s="69">
        <v>3518</v>
      </c>
    </row>
    <row r="322" spans="1:4" x14ac:dyDescent="0.2">
      <c r="A322" s="69">
        <v>3522</v>
      </c>
      <c r="B322" s="70" t="s">
        <v>1575</v>
      </c>
      <c r="C322" s="71" t="s">
        <v>1576</v>
      </c>
      <c r="D322" s="69">
        <v>3522</v>
      </c>
    </row>
    <row r="323" spans="1:4" ht="12.75" customHeight="1" x14ac:dyDescent="0.2">
      <c r="A323" s="69">
        <v>3524</v>
      </c>
      <c r="B323" s="70" t="s">
        <v>1577</v>
      </c>
      <c r="C323" s="71" t="s">
        <v>1578</v>
      </c>
      <c r="D323" s="69">
        <v>3524</v>
      </c>
    </row>
    <row r="324" spans="1:4" x14ac:dyDescent="0.2">
      <c r="A324" s="69">
        <v>3528</v>
      </c>
      <c r="B324" s="70" t="s">
        <v>1579</v>
      </c>
      <c r="C324" s="71" t="s">
        <v>1580</v>
      </c>
      <c r="D324" s="69">
        <v>3528</v>
      </c>
    </row>
    <row r="325" spans="1:4" x14ac:dyDescent="0.2">
      <c r="A325" s="69">
        <v>3529</v>
      </c>
      <c r="B325" s="70" t="s">
        <v>1581</v>
      </c>
      <c r="C325" s="71" t="s">
        <v>1065</v>
      </c>
      <c r="D325" s="69">
        <v>3529</v>
      </c>
    </row>
    <row r="326" spans="1:4" ht="12.75" customHeight="1" x14ac:dyDescent="0.2">
      <c r="A326" s="69">
        <v>3530</v>
      </c>
      <c r="B326" s="70" t="s">
        <v>1582</v>
      </c>
      <c r="C326" s="71" t="s">
        <v>1583</v>
      </c>
      <c r="D326" s="69">
        <v>3530</v>
      </c>
    </row>
    <row r="327" spans="1:4" ht="12.75" customHeight="1" x14ac:dyDescent="0.2">
      <c r="A327" s="69">
        <v>3531</v>
      </c>
      <c r="B327" s="70" t="s">
        <v>1584</v>
      </c>
      <c r="C327" s="71" t="s">
        <v>1585</v>
      </c>
      <c r="D327" s="69">
        <v>3531</v>
      </c>
    </row>
    <row r="328" spans="1:4" x14ac:dyDescent="0.2">
      <c r="A328" s="69">
        <v>3532</v>
      </c>
      <c r="B328" s="70" t="s">
        <v>1586</v>
      </c>
      <c r="C328" s="71" t="s">
        <v>1587</v>
      </c>
      <c r="D328" s="69">
        <v>3532</v>
      </c>
    </row>
    <row r="329" spans="1:4" x14ac:dyDescent="0.2">
      <c r="A329" s="69">
        <v>3533</v>
      </c>
      <c r="B329" s="70" t="s">
        <v>1588</v>
      </c>
      <c r="C329" s="71" t="s">
        <v>1589</v>
      </c>
      <c r="D329" s="69">
        <v>3533</v>
      </c>
    </row>
    <row r="330" spans="1:4" ht="12.75" customHeight="1" x14ac:dyDescent="0.2">
      <c r="A330" s="69">
        <v>3534</v>
      </c>
      <c r="B330" s="70" t="s">
        <v>1590</v>
      </c>
      <c r="C330" s="71" t="s">
        <v>1591</v>
      </c>
      <c r="D330" s="69">
        <v>3534</v>
      </c>
    </row>
    <row r="331" spans="1:4" x14ac:dyDescent="0.2">
      <c r="A331" s="69">
        <v>3535</v>
      </c>
      <c r="B331" s="70" t="s">
        <v>1592</v>
      </c>
      <c r="C331" s="71" t="s">
        <v>1593</v>
      </c>
      <c r="D331" s="69">
        <v>3535</v>
      </c>
    </row>
    <row r="332" spans="1:4" x14ac:dyDescent="0.2">
      <c r="A332" s="69">
        <v>3536</v>
      </c>
      <c r="B332" s="70" t="s">
        <v>1594</v>
      </c>
      <c r="C332" s="71" t="s">
        <v>1595</v>
      </c>
      <c r="D332" s="69">
        <v>3536</v>
      </c>
    </row>
    <row r="333" spans="1:4" ht="12.75" customHeight="1" x14ac:dyDescent="0.2">
      <c r="A333" s="69">
        <v>5697</v>
      </c>
      <c r="B333" s="70" t="s">
        <v>1596</v>
      </c>
      <c r="C333" s="71" t="s">
        <v>1597</v>
      </c>
      <c r="D333" s="69">
        <v>5697</v>
      </c>
    </row>
    <row r="334" spans="1:4" ht="12.75" customHeight="1" x14ac:dyDescent="0.2">
      <c r="A334" s="69">
        <v>5720</v>
      </c>
      <c r="B334" s="70" t="s">
        <v>1598</v>
      </c>
      <c r="C334" s="71" t="s">
        <v>1441</v>
      </c>
      <c r="D334" s="69">
        <v>5720</v>
      </c>
    </row>
    <row r="335" spans="1:4" ht="12.75" customHeight="1" x14ac:dyDescent="0.2">
      <c r="A335" s="69">
        <v>5721</v>
      </c>
      <c r="B335" s="70" t="s">
        <v>1599</v>
      </c>
      <c r="C335" s="71" t="s">
        <v>1600</v>
      </c>
      <c r="D335" s="69">
        <v>5721</v>
      </c>
    </row>
    <row r="336" spans="1:4" x14ac:dyDescent="0.2">
      <c r="A336" s="69">
        <v>5722</v>
      </c>
      <c r="B336" s="70" t="s">
        <v>1601</v>
      </c>
      <c r="C336" s="71" t="s">
        <v>1602</v>
      </c>
      <c r="D336" s="69">
        <v>5722</v>
      </c>
    </row>
    <row r="337" spans="1:4" x14ac:dyDescent="0.2">
      <c r="A337" s="69">
        <v>5723</v>
      </c>
      <c r="B337" s="70" t="s">
        <v>1603</v>
      </c>
      <c r="C337" s="71" t="s">
        <v>1604</v>
      </c>
      <c r="D337" s="69">
        <v>5723</v>
      </c>
    </row>
    <row r="338" spans="1:4" ht="12.75" customHeight="1" x14ac:dyDescent="0.2">
      <c r="A338" s="69">
        <v>5724</v>
      </c>
      <c r="B338" s="70" t="s">
        <v>1605</v>
      </c>
      <c r="C338" s="71" t="s">
        <v>1578</v>
      </c>
      <c r="D338" s="69">
        <v>5724</v>
      </c>
    </row>
    <row r="339" spans="1:4" x14ac:dyDescent="0.2">
      <c r="A339" s="69">
        <v>5725</v>
      </c>
      <c r="B339" s="70" t="s">
        <v>1606</v>
      </c>
      <c r="C339" s="71" t="s">
        <v>1607</v>
      </c>
      <c r="D339" s="69">
        <v>5725</v>
      </c>
    </row>
    <row r="340" spans="1:4" x14ac:dyDescent="0.2">
      <c r="A340" s="69">
        <v>5726</v>
      </c>
      <c r="B340" s="70" t="s">
        <v>1608</v>
      </c>
      <c r="C340" s="71" t="s">
        <v>1609</v>
      </c>
      <c r="D340" s="69">
        <v>5726</v>
      </c>
    </row>
    <row r="341" spans="1:4" x14ac:dyDescent="0.2">
      <c r="A341" s="69">
        <v>5727</v>
      </c>
      <c r="B341" s="70" t="s">
        <v>1610</v>
      </c>
      <c r="C341" s="71" t="s">
        <v>1611</v>
      </c>
      <c r="D341" s="69">
        <v>5727</v>
      </c>
    </row>
    <row r="342" spans="1:4" x14ac:dyDescent="0.2">
      <c r="A342" s="69">
        <v>5728</v>
      </c>
      <c r="B342" s="70" t="s">
        <v>1612</v>
      </c>
      <c r="C342" s="71" t="s">
        <v>1333</v>
      </c>
      <c r="D342" s="69">
        <v>5728</v>
      </c>
    </row>
    <row r="343" spans="1:4" x14ac:dyDescent="0.2">
      <c r="A343" s="69">
        <v>3544</v>
      </c>
      <c r="B343" s="70" t="s">
        <v>1613</v>
      </c>
      <c r="C343" s="71" t="s">
        <v>1614</v>
      </c>
      <c r="D343" s="69">
        <v>3544</v>
      </c>
    </row>
    <row r="344" spans="1:4" x14ac:dyDescent="0.2">
      <c r="A344" s="69">
        <v>3545</v>
      </c>
      <c r="B344" s="70" t="s">
        <v>1615</v>
      </c>
      <c r="C344" s="71" t="s">
        <v>1616</v>
      </c>
      <c r="D344" s="69">
        <v>3545</v>
      </c>
    </row>
    <row r="345" spans="1:4" x14ac:dyDescent="0.2">
      <c r="A345" s="69">
        <v>3546</v>
      </c>
      <c r="B345" s="70" t="s">
        <v>1617</v>
      </c>
      <c r="C345" s="71" t="s">
        <v>1618</v>
      </c>
      <c r="D345" s="69">
        <v>3546</v>
      </c>
    </row>
    <row r="346" spans="1:4" ht="12.75" customHeight="1" x14ac:dyDescent="0.2">
      <c r="A346" s="69">
        <v>3547</v>
      </c>
      <c r="B346" s="70" t="s">
        <v>1619</v>
      </c>
      <c r="C346" s="71" t="s">
        <v>1441</v>
      </c>
      <c r="D346" s="69">
        <v>3547</v>
      </c>
    </row>
    <row r="347" spans="1:4" x14ac:dyDescent="0.2">
      <c r="A347" s="69">
        <v>3548</v>
      </c>
      <c r="B347" s="70" t="s">
        <v>1620</v>
      </c>
      <c r="C347" s="71" t="s">
        <v>1621</v>
      </c>
      <c r="D347" s="69">
        <v>3548</v>
      </c>
    </row>
    <row r="348" spans="1:4" ht="12.75" customHeight="1" x14ac:dyDescent="0.2">
      <c r="A348" s="69">
        <v>3549</v>
      </c>
      <c r="B348" s="70" t="s">
        <v>1622</v>
      </c>
      <c r="C348" s="71" t="s">
        <v>1623</v>
      </c>
      <c r="D348" s="69">
        <v>3549</v>
      </c>
    </row>
    <row r="349" spans="1:4" x14ac:dyDescent="0.2">
      <c r="A349" s="69">
        <v>3550</v>
      </c>
      <c r="B349" s="70" t="s">
        <v>1624</v>
      </c>
      <c r="C349" s="71" t="s">
        <v>1333</v>
      </c>
      <c r="D349" s="69">
        <v>3550</v>
      </c>
    </row>
    <row r="351" spans="1:4" ht="12.75" customHeight="1" x14ac:dyDescent="0.2">
      <c r="A351" s="71" t="s">
        <v>1625</v>
      </c>
      <c r="B351" s="71"/>
      <c r="C351" s="71"/>
      <c r="D351" s="71" t="s">
        <v>1625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2</vt:i4>
      </vt:variant>
    </vt:vector>
  </HeadingPairs>
  <TitlesOfParts>
    <vt:vector size="10" baseType="lpstr">
      <vt:lpstr>Detalhes2</vt:lpstr>
      <vt:lpstr>Detalhes3</vt:lpstr>
      <vt:lpstr>Detalhes4</vt:lpstr>
      <vt:lpstr>Resumo do Aging List - Contabil</vt:lpstr>
      <vt:lpstr>Detalhes1</vt:lpstr>
      <vt:lpstr>Planilha1</vt:lpstr>
      <vt:lpstr>Aging analítico - Contabil</vt:lpstr>
      <vt:lpstr>Planilha2</vt:lpstr>
      <vt:lpstr>'Aging analítico - Contabil'!Area_de_impressao</vt:lpstr>
      <vt:lpstr>'Resumo do Aging List - Contabil'!Area_de_impressao</vt:lpstr>
    </vt:vector>
  </TitlesOfParts>
  <Company>Terco Grant Thornton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Terco Grant Thornton</dc:creator>
  <cp:lastModifiedBy>Dpto. Contábil - 4</cp:lastModifiedBy>
  <cp:lastPrinted>2009-07-21T16:05:45Z</cp:lastPrinted>
  <dcterms:created xsi:type="dcterms:W3CDTF">2008-10-30T11:13:55Z</dcterms:created>
  <dcterms:modified xsi:type="dcterms:W3CDTF">2026-04-23T17:40:50Z</dcterms:modified>
</cp:coreProperties>
</file>